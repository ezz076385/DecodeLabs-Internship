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learning\Decode\Task 2\"/>
    </mc:Choice>
  </mc:AlternateContent>
  <xr:revisionPtr revIDLastSave="0" documentId="8_{B916A023-2374-4069-90C8-3264B097FE4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ata" sheetId="1" r:id="rId1"/>
    <sheet name="Pivot" sheetId="2" r:id="rId2"/>
    <sheet name="Dashboard" sheetId="5" r:id="rId3"/>
    <sheet name="Insight" sheetId="6" r:id="rId4"/>
  </sheets>
  <definedNames>
    <definedName name="_xlcn.WorksheetConnection_DatasetforDataAnalytics3.xlsxTable11" hidden="1">Table1[]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2" r:id="rId16"/>
    <pivotCache cacheId="13" r:id="rId17"/>
    <pivotCache cacheId="14" r:id="rId18"/>
    <pivotCache cacheId="15" r:id="rId19"/>
    <pivotCache cacheId="16" r:id="rId20"/>
    <pivotCache cacheId="19" r:id="rId21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Dataset for Data Analytics (3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K48" i="2" l="1"/>
  <c r="K45" i="2"/>
  <c r="K42" i="2"/>
  <c r="R43" i="2"/>
  <c r="R42" i="2"/>
  <c r="R41" i="2"/>
  <c r="X7" i="1"/>
  <c r="X6" i="1"/>
  <c r="X5" i="1"/>
  <c r="Q27" i="2"/>
  <c r="Q4" i="2"/>
  <c r="X80" i="1"/>
  <c r="G4" i="2"/>
  <c r="Q2" i="1"/>
  <c r="P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R2" i="1" l="1"/>
  <c r="T2" i="1" s="1"/>
  <c r="S2" i="1" l="1"/>
  <c r="U3" i="1" l="1"/>
  <c r="U4" i="1"/>
  <c r="U20" i="1"/>
  <c r="U36" i="1"/>
  <c r="U52" i="1"/>
  <c r="U68" i="1"/>
  <c r="U84" i="1"/>
  <c r="U100" i="1"/>
  <c r="U116" i="1"/>
  <c r="U132" i="1"/>
  <c r="U148" i="1"/>
  <c r="U164" i="1"/>
  <c r="U180" i="1"/>
  <c r="U196" i="1"/>
  <c r="U212" i="1"/>
  <c r="U228" i="1"/>
  <c r="U244" i="1"/>
  <c r="U260" i="1"/>
  <c r="U276" i="1"/>
  <c r="U292" i="1"/>
  <c r="U308" i="1"/>
  <c r="U324" i="1"/>
  <c r="U340" i="1"/>
  <c r="U356" i="1"/>
  <c r="U372" i="1"/>
  <c r="U388" i="1"/>
  <c r="U404" i="1"/>
  <c r="U420" i="1"/>
  <c r="U436" i="1"/>
  <c r="U452" i="1"/>
  <c r="U468" i="1"/>
  <c r="U484" i="1"/>
  <c r="U500" i="1"/>
  <c r="U516" i="1"/>
  <c r="U532" i="1"/>
  <c r="U548" i="1"/>
  <c r="U564" i="1"/>
  <c r="U580" i="1"/>
  <c r="U596" i="1"/>
  <c r="U612" i="1"/>
  <c r="U628" i="1"/>
  <c r="U644" i="1"/>
  <c r="U660" i="1"/>
  <c r="U676" i="1"/>
  <c r="U692" i="1"/>
  <c r="U708" i="1"/>
  <c r="U724" i="1"/>
  <c r="U740" i="1"/>
  <c r="U756" i="1"/>
  <c r="U772" i="1"/>
  <c r="U788" i="1"/>
  <c r="U804" i="1"/>
  <c r="U820" i="1"/>
  <c r="U836" i="1"/>
  <c r="U852" i="1"/>
  <c r="U868" i="1"/>
  <c r="U884" i="1"/>
  <c r="U900" i="1"/>
  <c r="U916" i="1"/>
  <c r="U932" i="1"/>
  <c r="U948" i="1"/>
  <c r="U964" i="1"/>
  <c r="U980" i="1"/>
  <c r="U996" i="1"/>
  <c r="U1012" i="1"/>
  <c r="U1028" i="1"/>
  <c r="U1044" i="1"/>
  <c r="U1060" i="1"/>
  <c r="U1076" i="1"/>
  <c r="U1092" i="1"/>
  <c r="U1108" i="1"/>
  <c r="U1124" i="1"/>
  <c r="U1140" i="1"/>
  <c r="U1156" i="1"/>
  <c r="U1172" i="1"/>
  <c r="U1188" i="1"/>
  <c r="U5" i="1"/>
  <c r="U6" i="1"/>
  <c r="U7" i="1"/>
  <c r="U8" i="1"/>
  <c r="U9" i="1"/>
  <c r="U10" i="1"/>
  <c r="U11" i="1"/>
  <c r="U27" i="1"/>
  <c r="U43" i="1"/>
  <c r="U59" i="1"/>
  <c r="U75" i="1"/>
  <c r="U91" i="1"/>
  <c r="U107" i="1"/>
  <c r="U123" i="1"/>
  <c r="U139" i="1"/>
  <c r="U155" i="1"/>
  <c r="U171" i="1"/>
  <c r="U187" i="1"/>
  <c r="U203" i="1"/>
  <c r="U219" i="1"/>
  <c r="U235" i="1"/>
  <c r="U251" i="1"/>
  <c r="U267" i="1"/>
  <c r="U283" i="1"/>
  <c r="U299" i="1"/>
  <c r="U315" i="1"/>
  <c r="U331" i="1"/>
  <c r="U347" i="1"/>
  <c r="U363" i="1"/>
  <c r="U379" i="1"/>
  <c r="U395" i="1"/>
  <c r="U411" i="1"/>
  <c r="U427" i="1"/>
  <c r="U443" i="1"/>
  <c r="U459" i="1"/>
  <c r="U475" i="1"/>
  <c r="U491" i="1"/>
  <c r="U507" i="1"/>
  <c r="U523" i="1"/>
  <c r="U539" i="1"/>
  <c r="U555" i="1"/>
  <c r="U571" i="1"/>
  <c r="U587" i="1"/>
  <c r="U603" i="1"/>
  <c r="U619" i="1"/>
  <c r="U635" i="1"/>
  <c r="U651" i="1"/>
  <c r="U667" i="1"/>
  <c r="U683" i="1"/>
  <c r="U699" i="1"/>
  <c r="U715" i="1"/>
  <c r="U731" i="1"/>
  <c r="U747" i="1"/>
  <c r="U763" i="1"/>
  <c r="U779" i="1"/>
  <c r="U795" i="1"/>
  <c r="U811" i="1"/>
  <c r="U827" i="1"/>
  <c r="U843" i="1"/>
  <c r="U859" i="1"/>
  <c r="U875" i="1"/>
  <c r="U891" i="1"/>
  <c r="U907" i="1"/>
  <c r="U923" i="1"/>
  <c r="U939" i="1"/>
  <c r="U955" i="1"/>
  <c r="U971" i="1"/>
  <c r="U987" i="1"/>
  <c r="U1003" i="1"/>
  <c r="U1019" i="1"/>
  <c r="U1035" i="1"/>
  <c r="U1051" i="1"/>
  <c r="U1067" i="1"/>
  <c r="U1083" i="1"/>
  <c r="U1099" i="1"/>
  <c r="U1115" i="1"/>
  <c r="U1131" i="1"/>
  <c r="U1147" i="1"/>
  <c r="U1163" i="1"/>
  <c r="U1179" i="1"/>
  <c r="U1195" i="1"/>
  <c r="U12" i="1"/>
  <c r="U28" i="1"/>
  <c r="U44" i="1"/>
  <c r="U60" i="1"/>
  <c r="U76" i="1"/>
  <c r="U92" i="1"/>
  <c r="U108" i="1"/>
  <c r="U124" i="1"/>
  <c r="U140" i="1"/>
  <c r="U156" i="1"/>
  <c r="U172" i="1"/>
  <c r="U188" i="1"/>
  <c r="U204" i="1"/>
  <c r="U220" i="1"/>
  <c r="U236" i="1"/>
  <c r="U252" i="1"/>
  <c r="U268" i="1"/>
  <c r="U284" i="1"/>
  <c r="U300" i="1"/>
  <c r="U316" i="1"/>
  <c r="U332" i="1"/>
  <c r="U348" i="1"/>
  <c r="U364" i="1"/>
  <c r="U380" i="1"/>
  <c r="U396" i="1"/>
  <c r="U412" i="1"/>
  <c r="U428" i="1"/>
  <c r="U444" i="1"/>
  <c r="U460" i="1"/>
  <c r="U476" i="1"/>
  <c r="U492" i="1"/>
  <c r="U508" i="1"/>
  <c r="U524" i="1"/>
  <c r="U540" i="1"/>
  <c r="U556" i="1"/>
  <c r="U572" i="1"/>
  <c r="U588" i="1"/>
  <c r="U604" i="1"/>
  <c r="U620" i="1"/>
  <c r="U636" i="1"/>
  <c r="U652" i="1"/>
  <c r="U668" i="1"/>
  <c r="U684" i="1"/>
  <c r="U700" i="1"/>
  <c r="U716" i="1"/>
  <c r="U732" i="1"/>
  <c r="U748" i="1"/>
  <c r="U764" i="1"/>
  <c r="U780" i="1"/>
  <c r="U796" i="1"/>
  <c r="U812" i="1"/>
  <c r="U828" i="1"/>
  <c r="U844" i="1"/>
  <c r="U860" i="1"/>
  <c r="U876" i="1"/>
  <c r="U892" i="1"/>
  <c r="U908" i="1"/>
  <c r="U924" i="1"/>
  <c r="U940" i="1"/>
  <c r="U956" i="1"/>
  <c r="U972" i="1"/>
  <c r="U988" i="1"/>
  <c r="U1004" i="1"/>
  <c r="U1020" i="1"/>
  <c r="U1036" i="1"/>
  <c r="U1052" i="1"/>
  <c r="U1068" i="1"/>
  <c r="U1084" i="1"/>
  <c r="U1100" i="1"/>
  <c r="U1116" i="1"/>
  <c r="U1132" i="1"/>
  <c r="U1148" i="1"/>
  <c r="U1164" i="1"/>
  <c r="U1180" i="1"/>
  <c r="U1196" i="1"/>
  <c r="U13" i="1"/>
  <c r="U29" i="1"/>
  <c r="U45" i="1"/>
  <c r="U61" i="1"/>
  <c r="U77" i="1"/>
  <c r="U93" i="1"/>
  <c r="U109" i="1"/>
  <c r="U125" i="1"/>
  <c r="U141" i="1"/>
  <c r="U157" i="1"/>
  <c r="U173" i="1"/>
  <c r="U189" i="1"/>
  <c r="U205" i="1"/>
  <c r="U221" i="1"/>
  <c r="U237" i="1"/>
  <c r="U253" i="1"/>
  <c r="U269" i="1"/>
  <c r="U285" i="1"/>
  <c r="U301" i="1"/>
  <c r="U317" i="1"/>
  <c r="U333" i="1"/>
  <c r="U349" i="1"/>
  <c r="U365" i="1"/>
  <c r="U381" i="1"/>
  <c r="U397" i="1"/>
  <c r="U413" i="1"/>
  <c r="U429" i="1"/>
  <c r="U445" i="1"/>
  <c r="U461" i="1"/>
  <c r="U477" i="1"/>
  <c r="U493" i="1"/>
  <c r="U509" i="1"/>
  <c r="U525" i="1"/>
  <c r="U541" i="1"/>
  <c r="U557" i="1"/>
  <c r="U573" i="1"/>
  <c r="U589" i="1"/>
  <c r="U605" i="1"/>
  <c r="U621" i="1"/>
  <c r="U637" i="1"/>
  <c r="U653" i="1"/>
  <c r="U669" i="1"/>
  <c r="U685" i="1"/>
  <c r="U701" i="1"/>
  <c r="U717" i="1"/>
  <c r="U733" i="1"/>
  <c r="U749" i="1"/>
  <c r="U765" i="1"/>
  <c r="U781" i="1"/>
  <c r="U797" i="1"/>
  <c r="U813" i="1"/>
  <c r="U829" i="1"/>
  <c r="U845" i="1"/>
  <c r="U861" i="1"/>
  <c r="U877" i="1"/>
  <c r="U893" i="1"/>
  <c r="U909" i="1"/>
  <c r="U925" i="1"/>
  <c r="U941" i="1"/>
  <c r="U957" i="1"/>
  <c r="U973" i="1"/>
  <c r="U989" i="1"/>
  <c r="U1005" i="1"/>
  <c r="U1021" i="1"/>
  <c r="U1037" i="1"/>
  <c r="U1053" i="1"/>
  <c r="U1069" i="1"/>
  <c r="U1085" i="1"/>
  <c r="U1101" i="1"/>
  <c r="U1117" i="1"/>
  <c r="U1133" i="1"/>
  <c r="U1149" i="1"/>
  <c r="U1165" i="1"/>
  <c r="U1181" i="1"/>
  <c r="U1197" i="1"/>
  <c r="U14" i="1"/>
  <c r="U30" i="1"/>
  <c r="U46" i="1"/>
  <c r="U62" i="1"/>
  <c r="U78" i="1"/>
  <c r="U94" i="1"/>
  <c r="U110" i="1"/>
  <c r="U126" i="1"/>
  <c r="U142" i="1"/>
  <c r="U158" i="1"/>
  <c r="U174" i="1"/>
  <c r="U190" i="1"/>
  <c r="U206" i="1"/>
  <c r="U222" i="1"/>
  <c r="U238" i="1"/>
  <c r="U254" i="1"/>
  <c r="U270" i="1"/>
  <c r="U286" i="1"/>
  <c r="U302" i="1"/>
  <c r="U318" i="1"/>
  <c r="U334" i="1"/>
  <c r="U350" i="1"/>
  <c r="U366" i="1"/>
  <c r="U382" i="1"/>
  <c r="U398" i="1"/>
  <c r="U414" i="1"/>
  <c r="U430" i="1"/>
  <c r="U446" i="1"/>
  <c r="U462" i="1"/>
  <c r="U478" i="1"/>
  <c r="U494" i="1"/>
  <c r="U510" i="1"/>
  <c r="U526" i="1"/>
  <c r="U542" i="1"/>
  <c r="U558" i="1"/>
  <c r="U574" i="1"/>
  <c r="U590" i="1"/>
  <c r="U606" i="1"/>
  <c r="U622" i="1"/>
  <c r="U638" i="1"/>
  <c r="U654" i="1"/>
  <c r="U670" i="1"/>
  <c r="U686" i="1"/>
  <c r="U702" i="1"/>
  <c r="U718" i="1"/>
  <c r="U734" i="1"/>
  <c r="U750" i="1"/>
  <c r="U766" i="1"/>
  <c r="U782" i="1"/>
  <c r="U798" i="1"/>
  <c r="U814" i="1"/>
  <c r="U830" i="1"/>
  <c r="U846" i="1"/>
  <c r="U862" i="1"/>
  <c r="U878" i="1"/>
  <c r="U894" i="1"/>
  <c r="U910" i="1"/>
  <c r="U926" i="1"/>
  <c r="U942" i="1"/>
  <c r="U958" i="1"/>
  <c r="U974" i="1"/>
  <c r="U990" i="1"/>
  <c r="U1006" i="1"/>
  <c r="U1022" i="1"/>
  <c r="U1038" i="1"/>
  <c r="U1054" i="1"/>
  <c r="U1070" i="1"/>
  <c r="U1086" i="1"/>
  <c r="U1102" i="1"/>
  <c r="U1118" i="1"/>
  <c r="U1134" i="1"/>
  <c r="U1150" i="1"/>
  <c r="U1166" i="1"/>
  <c r="U1182" i="1"/>
  <c r="U1198" i="1"/>
  <c r="U15" i="1"/>
  <c r="U31" i="1"/>
  <c r="U47" i="1"/>
  <c r="U63" i="1"/>
  <c r="U79" i="1"/>
  <c r="U95" i="1"/>
  <c r="U111" i="1"/>
  <c r="U127" i="1"/>
  <c r="U143" i="1"/>
  <c r="U159" i="1"/>
  <c r="U175" i="1"/>
  <c r="U191" i="1"/>
  <c r="U207" i="1"/>
  <c r="U223" i="1"/>
  <c r="U239" i="1"/>
  <c r="U255" i="1"/>
  <c r="U271" i="1"/>
  <c r="U287" i="1"/>
  <c r="U303" i="1"/>
  <c r="U319" i="1"/>
  <c r="U335" i="1"/>
  <c r="U351" i="1"/>
  <c r="U367" i="1"/>
  <c r="U383" i="1"/>
  <c r="U399" i="1"/>
  <c r="U415" i="1"/>
  <c r="U431" i="1"/>
  <c r="U447" i="1"/>
  <c r="U463" i="1"/>
  <c r="U479" i="1"/>
  <c r="U495" i="1"/>
  <c r="U511" i="1"/>
  <c r="U527" i="1"/>
  <c r="U543" i="1"/>
  <c r="U559" i="1"/>
  <c r="U575" i="1"/>
  <c r="U591" i="1"/>
  <c r="U607" i="1"/>
  <c r="U623" i="1"/>
  <c r="U639" i="1"/>
  <c r="U655" i="1"/>
  <c r="U671" i="1"/>
  <c r="U687" i="1"/>
  <c r="U703" i="1"/>
  <c r="U719" i="1"/>
  <c r="U735" i="1"/>
  <c r="U751" i="1"/>
  <c r="U767" i="1"/>
  <c r="U783" i="1"/>
  <c r="U799" i="1"/>
  <c r="U815" i="1"/>
  <c r="U831" i="1"/>
  <c r="U847" i="1"/>
  <c r="U863" i="1"/>
  <c r="U879" i="1"/>
  <c r="U895" i="1"/>
  <c r="U911" i="1"/>
  <c r="U927" i="1"/>
  <c r="U943" i="1"/>
  <c r="U959" i="1"/>
  <c r="U975" i="1"/>
  <c r="U991" i="1"/>
  <c r="U1007" i="1"/>
  <c r="U1023" i="1"/>
  <c r="U1039" i="1"/>
  <c r="U1055" i="1"/>
  <c r="U1071" i="1"/>
  <c r="U1087" i="1"/>
  <c r="U1103" i="1"/>
  <c r="U1119" i="1"/>
  <c r="U1135" i="1"/>
  <c r="U1151" i="1"/>
  <c r="U1167" i="1"/>
  <c r="U1183" i="1"/>
  <c r="U1199" i="1"/>
  <c r="U16" i="1"/>
  <c r="U32" i="1"/>
  <c r="U48" i="1"/>
  <c r="U64" i="1"/>
  <c r="U80" i="1"/>
  <c r="U96" i="1"/>
  <c r="U112" i="1"/>
  <c r="U128" i="1"/>
  <c r="U144" i="1"/>
  <c r="U160" i="1"/>
  <c r="U176" i="1"/>
  <c r="U192" i="1"/>
  <c r="U208" i="1"/>
  <c r="U224" i="1"/>
  <c r="U240" i="1"/>
  <c r="U256" i="1"/>
  <c r="U272" i="1"/>
  <c r="U288" i="1"/>
  <c r="U304" i="1"/>
  <c r="U320" i="1"/>
  <c r="U336" i="1"/>
  <c r="U352" i="1"/>
  <c r="U368" i="1"/>
  <c r="U384" i="1"/>
  <c r="U400" i="1"/>
  <c r="U416" i="1"/>
  <c r="U432" i="1"/>
  <c r="U448" i="1"/>
  <c r="U464" i="1"/>
  <c r="U480" i="1"/>
  <c r="U496" i="1"/>
  <c r="U512" i="1"/>
  <c r="U528" i="1"/>
  <c r="U544" i="1"/>
  <c r="U560" i="1"/>
  <c r="U576" i="1"/>
  <c r="U592" i="1"/>
  <c r="U608" i="1"/>
  <c r="U624" i="1"/>
  <c r="U640" i="1"/>
  <c r="U656" i="1"/>
  <c r="U672" i="1"/>
  <c r="U688" i="1"/>
  <c r="U704" i="1"/>
  <c r="U720" i="1"/>
  <c r="U736" i="1"/>
  <c r="U752" i="1"/>
  <c r="U768" i="1"/>
  <c r="U784" i="1"/>
  <c r="U800" i="1"/>
  <c r="U816" i="1"/>
  <c r="U832" i="1"/>
  <c r="U848" i="1"/>
  <c r="U864" i="1"/>
  <c r="U880" i="1"/>
  <c r="U896" i="1"/>
  <c r="U912" i="1"/>
  <c r="U928" i="1"/>
  <c r="U944" i="1"/>
  <c r="U960" i="1"/>
  <c r="U976" i="1"/>
  <c r="U992" i="1"/>
  <c r="U1008" i="1"/>
  <c r="U1024" i="1"/>
  <c r="U1040" i="1"/>
  <c r="U1056" i="1"/>
  <c r="U1072" i="1"/>
  <c r="U1088" i="1"/>
  <c r="U1104" i="1"/>
  <c r="U1120" i="1"/>
  <c r="U1136" i="1"/>
  <c r="U1152" i="1"/>
  <c r="U1168" i="1"/>
  <c r="U1184" i="1"/>
  <c r="U1200" i="1"/>
  <c r="U17" i="1"/>
  <c r="U33" i="1"/>
  <c r="U49" i="1"/>
  <c r="U65" i="1"/>
  <c r="U81" i="1"/>
  <c r="U97" i="1"/>
  <c r="U113" i="1"/>
  <c r="U129" i="1"/>
  <c r="U145" i="1"/>
  <c r="U161" i="1"/>
  <c r="U177" i="1"/>
  <c r="U193" i="1"/>
  <c r="U209" i="1"/>
  <c r="U225" i="1"/>
  <c r="U241" i="1"/>
  <c r="U257" i="1"/>
  <c r="U273" i="1"/>
  <c r="U289" i="1"/>
  <c r="U305" i="1"/>
  <c r="U321" i="1"/>
  <c r="U337" i="1"/>
  <c r="U353" i="1"/>
  <c r="U369" i="1"/>
  <c r="U385" i="1"/>
  <c r="U401" i="1"/>
  <c r="U417" i="1"/>
  <c r="U433" i="1"/>
  <c r="U449" i="1"/>
  <c r="U465" i="1"/>
  <c r="U481" i="1"/>
  <c r="U497" i="1"/>
  <c r="U513" i="1"/>
  <c r="U529" i="1"/>
  <c r="U545" i="1"/>
  <c r="U561" i="1"/>
  <c r="U577" i="1"/>
  <c r="U593" i="1"/>
  <c r="U609" i="1"/>
  <c r="U625" i="1"/>
  <c r="U641" i="1"/>
  <c r="U657" i="1"/>
  <c r="U673" i="1"/>
  <c r="U689" i="1"/>
  <c r="U705" i="1"/>
  <c r="U721" i="1"/>
  <c r="U737" i="1"/>
  <c r="U753" i="1"/>
  <c r="U769" i="1"/>
  <c r="U785" i="1"/>
  <c r="U801" i="1"/>
  <c r="U817" i="1"/>
  <c r="U833" i="1"/>
  <c r="U849" i="1"/>
  <c r="U865" i="1"/>
  <c r="U881" i="1"/>
  <c r="U897" i="1"/>
  <c r="U913" i="1"/>
  <c r="U929" i="1"/>
  <c r="U945" i="1"/>
  <c r="U961" i="1"/>
  <c r="U977" i="1"/>
  <c r="U993" i="1"/>
  <c r="U1009" i="1"/>
  <c r="U1025" i="1"/>
  <c r="U1041" i="1"/>
  <c r="U1057" i="1"/>
  <c r="U1073" i="1"/>
  <c r="U1089" i="1"/>
  <c r="U1105" i="1"/>
  <c r="U1121" i="1"/>
  <c r="U1137" i="1"/>
  <c r="U1153" i="1"/>
  <c r="U1169" i="1"/>
  <c r="U1185" i="1"/>
  <c r="U1201" i="1"/>
  <c r="U18" i="1"/>
  <c r="U34" i="1"/>
  <c r="U50" i="1"/>
  <c r="U66" i="1"/>
  <c r="U82" i="1"/>
  <c r="U98" i="1"/>
  <c r="U114" i="1"/>
  <c r="U130" i="1"/>
  <c r="U146" i="1"/>
  <c r="U162" i="1"/>
  <c r="U178" i="1"/>
  <c r="U194" i="1"/>
  <c r="U210" i="1"/>
  <c r="U226" i="1"/>
  <c r="U242" i="1"/>
  <c r="U258" i="1"/>
  <c r="U274" i="1"/>
  <c r="U290" i="1"/>
  <c r="U306" i="1"/>
  <c r="U322" i="1"/>
  <c r="U338" i="1"/>
  <c r="U354" i="1"/>
  <c r="U370" i="1"/>
  <c r="U386" i="1"/>
  <c r="U402" i="1"/>
  <c r="U418" i="1"/>
  <c r="U434" i="1"/>
  <c r="U450" i="1"/>
  <c r="U466" i="1"/>
  <c r="U482" i="1"/>
  <c r="U498" i="1"/>
  <c r="U514" i="1"/>
  <c r="U530" i="1"/>
  <c r="U546" i="1"/>
  <c r="U562" i="1"/>
  <c r="U578" i="1"/>
  <c r="U594" i="1"/>
  <c r="U610" i="1"/>
  <c r="U626" i="1"/>
  <c r="U642" i="1"/>
  <c r="U658" i="1"/>
  <c r="U674" i="1"/>
  <c r="U690" i="1"/>
  <c r="U706" i="1"/>
  <c r="U722" i="1"/>
  <c r="U738" i="1"/>
  <c r="U754" i="1"/>
  <c r="U770" i="1"/>
  <c r="U786" i="1"/>
  <c r="U802" i="1"/>
  <c r="U818" i="1"/>
  <c r="U834" i="1"/>
  <c r="U850" i="1"/>
  <c r="U866" i="1"/>
  <c r="U882" i="1"/>
  <c r="U898" i="1"/>
  <c r="U914" i="1"/>
  <c r="U930" i="1"/>
  <c r="U946" i="1"/>
  <c r="U962" i="1"/>
  <c r="U978" i="1"/>
  <c r="U994" i="1"/>
  <c r="U1010" i="1"/>
  <c r="U1026" i="1"/>
  <c r="U1042" i="1"/>
  <c r="U1058" i="1"/>
  <c r="U1074" i="1"/>
  <c r="U1090" i="1"/>
  <c r="U1106" i="1"/>
  <c r="U1122" i="1"/>
  <c r="U1138" i="1"/>
  <c r="U1154" i="1"/>
  <c r="U1170" i="1"/>
  <c r="U1186" i="1"/>
  <c r="U2" i="1"/>
  <c r="U19" i="1"/>
  <c r="U35" i="1"/>
  <c r="U51" i="1"/>
  <c r="U67" i="1"/>
  <c r="U83" i="1"/>
  <c r="U99" i="1"/>
  <c r="U115" i="1"/>
  <c r="U131" i="1"/>
  <c r="U147" i="1"/>
  <c r="U163" i="1"/>
  <c r="U21" i="1"/>
  <c r="U57" i="1"/>
  <c r="U103" i="1"/>
  <c r="U149" i="1"/>
  <c r="U184" i="1"/>
  <c r="U218" i="1"/>
  <c r="U261" i="1"/>
  <c r="U295" i="1"/>
  <c r="U329" i="1"/>
  <c r="U371" i="1"/>
  <c r="U406" i="1"/>
  <c r="U440" i="1"/>
  <c r="U474" i="1"/>
  <c r="U517" i="1"/>
  <c r="U551" i="1"/>
  <c r="U585" i="1"/>
  <c r="U627" i="1"/>
  <c r="U662" i="1"/>
  <c r="U696" i="1"/>
  <c r="U730" i="1"/>
  <c r="U773" i="1"/>
  <c r="U807" i="1"/>
  <c r="U841" i="1"/>
  <c r="U883" i="1"/>
  <c r="U918" i="1"/>
  <c r="U952" i="1"/>
  <c r="U986" i="1"/>
  <c r="U1029" i="1"/>
  <c r="U1063" i="1"/>
  <c r="U1097" i="1"/>
  <c r="U1139" i="1"/>
  <c r="U1174" i="1"/>
  <c r="U22" i="1"/>
  <c r="U58" i="1"/>
  <c r="U104" i="1"/>
  <c r="U150" i="1"/>
  <c r="U185" i="1"/>
  <c r="U227" i="1"/>
  <c r="U262" i="1"/>
  <c r="U296" i="1"/>
  <c r="U330" i="1"/>
  <c r="U373" i="1"/>
  <c r="U407" i="1"/>
  <c r="U441" i="1"/>
  <c r="U483" i="1"/>
  <c r="U518" i="1"/>
  <c r="U552" i="1"/>
  <c r="U586" i="1"/>
  <c r="U629" i="1"/>
  <c r="U663" i="1"/>
  <c r="U697" i="1"/>
  <c r="U739" i="1"/>
  <c r="U774" i="1"/>
  <c r="U808" i="1"/>
  <c r="U842" i="1"/>
  <c r="U885" i="1"/>
  <c r="U919" i="1"/>
  <c r="U953" i="1"/>
  <c r="U995" i="1"/>
  <c r="U1030" i="1"/>
  <c r="U1064" i="1"/>
  <c r="U1098" i="1"/>
  <c r="U1141" i="1"/>
  <c r="U1175" i="1"/>
  <c r="U23" i="1"/>
  <c r="U69" i="1"/>
  <c r="U105" i="1"/>
  <c r="U151" i="1"/>
  <c r="U186" i="1"/>
  <c r="U229" i="1"/>
  <c r="U263" i="1"/>
  <c r="U297" i="1"/>
  <c r="U339" i="1"/>
  <c r="U374" i="1"/>
  <c r="U408" i="1"/>
  <c r="U442" i="1"/>
  <c r="U485" i="1"/>
  <c r="U519" i="1"/>
  <c r="U553" i="1"/>
  <c r="U595" i="1"/>
  <c r="U630" i="1"/>
  <c r="U664" i="1"/>
  <c r="U698" i="1"/>
  <c r="U741" i="1"/>
  <c r="U775" i="1"/>
  <c r="U809" i="1"/>
  <c r="U851" i="1"/>
  <c r="U886" i="1"/>
  <c r="U920" i="1"/>
  <c r="U954" i="1"/>
  <c r="U997" i="1"/>
  <c r="U1031" i="1"/>
  <c r="U1065" i="1"/>
  <c r="U1107" i="1"/>
  <c r="U1142" i="1"/>
  <c r="U1176" i="1"/>
  <c r="U24" i="1"/>
  <c r="U70" i="1"/>
  <c r="U106" i="1"/>
  <c r="U152" i="1"/>
  <c r="U195" i="1"/>
  <c r="U230" i="1"/>
  <c r="U264" i="1"/>
  <c r="U298" i="1"/>
  <c r="U341" i="1"/>
  <c r="U375" i="1"/>
  <c r="U409" i="1"/>
  <c r="U451" i="1"/>
  <c r="U486" i="1"/>
  <c r="U520" i="1"/>
  <c r="U554" i="1"/>
  <c r="U597" i="1"/>
  <c r="U631" i="1"/>
  <c r="U665" i="1"/>
  <c r="U707" i="1"/>
  <c r="U742" i="1"/>
  <c r="U776" i="1"/>
  <c r="U810" i="1"/>
  <c r="U853" i="1"/>
  <c r="U887" i="1"/>
  <c r="U921" i="1"/>
  <c r="U963" i="1"/>
  <c r="U998" i="1"/>
  <c r="U1032" i="1"/>
  <c r="U1066" i="1"/>
  <c r="U1109" i="1"/>
  <c r="U1143" i="1"/>
  <c r="U1177" i="1"/>
  <c r="U25" i="1"/>
  <c r="U71" i="1"/>
  <c r="U117" i="1"/>
  <c r="U153" i="1"/>
  <c r="U197" i="1"/>
  <c r="U231" i="1"/>
  <c r="U265" i="1"/>
  <c r="U307" i="1"/>
  <c r="U342" i="1"/>
  <c r="U376" i="1"/>
  <c r="U410" i="1"/>
  <c r="U453" i="1"/>
  <c r="U487" i="1"/>
  <c r="U521" i="1"/>
  <c r="U563" i="1"/>
  <c r="U598" i="1"/>
  <c r="U632" i="1"/>
  <c r="U666" i="1"/>
  <c r="U709" i="1"/>
  <c r="U743" i="1"/>
  <c r="U777" i="1"/>
  <c r="U819" i="1"/>
  <c r="U854" i="1"/>
  <c r="U888" i="1"/>
  <c r="U922" i="1"/>
  <c r="U965" i="1"/>
  <c r="U999" i="1"/>
  <c r="U1033" i="1"/>
  <c r="U1075" i="1"/>
  <c r="U1110" i="1"/>
  <c r="U1144" i="1"/>
  <c r="U1178" i="1"/>
  <c r="U182" i="1"/>
  <c r="U1061" i="1"/>
  <c r="U294" i="1"/>
  <c r="U26" i="1"/>
  <c r="U72" i="1"/>
  <c r="U118" i="1"/>
  <c r="U154" i="1"/>
  <c r="U198" i="1"/>
  <c r="U232" i="1"/>
  <c r="U266" i="1"/>
  <c r="U309" i="1"/>
  <c r="U343" i="1"/>
  <c r="U377" i="1"/>
  <c r="U419" i="1"/>
  <c r="U454" i="1"/>
  <c r="U488" i="1"/>
  <c r="U522" i="1"/>
  <c r="U565" i="1"/>
  <c r="U599" i="1"/>
  <c r="U633" i="1"/>
  <c r="U675" i="1"/>
  <c r="U710" i="1"/>
  <c r="U744" i="1"/>
  <c r="U778" i="1"/>
  <c r="U821" i="1"/>
  <c r="U855" i="1"/>
  <c r="U889" i="1"/>
  <c r="U931" i="1"/>
  <c r="U966" i="1"/>
  <c r="U1000" i="1"/>
  <c r="U1034" i="1"/>
  <c r="U1077" i="1"/>
  <c r="U1111" i="1"/>
  <c r="U1145" i="1"/>
  <c r="U1187" i="1"/>
  <c r="U137" i="1"/>
  <c r="U1095" i="1"/>
  <c r="U56" i="1"/>
  <c r="U362" i="1"/>
  <c r="U405" i="1"/>
  <c r="U439" i="1"/>
  <c r="U550" i="1"/>
  <c r="U618" i="1"/>
  <c r="U729" i="1"/>
  <c r="U840" i="1"/>
  <c r="U951" i="1"/>
  <c r="U1062" i="1"/>
  <c r="U1173" i="1"/>
  <c r="U37" i="1"/>
  <c r="U73" i="1"/>
  <c r="U119" i="1"/>
  <c r="U165" i="1"/>
  <c r="U199" i="1"/>
  <c r="U233" i="1"/>
  <c r="U275" i="1"/>
  <c r="U310" i="1"/>
  <c r="U344" i="1"/>
  <c r="U378" i="1"/>
  <c r="U421" i="1"/>
  <c r="U455" i="1"/>
  <c r="U489" i="1"/>
  <c r="U531" i="1"/>
  <c r="U566" i="1"/>
  <c r="U600" i="1"/>
  <c r="U634" i="1"/>
  <c r="U677" i="1"/>
  <c r="U711" i="1"/>
  <c r="U745" i="1"/>
  <c r="U787" i="1"/>
  <c r="U822" i="1"/>
  <c r="U856" i="1"/>
  <c r="U890" i="1"/>
  <c r="U933" i="1"/>
  <c r="U967" i="1"/>
  <c r="U1001" i="1"/>
  <c r="U1043" i="1"/>
  <c r="U1078" i="1"/>
  <c r="U1112" i="1"/>
  <c r="U1146" i="1"/>
  <c r="U1189" i="1"/>
  <c r="U55" i="1"/>
  <c r="U361" i="1"/>
  <c r="U438" i="1"/>
  <c r="U506" i="1"/>
  <c r="U549" i="1"/>
  <c r="U617" i="1"/>
  <c r="U659" i="1"/>
  <c r="U694" i="1"/>
  <c r="U762" i="1"/>
  <c r="U839" i="1"/>
  <c r="U915" i="1"/>
  <c r="U1018" i="1"/>
  <c r="U38" i="1"/>
  <c r="U74" i="1"/>
  <c r="U120" i="1"/>
  <c r="U166" i="1"/>
  <c r="U200" i="1"/>
  <c r="U234" i="1"/>
  <c r="U277" i="1"/>
  <c r="U311" i="1"/>
  <c r="U345" i="1"/>
  <c r="U387" i="1"/>
  <c r="U422" i="1"/>
  <c r="U456" i="1"/>
  <c r="U490" i="1"/>
  <c r="U533" i="1"/>
  <c r="U567" i="1"/>
  <c r="U601" i="1"/>
  <c r="U643" i="1"/>
  <c r="U678" i="1"/>
  <c r="U712" i="1"/>
  <c r="U746" i="1"/>
  <c r="U789" i="1"/>
  <c r="U823" i="1"/>
  <c r="U857" i="1"/>
  <c r="U899" i="1"/>
  <c r="U934" i="1"/>
  <c r="U968" i="1"/>
  <c r="U1002" i="1"/>
  <c r="U1045" i="1"/>
  <c r="U1079" i="1"/>
  <c r="U1113" i="1"/>
  <c r="U1155" i="1"/>
  <c r="U1190" i="1"/>
  <c r="U472" i="1"/>
  <c r="U328" i="1"/>
  <c r="U39" i="1"/>
  <c r="U85" i="1"/>
  <c r="U121" i="1"/>
  <c r="U167" i="1"/>
  <c r="U201" i="1"/>
  <c r="U243" i="1"/>
  <c r="U278" i="1"/>
  <c r="U312" i="1"/>
  <c r="U346" i="1"/>
  <c r="U389" i="1"/>
  <c r="U423" i="1"/>
  <c r="U457" i="1"/>
  <c r="U499" i="1"/>
  <c r="U534" i="1"/>
  <c r="U568" i="1"/>
  <c r="U602" i="1"/>
  <c r="U645" i="1"/>
  <c r="U679" i="1"/>
  <c r="U713" i="1"/>
  <c r="U755" i="1"/>
  <c r="U790" i="1"/>
  <c r="U824" i="1"/>
  <c r="U858" i="1"/>
  <c r="U901" i="1"/>
  <c r="U935" i="1"/>
  <c r="U969" i="1"/>
  <c r="U1011" i="1"/>
  <c r="U1046" i="1"/>
  <c r="U1080" i="1"/>
  <c r="U1114" i="1"/>
  <c r="U1157" i="1"/>
  <c r="U1191" i="1"/>
  <c r="U327" i="1"/>
  <c r="U102" i="1"/>
  <c r="U515" i="1"/>
  <c r="U806" i="1"/>
  <c r="U1027" i="1"/>
  <c r="U40" i="1"/>
  <c r="U86" i="1"/>
  <c r="U122" i="1"/>
  <c r="U168" i="1"/>
  <c r="U202" i="1"/>
  <c r="U245" i="1"/>
  <c r="U279" i="1"/>
  <c r="U313" i="1"/>
  <c r="U355" i="1"/>
  <c r="U390" i="1"/>
  <c r="U424" i="1"/>
  <c r="U458" i="1"/>
  <c r="U501" i="1"/>
  <c r="U535" i="1"/>
  <c r="U569" i="1"/>
  <c r="U611" i="1"/>
  <c r="U646" i="1"/>
  <c r="U680" i="1"/>
  <c r="U714" i="1"/>
  <c r="U757" i="1"/>
  <c r="U791" i="1"/>
  <c r="U825" i="1"/>
  <c r="U867" i="1"/>
  <c r="U902" i="1"/>
  <c r="U936" i="1"/>
  <c r="U970" i="1"/>
  <c r="U1013" i="1"/>
  <c r="U1047" i="1"/>
  <c r="U1081" i="1"/>
  <c r="U1123" i="1"/>
  <c r="U1158" i="1"/>
  <c r="U1192" i="1"/>
  <c r="U216" i="1"/>
  <c r="U1129" i="1"/>
  <c r="U217" i="1"/>
  <c r="U695" i="1"/>
  <c r="U985" i="1"/>
  <c r="U41" i="1"/>
  <c r="U87" i="1"/>
  <c r="U133" i="1"/>
  <c r="U169" i="1"/>
  <c r="U211" i="1"/>
  <c r="U246" i="1"/>
  <c r="U280" i="1"/>
  <c r="U314" i="1"/>
  <c r="U357" i="1"/>
  <c r="U391" i="1"/>
  <c r="U425" i="1"/>
  <c r="U467" i="1"/>
  <c r="U502" i="1"/>
  <c r="U536" i="1"/>
  <c r="U570" i="1"/>
  <c r="U613" i="1"/>
  <c r="U647" i="1"/>
  <c r="U681" i="1"/>
  <c r="U723" i="1"/>
  <c r="U758" i="1"/>
  <c r="U792" i="1"/>
  <c r="U826" i="1"/>
  <c r="U869" i="1"/>
  <c r="U903" i="1"/>
  <c r="U937" i="1"/>
  <c r="U979" i="1"/>
  <c r="U1014" i="1"/>
  <c r="U1048" i="1"/>
  <c r="U1082" i="1"/>
  <c r="U1125" i="1"/>
  <c r="U1159" i="1"/>
  <c r="U1193" i="1"/>
  <c r="U101" i="1"/>
  <c r="U583" i="1"/>
  <c r="U728" i="1"/>
  <c r="U873" i="1"/>
  <c r="U950" i="1"/>
  <c r="U1171" i="1"/>
  <c r="U138" i="1"/>
  <c r="U473" i="1"/>
  <c r="U661" i="1"/>
  <c r="U874" i="1"/>
  <c r="U1130" i="1"/>
  <c r="U42" i="1"/>
  <c r="U88" i="1"/>
  <c r="U134" i="1"/>
  <c r="U170" i="1"/>
  <c r="U213" i="1"/>
  <c r="U247" i="1"/>
  <c r="U281" i="1"/>
  <c r="U323" i="1"/>
  <c r="U358" i="1"/>
  <c r="U392" i="1"/>
  <c r="U426" i="1"/>
  <c r="U469" i="1"/>
  <c r="U503" i="1"/>
  <c r="U537" i="1"/>
  <c r="U579" i="1"/>
  <c r="U614" i="1"/>
  <c r="U648" i="1"/>
  <c r="U682" i="1"/>
  <c r="U725" i="1"/>
  <c r="U759" i="1"/>
  <c r="U793" i="1"/>
  <c r="U835" i="1"/>
  <c r="U870" i="1"/>
  <c r="U904" i="1"/>
  <c r="U938" i="1"/>
  <c r="U981" i="1"/>
  <c r="U1015" i="1"/>
  <c r="U1049" i="1"/>
  <c r="U1091" i="1"/>
  <c r="U1126" i="1"/>
  <c r="U1160" i="1"/>
  <c r="U1194" i="1"/>
  <c r="U250" i="1"/>
  <c r="U259" i="1"/>
  <c r="U53" i="1"/>
  <c r="U89" i="1"/>
  <c r="U135" i="1"/>
  <c r="U179" i="1"/>
  <c r="U214" i="1"/>
  <c r="U248" i="1"/>
  <c r="U282" i="1"/>
  <c r="U325" i="1"/>
  <c r="U359" i="1"/>
  <c r="U393" i="1"/>
  <c r="U435" i="1"/>
  <c r="U470" i="1"/>
  <c r="U504" i="1"/>
  <c r="U538" i="1"/>
  <c r="U581" i="1"/>
  <c r="U615" i="1"/>
  <c r="U649" i="1"/>
  <c r="U691" i="1"/>
  <c r="U726" i="1"/>
  <c r="U760" i="1"/>
  <c r="U794" i="1"/>
  <c r="U837" i="1"/>
  <c r="U871" i="1"/>
  <c r="U905" i="1"/>
  <c r="U947" i="1"/>
  <c r="U982" i="1"/>
  <c r="U1016" i="1"/>
  <c r="U1050" i="1"/>
  <c r="U1093" i="1"/>
  <c r="U1127" i="1"/>
  <c r="U1161" i="1"/>
  <c r="U403" i="1"/>
  <c r="U54" i="1"/>
  <c r="U90" i="1"/>
  <c r="U136" i="1"/>
  <c r="U181" i="1"/>
  <c r="U215" i="1"/>
  <c r="U249" i="1"/>
  <c r="U291" i="1"/>
  <c r="U326" i="1"/>
  <c r="U360" i="1"/>
  <c r="U394" i="1"/>
  <c r="U437" i="1"/>
  <c r="U471" i="1"/>
  <c r="U505" i="1"/>
  <c r="U547" i="1"/>
  <c r="U582" i="1"/>
  <c r="U616" i="1"/>
  <c r="U650" i="1"/>
  <c r="U693" i="1"/>
  <c r="U727" i="1"/>
  <c r="U761" i="1"/>
  <c r="U803" i="1"/>
  <c r="U838" i="1"/>
  <c r="U872" i="1"/>
  <c r="U906" i="1"/>
  <c r="U949" i="1"/>
  <c r="U983" i="1"/>
  <c r="U1017" i="1"/>
  <c r="U1059" i="1"/>
  <c r="U1094" i="1"/>
  <c r="U1128" i="1"/>
  <c r="U1162" i="1"/>
  <c r="U293" i="1"/>
  <c r="U805" i="1"/>
  <c r="U984" i="1"/>
  <c r="U183" i="1"/>
  <c r="U584" i="1"/>
  <c r="U771" i="1"/>
  <c r="U917" i="1"/>
  <c r="U109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14157-CDF9-4DAD-823F-8142425578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2A3B2F-2E22-4C51-8BD0-B5BC2B0BED78}" name="WorksheetConnection_Dataset for Data Analytics (3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atasetforDataAnalytics3.xlsxTable11"/>
        </x15:connection>
      </ext>
    </extLst>
  </connection>
</connections>
</file>

<file path=xl/sharedStrings.xml><?xml version="1.0" encoding="utf-8"?>
<sst xmlns="http://schemas.openxmlformats.org/spreadsheetml/2006/main" count="10950" uniqueCount="4334">
  <si>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</si>
  <si>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</si>
  <si>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</si>
  <si>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</si>
  <si>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</si>
  <si>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</si>
  <si>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</si>
  <si>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</si>
  <si>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</si>
  <si>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</si>
  <si>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</si>
  <si>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</si>
  <si>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</si>
  <si>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</si>
  <si>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</si>
  <si>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</si>
  <si>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</si>
  <si>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</si>
  <si>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</si>
  <si>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</si>
  <si>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</si>
  <si>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</si>
  <si>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</si>
  <si>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</si>
  <si>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</si>
  <si>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</si>
  <si>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</si>
  <si>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</si>
  <si>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</si>
  <si>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</si>
  <si>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</si>
  <si>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</si>
  <si>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</si>
  <si>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</si>
  <si>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</si>
  <si>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</si>
  <si>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</si>
  <si>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</si>
  <si>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</si>
  <si>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</si>
  <si>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</si>
  <si>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</si>
  <si>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</si>
  <si>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</si>
  <si>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</si>
  <si>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</si>
  <si>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</si>
  <si>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</si>
  <si>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</si>
  <si>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</si>
  <si>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</si>
  <si>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</si>
  <si>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</si>
  <si>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</si>
  <si>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</si>
  <si>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</si>
  <si>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</si>
  <si>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</si>
  <si>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</si>
  <si>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</si>
  <si>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</si>
  <si>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</si>
  <si>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</si>
  <si>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</si>
  <si>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</si>
  <si>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</si>
  <si>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</si>
  <si>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</si>
  <si>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</si>
  <si>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</si>
  <si>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</si>
  <si>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</si>
  <si>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</si>
  <si>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</si>
  <si>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</si>
  <si>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</si>
  <si>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</si>
  <si>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</si>
  <si>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</si>
  <si>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</si>
  <si>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</si>
  <si>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</si>
  <si>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</si>
  <si>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</si>
  <si>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</si>
  <si>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</si>
  <si>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</si>
  <si>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</si>
  <si>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</si>
  <si>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</si>
  <si>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</si>
  <si>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</si>
  <si>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</si>
  <si>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</si>
  <si>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</si>
  <si>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</si>
  <si>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</si>
  <si>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</si>
  <si>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</si>
  <si>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</si>
  <si>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</si>
  <si>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</si>
  <si>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</si>
  <si>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</si>
  <si>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</si>
  <si>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</si>
  <si>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</si>
  <si>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</si>
  <si>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</si>
  <si>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</si>
  <si>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</si>
  <si>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</si>
  <si>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</si>
  <si>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</si>
  <si>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</si>
  <si>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</si>
  <si>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</si>
  <si>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</si>
  <si>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</si>
  <si>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</si>
  <si>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</si>
  <si>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</si>
  <si>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</si>
  <si>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</si>
  <si>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</si>
  <si>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</si>
  <si>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</si>
  <si>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</si>
  <si>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</si>
  <si>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</si>
  <si>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</si>
  <si>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</si>
  <si>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</si>
  <si>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</si>
  <si>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</si>
  <si>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</si>
  <si>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</si>
  <si>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</si>
  <si>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</si>
  <si>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</si>
  <si>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</si>
  <si>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</si>
  <si>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</si>
  <si>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</si>
  <si>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</si>
  <si>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</si>
  <si>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</si>
  <si>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</si>
  <si>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</si>
  <si>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</si>
  <si>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</si>
  <si>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</si>
  <si>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</si>
  <si>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</si>
  <si>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</si>
  <si>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</si>
  <si>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</si>
  <si>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</si>
  <si>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</si>
  <si>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</si>
  <si>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</si>
  <si>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</si>
  <si>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</si>
  <si>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</si>
  <si>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</si>
  <si>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</si>
  <si>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</si>
  <si>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</si>
  <si>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</si>
  <si>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</si>
  <si>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</si>
  <si>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</si>
  <si>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</si>
  <si>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</si>
  <si>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</si>
  <si>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</si>
  <si>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</si>
  <si>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</si>
  <si>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</si>
  <si>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</si>
  <si>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</si>
  <si>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</si>
  <si>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</si>
  <si>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</si>
  <si>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</si>
  <si>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</si>
  <si>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</si>
  <si>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</si>
  <si>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</si>
  <si>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</si>
  <si>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</si>
  <si>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</si>
  <si>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</si>
  <si>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</si>
  <si>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</si>
  <si>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</si>
  <si>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</si>
  <si>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</si>
  <si>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</si>
  <si>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</si>
  <si>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</si>
  <si>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</si>
  <si>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</si>
  <si>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</si>
  <si>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</si>
  <si>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</si>
  <si>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</si>
  <si>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</si>
  <si>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</si>
  <si>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</si>
  <si>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</si>
  <si>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</si>
  <si>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</si>
  <si>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</si>
  <si>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</si>
  <si>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</si>
  <si>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</si>
  <si>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</si>
  <si>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</si>
  <si>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</si>
  <si>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</si>
  <si>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</si>
  <si>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</si>
  <si>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</si>
  <si>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</si>
  <si>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</si>
  <si>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</si>
  <si>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</si>
  <si>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</si>
  <si>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</si>
  <si>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</si>
  <si>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</si>
  <si>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</si>
  <si>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</si>
  <si>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</si>
  <si>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</si>
  <si>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</si>
  <si>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</si>
  <si>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</si>
  <si>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</si>
  <si>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</si>
  <si>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</si>
  <si>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</si>
  <si>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</si>
  <si>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</si>
  <si>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</si>
  <si>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</si>
  <si>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</si>
  <si>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</si>
  <si>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</si>
  <si>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</si>
  <si>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</si>
  <si>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</si>
  <si>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</si>
  <si>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</si>
  <si>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</si>
  <si>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</si>
  <si>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</si>
  <si>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</si>
  <si>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</si>
  <si>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</si>
  <si>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</si>
  <si>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</si>
  <si>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</si>
  <si>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</si>
  <si>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</si>
  <si>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</si>
  <si>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</si>
  <si>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</si>
  <si>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</si>
  <si>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</si>
  <si>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</si>
  <si>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</si>
  <si>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</si>
  <si>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</si>
  <si>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</si>
  <si>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</si>
  <si>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</si>
  <si>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</si>
  <si>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</si>
  <si>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</si>
  <si>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</si>
  <si>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</si>
  <si>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</si>
  <si>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</si>
  <si>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</si>
  <si>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</si>
  <si>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</si>
  <si>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</si>
  <si>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</si>
  <si>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</si>
  <si>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</si>
  <si>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</si>
  <si>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</si>
  <si>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</si>
  <si>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</si>
  <si>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</si>
  <si>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</si>
  <si>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</si>
  <si>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</si>
  <si>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</si>
  <si>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</si>
  <si>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</si>
  <si>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</si>
  <si>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</si>
  <si>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</si>
  <si>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</si>
  <si>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</si>
  <si>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</si>
  <si>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</si>
  <si>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</si>
  <si>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</si>
  <si>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</si>
  <si>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</si>
  <si>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</si>
  <si>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</si>
  <si>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</si>
  <si>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</si>
  <si>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</si>
  <si>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</si>
  <si>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</si>
  <si>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</si>
  <si>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</si>
  <si>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</si>
  <si>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</si>
  <si>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</si>
  <si>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</si>
  <si>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</si>
  <si>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</si>
  <si>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</si>
  <si>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</si>
  <si>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</si>
  <si>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</si>
  <si>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</si>
  <si>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</si>
  <si>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</si>
  <si>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</si>
  <si>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</si>
  <si>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</si>
  <si>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</si>
  <si>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</si>
  <si>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</si>
  <si>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</si>
  <si>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</si>
  <si>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</si>
  <si>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</si>
  <si>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</si>
  <si>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</si>
  <si>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</si>
  <si>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</si>
  <si>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</si>
  <si>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</si>
  <si>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</si>
  <si>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</si>
  <si>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</si>
  <si>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</si>
  <si>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</si>
  <si>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</si>
  <si>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</si>
  <si>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</si>
  <si>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</si>
  <si>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</si>
  <si>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</si>
  <si>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</si>
  <si>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</si>
  <si>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</si>
  <si>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</si>
  <si>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</si>
  <si>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</si>
  <si>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</si>
  <si>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</si>
  <si>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</si>
  <si>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</si>
  <si>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</si>
  <si>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</si>
  <si>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</si>
  <si>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</si>
  <si>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</si>
  <si>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</si>
  <si>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</si>
  <si>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</si>
  <si>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</si>
  <si>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</si>
  <si>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</si>
  <si>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</si>
  <si>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</si>
  <si>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</si>
  <si>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</si>
  <si>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</si>
  <si>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</si>
  <si>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</si>
  <si>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</si>
  <si>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</si>
  <si>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</si>
  <si>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</si>
  <si>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</si>
  <si>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</si>
  <si>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</si>
  <si>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</si>
  <si>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</si>
  <si>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</si>
  <si>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</si>
  <si>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</si>
  <si>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</si>
  <si>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</si>
  <si>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</si>
  <si>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</si>
  <si>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</si>
  <si>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</si>
  <si>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</si>
  <si>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</si>
  <si>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</si>
  <si>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</si>
  <si>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</si>
  <si>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</si>
  <si>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</si>
  <si>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</si>
  <si>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</si>
  <si>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</si>
  <si>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</si>
  <si>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</si>
  <si>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</si>
  <si>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</si>
  <si>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</si>
  <si>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</si>
  <si>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</si>
  <si>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</si>
  <si>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</si>
  <si>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</si>
  <si>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</si>
  <si>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</si>
  <si>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</si>
  <si>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</si>
  <si>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</si>
  <si>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</si>
  <si>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</si>
  <si>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</si>
  <si>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</si>
  <si>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</si>
  <si>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</si>
  <si>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</si>
  <si>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</si>
  <si>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</si>
  <si>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</si>
  <si>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</si>
  <si>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</si>
  <si>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</si>
  <si>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</si>
  <si>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</si>
  <si>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</si>
  <si>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</si>
  <si>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</si>
  <si>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</si>
  <si>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</si>
  <si>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</si>
  <si>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</si>
  <si>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</si>
  <si>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</si>
  <si>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</si>
  <si>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</si>
  <si>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</si>
  <si>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</si>
  <si>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</si>
  <si>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</si>
  <si>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</si>
  <si>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</si>
  <si>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</si>
  <si>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</si>
  <si>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</si>
  <si>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</si>
  <si>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</si>
  <si>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</si>
  <si>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</si>
  <si>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</si>
  <si>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</si>
  <si>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</si>
  <si>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</si>
  <si>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</si>
  <si>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</si>
  <si>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</si>
  <si>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</si>
  <si>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</si>
  <si>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</si>
  <si>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</si>
  <si>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</si>
  <si>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</si>
  <si>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</si>
  <si>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</si>
  <si>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</si>
  <si>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</si>
  <si>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</si>
  <si>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</si>
  <si>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</si>
  <si>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</si>
  <si>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</si>
  <si>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</si>
  <si>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</si>
  <si>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</si>
  <si>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</si>
  <si>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</si>
  <si>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</si>
  <si>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</si>
  <si>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</si>
  <si>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</si>
  <si>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</si>
  <si>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</si>
  <si>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</si>
  <si>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</si>
  <si>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</si>
  <si>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</si>
  <si>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</si>
  <si>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</si>
  <si>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</si>
  <si>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</si>
  <si>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</si>
  <si>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</si>
  <si>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</si>
  <si>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</si>
  <si>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</si>
  <si>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</si>
  <si>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</si>
  <si>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</si>
  <si>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</si>
  <si>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</si>
  <si>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</si>
  <si>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</si>
  <si>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</si>
  <si>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</si>
  <si>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</si>
  <si>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</si>
  <si>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</si>
  <si>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</si>
  <si>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</si>
  <si>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</si>
  <si>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</si>
  <si>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</si>
  <si>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</si>
  <si>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</si>
  <si>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</si>
  <si>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</si>
  <si>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</si>
  <si>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</si>
  <si>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</si>
  <si>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</si>
  <si>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</si>
  <si>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</si>
  <si>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</si>
  <si>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</si>
  <si>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</si>
  <si>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</si>
  <si>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</si>
  <si>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</si>
  <si>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</si>
  <si>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</si>
  <si>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</si>
  <si>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</si>
  <si>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</si>
  <si>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</si>
  <si>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</si>
  <si>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</si>
  <si>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</si>
  <si>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</si>
  <si>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</si>
  <si>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</si>
  <si>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</si>
  <si>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</si>
  <si>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</si>
  <si>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</si>
  <si>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</si>
  <si>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</si>
  <si>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</si>
  <si>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</si>
  <si>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</si>
  <si>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</si>
  <si>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</si>
  <si>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</si>
  <si>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</si>
  <si>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</si>
  <si>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</si>
  <si>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</si>
  <si>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</si>
  <si>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</si>
  <si>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</si>
  <si>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</si>
  <si>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</si>
  <si>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</si>
  <si>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</si>
  <si>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</si>
  <si>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</si>
  <si>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</si>
  <si>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</si>
  <si>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</si>
  <si>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</si>
  <si>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</si>
  <si>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</si>
  <si>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</si>
  <si>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</si>
  <si>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</si>
  <si>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</si>
  <si>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</si>
  <si>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</si>
  <si>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</si>
  <si>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</si>
  <si>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</si>
  <si>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</si>
  <si>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</si>
  <si>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</si>
  <si>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</si>
  <si>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</si>
  <si>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</si>
  <si>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</si>
  <si>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</si>
  <si>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</si>
  <si>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</si>
  <si>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</si>
  <si>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</si>
  <si>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</si>
  <si>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</si>
  <si>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</si>
  <si>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</si>
  <si>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</si>
  <si>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</si>
  <si>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</si>
  <si>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</si>
  <si>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</si>
  <si>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</si>
  <si>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</si>
  <si>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</si>
  <si>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</si>
  <si>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</si>
  <si>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</si>
  <si>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</si>
  <si>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</si>
  <si>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</si>
  <si>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</si>
  <si>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</si>
  <si>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</si>
  <si>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</si>
  <si>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</si>
  <si>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</si>
  <si>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</si>
  <si>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</si>
  <si>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</si>
  <si>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</si>
  <si>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</si>
  <si>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</si>
  <si>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</si>
  <si>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</si>
  <si>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</si>
  <si>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</si>
  <si>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</si>
  <si>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</si>
  <si>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</si>
  <si>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</si>
  <si>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</si>
  <si>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</si>
  <si>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</si>
  <si>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</si>
  <si>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</si>
  <si>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</si>
  <si>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</si>
  <si>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</si>
  <si>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</si>
  <si>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</si>
  <si>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</si>
  <si>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</si>
  <si>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</si>
  <si>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</si>
  <si>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</si>
  <si>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</si>
  <si>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</si>
  <si>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</si>
  <si>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</si>
  <si>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</si>
  <si>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</si>
  <si>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</si>
  <si>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</si>
  <si>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</si>
  <si>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</si>
  <si>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</si>
  <si>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</si>
  <si>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</si>
  <si>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</si>
  <si>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</si>
  <si>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</si>
  <si>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</si>
  <si>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</si>
  <si>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</si>
  <si>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</si>
  <si>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</si>
  <si>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</si>
  <si>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</si>
  <si>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</si>
  <si>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</si>
  <si>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</si>
  <si>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</si>
  <si>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</si>
  <si>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</si>
  <si>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</si>
  <si>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</si>
  <si>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</si>
  <si>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</si>
  <si>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</si>
  <si>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</si>
  <si>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</si>
  <si>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</si>
  <si>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</si>
  <si>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</si>
  <si>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</si>
  <si>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</si>
  <si>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</si>
  <si>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</si>
  <si>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</si>
  <si>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</si>
  <si>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</si>
  <si>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</si>
  <si>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</si>
  <si>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</si>
  <si>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</si>
  <si>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</si>
  <si>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</si>
  <si>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</si>
  <si>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</si>
  <si>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</si>
  <si>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</si>
  <si>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</si>
  <si>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</si>
  <si>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</si>
  <si>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</si>
  <si>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</si>
  <si>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</si>
  <si>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</si>
  <si>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</si>
  <si>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</si>
  <si>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</si>
  <si>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</si>
  <si>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</si>
  <si>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</si>
  <si>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</si>
  <si>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</si>
  <si>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</si>
  <si>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</si>
  <si>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</si>
  <si>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</si>
  <si>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</si>
  <si>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</si>
  <si>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</si>
  <si>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</si>
  <si>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</si>
  <si>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</si>
  <si>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</si>
  <si>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</si>
  <si>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</si>
  <si>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</si>
  <si>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</si>
  <si>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</si>
  <si>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</si>
  <si>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</si>
  <si>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</si>
  <si>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</si>
  <si>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</si>
  <si>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</si>
  <si>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</si>
  <si>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</si>
  <si>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</si>
  <si>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</si>
  <si>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</si>
  <si>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</si>
  <si>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</si>
  <si>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</si>
  <si>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</si>
  <si>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</si>
  <si>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</si>
  <si>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</si>
  <si>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</si>
  <si>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</si>
  <si>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</si>
  <si>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</si>
  <si>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</si>
  <si>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</si>
  <si>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</si>
  <si>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</si>
  <si>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</si>
  <si>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</si>
  <si>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</si>
  <si>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</si>
  <si>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</si>
  <si>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</si>
  <si>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</si>
  <si>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</si>
  <si>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</si>
  <si>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</si>
  <si>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</si>
  <si>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</si>
  <si>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</si>
  <si>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</si>
  <si>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</si>
  <si>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</si>
  <si>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</si>
  <si>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</si>
  <si>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</si>
  <si>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</si>
  <si>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</si>
  <si>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</si>
  <si>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</si>
  <si>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</si>
  <si>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</si>
  <si>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</si>
  <si>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</si>
  <si>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</si>
  <si>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</si>
  <si>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</si>
  <si>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</si>
  <si>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</si>
  <si>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</si>
  <si>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</si>
  <si>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</si>
  <si>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</si>
  <si>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</si>
  <si>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</si>
  <si>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</si>
  <si>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</si>
  <si>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</si>
  <si>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</si>
  <si>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</si>
  <si>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</si>
  <si>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</si>
  <si>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</si>
  <si>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</si>
  <si>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</si>
  <si>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</si>
  <si>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</si>
  <si>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</si>
  <si>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</si>
  <si>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</si>
  <si>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</si>
  <si>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</si>
  <si>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</si>
  <si>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</si>
  <si>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</si>
  <si>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</si>
  <si>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</si>
  <si>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</si>
  <si>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</si>
  <si>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</si>
  <si>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</si>
  <si>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</si>
  <si>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</si>
  <si>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</si>
  <si>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</si>
  <si>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</si>
  <si>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</si>
  <si>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</si>
  <si>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</si>
  <si>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</si>
  <si>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</si>
  <si>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</si>
  <si>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</si>
  <si>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</si>
  <si>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</si>
  <si>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</si>
  <si>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</si>
  <si>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</si>
  <si>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</si>
  <si>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</si>
  <si>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</si>
  <si>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</si>
  <si>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</si>
  <si>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</si>
  <si>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</si>
  <si>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</si>
  <si>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</si>
  <si>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</si>
  <si>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</si>
  <si>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</si>
  <si>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</si>
  <si>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</si>
  <si>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</si>
  <si>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</si>
  <si>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</si>
  <si>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</si>
  <si>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</si>
  <si>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</si>
  <si>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</si>
  <si>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</si>
  <si>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</si>
  <si>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</si>
  <si>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</si>
  <si>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</si>
  <si>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</si>
  <si>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</si>
  <si>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</si>
  <si>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</si>
  <si>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</si>
  <si>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</si>
  <si>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</si>
  <si>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</si>
  <si>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</si>
  <si>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</si>
  <si>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</si>
  <si>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</si>
  <si>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</si>
  <si>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</si>
  <si>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</si>
  <si>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</si>
  <si>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</si>
  <si>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</si>
  <si>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</si>
  <si>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</si>
  <si>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</si>
  <si>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</si>
  <si>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</si>
  <si>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</si>
  <si>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</si>
  <si>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</si>
  <si>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</si>
  <si>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</si>
  <si>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</si>
  <si>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</si>
  <si>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</si>
  <si>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</si>
  <si>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</si>
  <si>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</si>
  <si>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</si>
  <si>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</si>
  <si>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</si>
  <si>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</si>
  <si>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</si>
  <si>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</si>
  <si>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</si>
  <si>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</si>
  <si>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</si>
  <si>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</si>
  <si>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</si>
  <si>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</si>
  <si>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</si>
  <si>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</si>
  <si>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</si>
  <si>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</si>
  <si>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</si>
  <si>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</si>
  <si>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</si>
  <si>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</si>
  <si>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</si>
  <si>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</si>
  <si>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</si>
  <si>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</si>
  <si>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</si>
  <si>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</si>
  <si>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</si>
  <si>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</si>
  <si>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</si>
  <si>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</si>
  <si>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</si>
  <si>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</si>
  <si>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</si>
  <si>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</si>
  <si>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</si>
  <si>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</si>
  <si>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</si>
  <si>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</si>
  <si>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</si>
  <si>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</si>
  <si>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</si>
  <si>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</si>
  <si>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</si>
  <si>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</si>
  <si>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</si>
  <si>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</si>
  <si>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</si>
  <si>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</si>
  <si>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</si>
  <si>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</si>
  <si>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</si>
  <si>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</si>
  <si>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</si>
  <si>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</si>
  <si>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</si>
  <si>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</si>
  <si>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</si>
  <si>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</si>
  <si>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</si>
  <si>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</si>
  <si>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</si>
  <si>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</si>
  <si>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</si>
  <si>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</si>
  <si>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</si>
  <si>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</si>
  <si>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</si>
  <si>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</si>
  <si>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</si>
  <si>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</si>
  <si>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</si>
  <si>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</si>
  <si>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</si>
  <si>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</si>
  <si>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</si>
  <si>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</si>
  <si>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</si>
  <si>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</si>
  <si>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</si>
  <si>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</si>
  <si>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</si>
  <si>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</si>
  <si>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</si>
  <si>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</si>
  <si>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</si>
  <si>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</si>
  <si>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</si>
  <si>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</si>
  <si>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</si>
  <si>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</si>
  <si>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</si>
  <si>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</si>
  <si>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</si>
  <si>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</si>
  <si>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</si>
  <si>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</si>
  <si>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</si>
  <si>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</si>
  <si>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</si>
  <si>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</si>
  <si>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</si>
  <si>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</si>
  <si>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</si>
  <si>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</si>
  <si>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</si>
  <si>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</si>
  <si>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</si>
  <si>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</si>
  <si>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</si>
  <si>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</si>
  <si>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</si>
  <si>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</si>
  <si>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</si>
  <si>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</si>
  <si>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</si>
  <si>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</si>
  <si>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</si>
  <si>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</si>
  <si>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</si>
  <si>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</si>
  <si>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</si>
  <si>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</si>
  <si>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</si>
  <si>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</si>
  <si>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</si>
  <si>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</si>
  <si>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</si>
  <si>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</si>
  <si>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</si>
  <si>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</si>
  <si>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</si>
  <si>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</si>
  <si>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</si>
  <si>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</si>
  <si>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</si>
  <si>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</si>
  <si>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</si>
  <si>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</si>
  <si>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</si>
  <si>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</si>
  <si>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</si>
  <si>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</si>
  <si>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</si>
  <si>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</si>
  <si>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</si>
  <si>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</si>
  <si>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</si>
  <si>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</si>
  <si>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</si>
  <si>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</si>
  <si>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</si>
  <si>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</si>
  <si>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</si>
  <si>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</si>
  <si>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</si>
  <si>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</si>
  <si>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</si>
  <si>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</si>
  <si>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</si>
  <si>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</si>
  <si>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</si>
  <si>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</si>
  <si>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</si>
  <si>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</si>
  <si>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</si>
  <si>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</si>
  <si>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</si>
  <si>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</si>
  <si>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</si>
  <si>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</si>
  <si>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</si>
  <si>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</si>
  <si>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</si>
  <si>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</si>
  <si>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</si>
  <si>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</si>
  <si>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</si>
  <si>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</si>
  <si>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</si>
  <si>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</si>
  <si>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</si>
  <si>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</si>
  <si>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</si>
  <si>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</si>
  <si>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</si>
  <si>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</si>
  <si>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</si>
  <si>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</si>
  <si>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</si>
  <si>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</si>
  <si>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</si>
  <si>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</si>
  <si>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</si>
  <si>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</si>
  <si>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</si>
  <si>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</si>
  <si>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</si>
  <si>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</si>
  <si>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</si>
  <si>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</si>
  <si>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</si>
  <si>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</si>
  <si>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</si>
  <si>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</si>
  <si>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</si>
  <si>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</si>
  <si>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</si>
  <si>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</si>
  <si>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</si>
  <si>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</si>
  <si>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</si>
  <si>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</si>
  <si>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</si>
  <si>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</si>
  <si>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</si>
  <si>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</si>
  <si>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</si>
  <si>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</si>
  <si>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</si>
  <si>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</si>
  <si>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</si>
  <si>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</si>
  <si>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</si>
  <si>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</si>
  <si>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</si>
  <si>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</si>
  <si>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</si>
  <si>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</si>
  <si>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</si>
  <si>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</si>
  <si>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</si>
  <si>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</si>
  <si>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</si>
  <si>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</si>
  <si>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</si>
  <si>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</si>
  <si>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</si>
  <si>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</si>
  <si>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</si>
  <si>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</si>
  <si>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</si>
  <si>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</si>
  <si>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</si>
  <si>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</si>
  <si>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</si>
  <si>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</si>
  <si>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</si>
  <si>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</si>
  <si>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</si>
  <si>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</si>
  <si>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</si>
  <si>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</si>
  <si>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</si>
  <si>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</si>
  <si>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</si>
  <si>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</si>
  <si>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</si>
  <si>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</si>
  <si>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</si>
  <si>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</si>
  <si>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</si>
  <si>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</si>
  <si>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</si>
  <si>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</si>
  <si>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</si>
  <si>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</si>
  <si>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</si>
  <si>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</si>
  <si>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</si>
  <si>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</si>
  <si>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</si>
  <si>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</si>
  <si>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</si>
  <si>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</si>
  <si>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</si>
  <si>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</si>
  <si>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</si>
  <si>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</si>
  <si>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</si>
  <si>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</si>
  <si>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</si>
  <si>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</si>
  <si>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</si>
  <si>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</si>
  <si>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</si>
  <si>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</si>
  <si>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</si>
  <si>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</si>
  <si>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</si>
  <si>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</si>
  <si>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</si>
  <si>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</si>
  <si>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</si>
  <si>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</si>
  <si>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</si>
  <si>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</si>
  <si>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</si>
  <si>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</si>
  <si>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</si>
  <si>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</si>
  <si>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</si>
  <si>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</si>
  <si>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</si>
  <si>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</si>
  <si>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</si>
  <si>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</si>
  <si>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</si>
  <si>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</si>
  <si>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</si>
  <si>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</si>
  <si>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</si>
  <si>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</si>
  <si>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</si>
  <si>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</si>
  <si>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</si>
  <si>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</si>
  <si>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</si>
  <si>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</si>
  <si>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</si>
  <si>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</si>
  <si>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</si>
  <si>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</si>
  <si>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</si>
  <si>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</si>
  <si>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</si>
  <si>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</si>
  <si>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</si>
  <si>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</si>
  <si>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</si>
  <si>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</si>
  <si>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</si>
  <si>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</si>
  <si>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</si>
  <si>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</si>
  <si>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</si>
  <si>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</si>
  <si>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</si>
  <si>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</si>
  <si>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</si>
  <si>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</si>
  <si>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</si>
  <si>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</si>
  <si>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</si>
  <si>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</si>
  <si>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</si>
  <si>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</si>
  <si>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</si>
  <si>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</si>
  <si>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</si>
  <si>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</si>
  <si>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</si>
  <si>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</si>
  <si>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</si>
  <si>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</si>
  <si>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</si>
  <si>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</si>
  <si>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</si>
  <si>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</si>
  <si>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</si>
  <si>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</si>
  <si>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</si>
  <si>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</si>
  <si>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</si>
  <si>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</si>
  <si>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</si>
  <si>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</si>
  <si>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</si>
  <si>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</si>
  <si>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</si>
  <si>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</si>
  <si>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</si>
  <si>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</si>
  <si>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</si>
  <si>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</si>
  <si>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</si>
  <si>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</si>
  <si>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</si>
  <si>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</si>
  <si>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</si>
  <si>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</si>
  <si>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</si>
  <si>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</si>
  <si>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</si>
  <si>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</si>
  <si>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</si>
  <si>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</si>
  <si>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</si>
  <si>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</si>
  <si>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</si>
  <si>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</si>
  <si>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</si>
  <si>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</si>
  <si>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</si>
  <si>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</si>
  <si>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</si>
  <si>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</si>
  <si>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</si>
  <si>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</si>
  <si>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</si>
  <si>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</si>
  <si>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</si>
  <si>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</si>
  <si>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</si>
  <si>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</si>
  <si>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</si>
  <si>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</si>
  <si>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</si>
  <si>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</si>
  <si>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</si>
  <si>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</si>
  <si>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</si>
  <si>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</si>
  <si>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</si>
  <si>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</si>
  <si>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</si>
  <si>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</si>
  <si>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</si>
  <si>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</si>
  <si>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</si>
  <si>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</si>
  <si>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</si>
  <si>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</si>
  <si>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</si>
  <si>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</si>
  <si>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</si>
  <si>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</si>
  <si>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</si>
  <si>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</si>
  <si>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</si>
  <si>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</si>
  <si>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</si>
  <si>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</si>
  <si>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</si>
  <si>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</si>
  <si>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</si>
  <si>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</si>
  <si>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</si>
  <si>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</si>
  <si>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</si>
  <si>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</si>
  <si>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</si>
  <si>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</si>
  <si>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</si>
  <si>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</si>
  <si>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</si>
  <si>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</si>
  <si>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</si>
  <si>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</si>
  <si>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</si>
  <si>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</si>
  <si>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</si>
  <si>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</si>
  <si>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</si>
  <si>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</si>
  <si>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</si>
  <si>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</si>
  <si>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</si>
  <si>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</si>
  <si>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</si>
  <si>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</si>
  <si>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</si>
  <si>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</si>
  <si>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</si>
  <si>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</si>
  <si>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</si>
  <si>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</si>
  <si>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</si>
  <si>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</si>
  <si>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</si>
  <si>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</si>
  <si>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</si>
  <si>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</si>
  <si>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</si>
  <si>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</si>
  <si>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</si>
  <si>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</si>
  <si>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</si>
  <si>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</si>
  <si>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</si>
  <si>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</si>
  <si>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</si>
  <si>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</si>
  <si>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</si>
  <si>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</si>
  <si>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</si>
  <si>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</si>
  <si>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</si>
  <si>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</si>
  <si>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</si>
  <si>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</si>
  <si>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</si>
  <si>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</si>
  <si>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</si>
  <si>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</si>
  <si>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</si>
  <si>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</si>
  <si>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</si>
  <si>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</si>
  <si>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</si>
  <si>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</si>
  <si>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</si>
  <si>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</si>
  <si>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</si>
  <si>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</si>
  <si>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</si>
  <si>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</si>
  <si>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</si>
  <si>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</si>
  <si>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</si>
  <si>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</si>
  <si>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</si>
  <si>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</si>
  <si>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</si>
  <si>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</si>
  <si>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</si>
  <si>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</si>
  <si>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</si>
  <si>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</si>
  <si>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</si>
  <si>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</si>
  <si>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</si>
  <si>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</si>
  <si>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</si>
  <si>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</si>
  <si>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</si>
  <si>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</si>
  <si>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</si>
  <si>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</si>
  <si>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</si>
  <si>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</si>
  <si>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</si>
  <si>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</si>
  <si>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</si>
  <si>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</si>
  <si>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</si>
  <si>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</si>
  <si>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</si>
  <si>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</si>
  <si>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</si>
  <si>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</si>
  <si>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</si>
  <si>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</si>
  <si>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</si>
  <si>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</si>
  <si>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</si>
  <si>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</si>
  <si>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</si>
  <si>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</si>
  <si>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</si>
  <si>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</si>
  <si>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</si>
  <si>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</si>
  <si>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</si>
  <si>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</si>
  <si>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</si>
  <si>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</si>
  <si>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</si>
  <si>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</si>
  <si>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</si>
  <si>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</si>
  <si>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</si>
  <si>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</si>
  <si>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</si>
  <si>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</si>
  <si>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</si>
  <si>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</si>
  <si>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</si>
  <si>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</si>
  <si>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</si>
  <si>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</si>
  <si>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</si>
  <si>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</si>
  <si>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</si>
  <si>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</si>
  <si>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</si>
  <si>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</si>
  <si>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</si>
  <si>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</si>
  <si>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</si>
  <si>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</si>
  <si>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</si>
  <si>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</si>
  <si>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</si>
  <si>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</si>
  <si>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</si>
  <si>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</si>
  <si>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</si>
  <si>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</si>
  <si>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</si>
  <si>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</si>
  <si>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</si>
  <si>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</si>
  <si>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</si>
  <si>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</si>
  <si>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</si>
  <si>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</si>
  <si>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</si>
  <si>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</si>
  <si>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</si>
  <si>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</si>
  <si>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</si>
  <si>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</si>
  <si>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</si>
  <si>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</si>
  <si>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</si>
  <si>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</si>
  <si>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</si>
  <si>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</si>
  <si>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</si>
  <si>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</si>
  <si>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</si>
  <si>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</si>
  <si>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</si>
  <si>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</si>
  <si>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</si>
  <si>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</si>
  <si>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</si>
  <si>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</si>
  <si>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</si>
  <si>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</si>
  <si>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</si>
  <si>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</si>
  <si>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</si>
  <si>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</si>
  <si>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</si>
  <si>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</si>
  <si>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</si>
  <si>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</si>
  <si>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</si>
  <si>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</si>
  <si>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</si>
  <si>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</si>
  <si>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</si>
  <si>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</si>
  <si>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</si>
  <si>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</si>
  <si>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</si>
  <si>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</si>
  <si>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</si>
  <si>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</si>
  <si>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</si>
  <si>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</si>
  <si>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</si>
  <si>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</si>
  <si>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</si>
  <si>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</si>
  <si>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</si>
  <si>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</si>
  <si>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</si>
  <si>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</si>
  <si>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</si>
  <si>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</si>
  <si>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</si>
  <si>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</si>
  <si>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</si>
  <si>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</si>
  <si>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</si>
  <si>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</si>
  <si>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</si>
  <si>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</si>
  <si>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</si>
  <si>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</si>
  <si>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</si>
  <si>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</si>
  <si>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</si>
  <si>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</si>
  <si>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</si>
  <si>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</si>
  <si>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</si>
  <si>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</si>
  <si>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</si>
  <si>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</si>
  <si>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</si>
  <si>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</si>
  <si>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</si>
  <si>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</si>
  <si>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</si>
  <si>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</si>
  <si>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</si>
  <si>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</si>
  <si>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</si>
  <si>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</si>
  <si>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</si>
  <si>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</si>
  <si>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</si>
  <si>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</si>
  <si>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</si>
  <si>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</si>
  <si>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</si>
  <si>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</si>
  <si>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</si>
  <si>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</si>
  <si>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</si>
  <si>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</si>
  <si>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</si>
  <si>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</si>
  <si>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</si>
  <si>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</si>
  <si>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</si>
  <si>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</si>
  <si>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</si>
  <si>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</si>
  <si>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</si>
  <si>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</si>
  <si>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</si>
  <si>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</si>
  <si>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</si>
  <si>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</si>
  <si>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</si>
  <si>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</si>
  <si>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</si>
  <si>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</si>
  <si>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</si>
  <si>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</si>
  <si>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</si>
  <si>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</si>
  <si>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</si>
  <si>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</si>
  <si>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</si>
  <si>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</si>
  <si>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</si>
  <si>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</si>
  <si>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</si>
  <si>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</si>
  <si>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</si>
  <si>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</si>
  <si>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</si>
  <si>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</si>
  <si>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</si>
  <si>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</si>
  <si>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</si>
  <si>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</si>
  <si>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</si>
  <si>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</si>
  <si>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</si>
  <si>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</si>
  <si>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</si>
  <si>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</si>
  <si>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</si>
  <si>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</si>
  <si>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</si>
  <si>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</si>
  <si>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</si>
  <si>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</si>
  <si>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</si>
  <si>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</si>
  <si>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</si>
  <si>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</si>
  <si>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</si>
  <si>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</si>
  <si>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</si>
  <si>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</si>
  <si>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</si>
  <si>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</si>
  <si>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</si>
  <si>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</si>
  <si>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</si>
  <si>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</si>
  <si>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</si>
  <si>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</si>
  <si>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</si>
  <si>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</si>
  <si>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</si>
  <si>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</si>
  <si>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</si>
  <si>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</si>
  <si>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</si>
  <si>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</si>
  <si>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</si>
  <si>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</si>
  <si>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</si>
  <si>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</si>
  <si>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</si>
  <si>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</si>
  <si>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</si>
  <si>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</si>
  <si>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</si>
  <si>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</si>
  <si>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</si>
  <si>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</si>
  <si>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</si>
  <si>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</si>
  <si>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</si>
  <si>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</si>
  <si>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</si>
  <si>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</si>
  <si>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</si>
  <si>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</si>
  <si>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</si>
  <si>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</si>
  <si>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</si>
  <si>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</si>
  <si>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</si>
  <si>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</si>
  <si>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</si>
  <si>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</si>
  <si>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</si>
  <si>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</si>
  <si>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</si>
  <si>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</si>
  <si>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</si>
  <si>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</si>
  <si>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</si>
  <si>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</si>
  <si>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</si>
  <si>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</si>
  <si>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</si>
  <si>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</si>
  <si>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</si>
  <si>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</si>
  <si>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</si>
  <si>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</si>
  <si>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</si>
  <si>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</si>
  <si>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</si>
  <si>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</si>
  <si>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</si>
  <si>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</si>
  <si>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</si>
  <si>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</si>
  <si>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</si>
  <si>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</si>
  <si>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</si>
  <si>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</si>
  <si>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</si>
  <si>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</si>
  <si>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</si>
  <si>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</si>
  <si>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</si>
  <si>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</si>
  <si>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</si>
  <si>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</si>
  <si>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</si>
  <si>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</si>
  <si>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</si>
  <si>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</si>
  <si>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</si>
  <si>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</si>
  <si>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</si>
  <si>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</si>
  <si>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</si>
  <si>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</si>
  <si>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</si>
  <si>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</si>
  <si>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</si>
  <si>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</si>
  <si>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</si>
  <si>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</si>
  <si>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</si>
  <si>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</si>
  <si>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</si>
  <si>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</si>
  <si>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</si>
  <si>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</si>
  <si>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</si>
  <si>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</si>
  <si>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</si>
  <si>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</si>
  <si>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</si>
  <si>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</si>
  <si>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</si>
  <si>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</si>
  <si>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</si>
  <si>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</si>
  <si>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</si>
  <si>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</si>
  <si>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</si>
  <si>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</si>
  <si>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</si>
  <si>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</si>
  <si>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</si>
  <si>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</si>
  <si>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</si>
  <si>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</si>
  <si>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</si>
  <si>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</si>
  <si>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</si>
  <si>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</si>
  <si>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</si>
  <si>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</si>
  <si>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</si>
  <si>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</si>
  <si>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</si>
  <si>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</si>
  <si>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</si>
  <si>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</si>
  <si>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</si>
  <si>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</si>
  <si>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</si>
  <si>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</si>
  <si>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</si>
  <si>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</si>
  <si>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</si>
  <si>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</si>
  <si>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</si>
  <si>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</si>
  <si>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</si>
  <si>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</si>
  <si>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</si>
  <si>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</si>
  <si>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</si>
  <si>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</si>
  <si>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</si>
  <si>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</si>
  <si>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</si>
  <si>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</si>
  <si>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</si>
  <si>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</si>
  <si>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</si>
  <si>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</si>
  <si>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</si>
  <si>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</si>
  <si>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</si>
  <si>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</si>
  <si>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</si>
  <si>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</si>
  <si>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</si>
  <si>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</si>
  <si>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</si>
  <si>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</si>
  <si>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</si>
  <si>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</si>
  <si>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</si>
  <si>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</si>
  <si>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</si>
  <si>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</si>
  <si>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</si>
  <si>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</si>
  <si>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</si>
  <si>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</si>
  <si>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</si>
  <si>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</si>
  <si>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</si>
  <si>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</si>
  <si>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</si>
  <si>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</si>
  <si>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</si>
  <si>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</si>
  <si>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</si>
  <si>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</si>
  <si>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</si>
  <si>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</si>
  <si>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</si>
  <si>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</si>
  <si>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</si>
  <si>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</si>
  <si>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</si>
  <si>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</si>
  <si>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</si>
  <si>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</si>
  <si>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</si>
  <si>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</si>
  <si>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</si>
  <si>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</si>
  <si>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</si>
  <si>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</si>
  <si>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</si>
  <si>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</si>
  <si>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</si>
  <si>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</si>
  <si>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</si>
  <si>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</si>
  <si>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</si>
  <si>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</si>
  <si>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</si>
  <si>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</si>
  <si>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</si>
  <si>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</si>
  <si>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</si>
  <si>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</si>
  <si>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</si>
  <si>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</si>
  <si>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</si>
  <si>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</si>
  <si>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</si>
  <si>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</si>
  <si>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</si>
  <si>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</si>
  <si>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</si>
  <si>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</si>
  <si>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</si>
  <si>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</si>
  <si>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</si>
  <si>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</si>
  <si>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</si>
  <si>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</si>
  <si>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</si>
  <si>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</si>
  <si>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</si>
  <si>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</si>
  <si>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</si>
  <si>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</si>
  <si>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</si>
  <si>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</si>
  <si>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</si>
  <si>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</si>
  <si>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</si>
  <si>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</si>
  <si>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</si>
  <si>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</si>
  <si>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</si>
  <si>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</si>
  <si>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</si>
  <si>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</si>
  <si>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</si>
  <si>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</si>
  <si>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</si>
  <si>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</si>
  <si>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</si>
  <si>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</si>
  <si>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</si>
  <si>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</si>
  <si>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</si>
  <si>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</si>
  <si>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</si>
  <si>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</si>
  <si>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</si>
  <si>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</si>
  <si>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</si>
  <si>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</si>
  <si>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</si>
  <si>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</si>
  <si>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</si>
  <si>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</si>
  <si>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</si>
  <si>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</si>
  <si>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</si>
  <si>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</si>
  <si>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</si>
  <si>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</si>
  <si>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</si>
  <si>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</si>
  <si>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</si>
  <si>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</si>
  <si>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</si>
  <si>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</si>
  <si>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</si>
  <si>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</si>
  <si>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</si>
  <si>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</si>
  <si>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</si>
  <si>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</si>
  <si>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</si>
  <si>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</si>
  <si>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</si>
  <si>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</si>
  <si>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</si>
  <si>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</si>
  <si>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</si>
  <si>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</si>
  <si>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</si>
  <si>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</si>
  <si>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</si>
  <si>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</si>
  <si>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</si>
  <si>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</si>
  <si>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</si>
  <si>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</si>
  <si>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</si>
  <si>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</si>
  <si>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</si>
  <si>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</si>
  <si>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</si>
  <si>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</si>
  <si>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</si>
  <si>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</si>
  <si>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</si>
  <si>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</si>
  <si>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</si>
  <si>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</si>
  <si>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</si>
  <si>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</si>
  <si>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</si>
  <si>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</si>
  <si>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</si>
  <si>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</si>
  <si>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</si>
  <si>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</si>
  <si>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</si>
  <si>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</si>
  <si>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</si>
  <si>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</si>
  <si>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</si>
  <si>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</si>
  <si>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</si>
  <si>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</si>
  <si>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</si>
  <si>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</si>
  <si>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</si>
  <si>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</si>
  <si>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</si>
  <si>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</si>
  <si>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</si>
  <si>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</si>
  <si>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</si>
  <si>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</si>
  <si>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</si>
  <si>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</si>
  <si>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</si>
  <si>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</si>
  <si>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</si>
  <si>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</si>
  <si>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</si>
  <si>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</si>
  <si>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</si>
  <si>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</si>
  <si>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</si>
  <si>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</si>
  <si>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</si>
  <si>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</si>
  <si>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</si>
  <si>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</si>
  <si>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</si>
  <si>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</si>
  <si>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</si>
  <si>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</si>
  <si>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</si>
  <si>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</si>
  <si>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</si>
  <si>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</si>
  <si>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</si>
  <si>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</si>
  <si>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</si>
  <si>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</si>
  <si>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</si>
  <si>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</si>
  <si>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</si>
  <si>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</si>
  <si>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</si>
  <si>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</si>
  <si>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</si>
  <si>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</si>
  <si>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</si>
  <si>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</si>
  <si>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</si>
  <si>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</si>
  <si>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</si>
  <si>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</si>
  <si>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</si>
  <si>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</si>
  <si>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</si>
  <si>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</si>
  <si>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</si>
  <si>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</si>
  <si>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</si>
  <si>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</si>
  <si>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</si>
  <si>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</si>
  <si>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</si>
  <si>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</si>
  <si>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</si>
  <si>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</si>
  <si>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</si>
  <si>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</si>
  <si>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</si>
  <si>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</si>
  <si>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</si>
  <si>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</si>
  <si>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</si>
  <si>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</si>
  <si>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</si>
  <si>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</si>
  <si>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</si>
  <si>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</si>
  <si>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</si>
  <si>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</si>
  <si>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</si>
  <si>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</si>
  <si>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</si>
  <si>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</si>
  <si>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</si>
  <si>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</si>
  <si>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</si>
  <si>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</si>
  <si>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</si>
  <si>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</si>
  <si>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</si>
  <si>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</si>
  <si>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</si>
  <si>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</si>
  <si>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</si>
  <si>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</si>
  <si>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</si>
  <si>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</si>
  <si>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</si>
  <si>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</si>
  <si>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</si>
  <si>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</si>
  <si>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</si>
  <si>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</si>
  <si>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</si>
  <si>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</si>
  <si>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</si>
  <si>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</si>
  <si>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</si>
  <si>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</si>
  <si>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</si>
  <si>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</si>
  <si>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</si>
  <si>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</si>
  <si>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</si>
  <si>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</si>
  <si>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</si>
  <si>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</si>
  <si>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</si>
  <si>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</si>
  <si>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</si>
  <si>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</si>
  <si>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</si>
  <si>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</si>
  <si>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</si>
  <si>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</si>
  <si>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</si>
  <si>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</si>
  <si>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</si>
  <si>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</si>
  <si>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</si>
  <si>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</si>
  <si>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</si>
  <si>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</si>
  <si>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</si>
  <si>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</si>
  <si>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</si>
  <si>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</si>
  <si>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</si>
  <si>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</si>
  <si>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</si>
  <si>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</si>
  <si>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</si>
  <si>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</si>
  <si>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</si>
  <si>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</si>
  <si>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</si>
  <si>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</si>
  <si>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</si>
  <si>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</si>
  <si>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</si>
  <si>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</si>
  <si>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</si>
  <si>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</si>
  <si>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</si>
  <si>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</si>
  <si>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</si>
  <si>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</si>
  <si>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</si>
  <si>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</si>
  <si>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</si>
  <si>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</si>
  <si>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</si>
  <si>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</si>
  <si>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</si>
  <si>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</si>
  <si>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</si>
  <si>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</si>
  <si>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</si>
  <si>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</si>
  <si>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</si>
  <si>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</si>
  <si>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</si>
  <si>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</si>
  <si>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</si>
  <si>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</si>
  <si>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</si>
  <si>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</si>
  <si>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</si>
  <si>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</si>
  <si>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</si>
  <si>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</si>
  <si>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</si>
  <si>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</si>
  <si>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</si>
  <si>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</si>
  <si>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</si>
  <si>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</si>
  <si>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</si>
  <si>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</si>
  <si>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</si>
  <si>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</si>
  <si>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</si>
  <si>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</si>
  <si>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</si>
  <si>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</si>
  <si>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</si>
  <si>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</si>
  <si>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</si>
  <si>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</si>
  <si>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</si>
  <si>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</si>
  <si>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</si>
  <si>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</si>
  <si>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</si>
  <si>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</si>
  <si>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</si>
  <si>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</si>
  <si>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</si>
  <si>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</si>
  <si>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</si>
  <si>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</si>
  <si>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</si>
  <si>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</si>
  <si>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</si>
  <si>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</si>
  <si>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</si>
  <si>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</si>
  <si>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</si>
  <si>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</si>
  <si>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</si>
  <si>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</si>
  <si>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</si>
  <si>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</si>
  <si>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</si>
  <si>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</si>
  <si>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</si>
  <si>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</si>
  <si>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</si>
  <si>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</si>
  <si>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</si>
  <si>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</si>
  <si>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</si>
  <si>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</si>
  <si>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</si>
  <si>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</si>
  <si>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</si>
  <si>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</si>
  <si>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</si>
  <si>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</si>
  <si>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</si>
  <si>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</si>
  <si>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</si>
  <si>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</si>
  <si>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</si>
  <si>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</si>
  <si>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</si>
  <si>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</si>
  <si>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</si>
  <si>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</si>
  <si>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</si>
  <si>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</si>
  <si>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</si>
  <si>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</si>
  <si>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</si>
  <si>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</si>
  <si>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</si>
  <si>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</si>
  <si>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</si>
  <si>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</si>
  <si>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</si>
  <si>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</si>
  <si>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</si>
  <si>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</si>
  <si>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</si>
  <si>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</si>
  <si>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</si>
  <si>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</si>
  <si>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</si>
  <si>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</si>
  <si>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</si>
  <si>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</si>
  <si>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</si>
  <si>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</si>
  <si>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</si>
  <si>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</si>
  <si>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</si>
  <si>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</si>
  <si>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</si>
  <si>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</si>
  <si>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</si>
  <si>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</si>
  <si>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</si>
  <si>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</si>
  <si>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</si>
  <si>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</si>
  <si>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</si>
  <si>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</si>
  <si>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</si>
  <si>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</si>
  <si>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</si>
  <si>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</si>
  <si>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</si>
  <si>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</si>
  <si>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</si>
  <si>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</si>
  <si>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</si>
  <si>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</si>
  <si>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</si>
  <si>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</si>
  <si>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</si>
  <si>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</si>
  <si>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</si>
  <si>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</si>
  <si>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</si>
  <si>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</si>
  <si>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</si>
  <si>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</si>
  <si>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</si>
  <si>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</si>
  <si>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</si>
  <si>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</si>
  <si>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</si>
  <si>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</si>
  <si>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</si>
  <si>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</si>
  <si>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</si>
  <si>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</si>
  <si>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</si>
  <si>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</si>
  <si>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</si>
  <si>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</si>
  <si>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</si>
  <si>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</si>
  <si>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</si>
  <si>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</si>
  <si>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</si>
  <si>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</si>
  <si>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</si>
  <si>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</si>
  <si>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</si>
  <si>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</si>
  <si>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</si>
  <si>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</si>
  <si>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</si>
  <si>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</si>
  <si>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</si>
  <si>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</si>
  <si>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</si>
  <si>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</si>
  <si>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</si>
  <si>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</si>
  <si>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</si>
  <si>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</si>
  <si>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</si>
  <si>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</si>
  <si>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</si>
  <si>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</si>
  <si>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</si>
  <si>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</si>
  <si>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</si>
  <si>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</si>
  <si>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</si>
  <si>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</si>
  <si>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</si>
  <si>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</si>
  <si>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</si>
  <si>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</si>
  <si>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</si>
  <si>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</si>
  <si>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</si>
  <si>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</si>
  <si>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</si>
  <si>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</si>
  <si>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</si>
  <si>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</si>
  <si>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</si>
  <si>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</si>
  <si>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</si>
  <si>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</si>
  <si>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</si>
  <si>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</si>
  <si>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</si>
  <si>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</si>
  <si>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</si>
  <si>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</si>
  <si>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</si>
  <si>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</si>
  <si>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</si>
  <si>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</si>
  <si>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</si>
  <si>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</si>
  <si>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</si>
  <si>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</si>
  <si>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</si>
  <si>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</si>
  <si>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</si>
  <si>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</si>
  <si>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</si>
  <si>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</si>
  <si>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</si>
  <si>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</si>
  <si>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</si>
  <si>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</si>
  <si>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</si>
  <si>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</si>
  <si>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</si>
  <si>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</si>
  <si>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</si>
  <si>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</si>
  <si>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</si>
  <si>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</si>
  <si>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</si>
  <si>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</si>
  <si>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</si>
  <si>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</si>
  <si>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</si>
  <si>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</si>
  <si>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</si>
  <si>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</si>
  <si>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</si>
  <si>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</si>
  <si>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</si>
  <si>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</si>
  <si>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</si>
  <si>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</si>
  <si>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</si>
  <si>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</si>
  <si>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</si>
  <si>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</si>
  <si>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</si>
  <si>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</si>
  <si>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</si>
  <si>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</si>
  <si>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</si>
  <si>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</si>
  <si>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</si>
  <si>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</si>
  <si>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</si>
  <si>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</si>
  <si>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</si>
  <si>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</si>
  <si>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</si>
  <si>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</si>
  <si>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</si>
  <si>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</si>
  <si>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</si>
  <si>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</si>
  <si>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</si>
  <si>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</si>
  <si>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</si>
  <si>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</si>
  <si>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</si>
  <si>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</si>
  <si>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</si>
  <si>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</si>
  <si>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</si>
  <si>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</si>
  <si>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</si>
  <si>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</si>
  <si>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</si>
  <si>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</si>
  <si>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</si>
  <si>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</si>
  <si>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</si>
  <si>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</si>
  <si>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</si>
  <si>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</si>
  <si>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</si>
  <si>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</si>
  <si>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</si>
  <si>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</si>
  <si>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</si>
  <si>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</si>
  <si>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</si>
  <si>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</si>
  <si>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</si>
  <si>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</si>
  <si>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</si>
  <si>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</si>
  <si>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</si>
  <si>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</si>
  <si>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</si>
  <si>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</si>
  <si>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</si>
  <si>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</si>
  <si>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</si>
  <si>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</si>
  <si>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</si>
  <si>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</si>
  <si>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</si>
  <si>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</si>
  <si>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</si>
  <si>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</si>
  <si>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</si>
  <si>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</si>
  <si>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</si>
  <si>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</si>
  <si>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</si>
  <si>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</si>
  <si>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</si>
  <si>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</si>
  <si>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</si>
  <si>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</si>
  <si>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</si>
  <si>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</si>
  <si>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</si>
  <si>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</si>
  <si>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</si>
  <si>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</si>
  <si>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</si>
  <si>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</si>
  <si>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</si>
  <si>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</si>
  <si>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</si>
  <si>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</si>
  <si>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</si>
  <si>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</si>
  <si>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</si>
  <si>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</si>
  <si>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</si>
  <si>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</si>
  <si>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</si>
  <si>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</si>
  <si>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</si>
  <si>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</si>
  <si>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</si>
  <si>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</si>
  <si>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</si>
  <si>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</si>
  <si>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</si>
  <si>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</si>
  <si>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</si>
  <si>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</si>
  <si>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</si>
  <si>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</si>
  <si>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</si>
  <si>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</si>
  <si>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</si>
  <si>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</si>
  <si>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</si>
  <si>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</si>
  <si>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</si>
  <si>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</si>
  <si>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</si>
  <si>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</si>
  <si>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</si>
  <si>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</si>
  <si>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</si>
  <si>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</si>
  <si>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</si>
  <si>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</si>
  <si>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</si>
  <si>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</si>
  <si>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</si>
  <si>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</si>
  <si>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</si>
  <si>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</si>
  <si>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</si>
  <si>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</si>
  <si>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</si>
  <si>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</si>
  <si>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</si>
  <si>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</si>
  <si>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</si>
  <si>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</si>
  <si>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</si>
  <si>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</si>
  <si>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</si>
  <si>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</si>
  <si>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</si>
  <si>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</si>
  <si>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</si>
  <si>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</si>
  <si>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</si>
  <si>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</si>
  <si>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</si>
  <si>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</si>
  <si>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</si>
  <si>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</si>
  <si>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</si>
  <si>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</si>
  <si>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</si>
  <si>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</si>
  <si>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</si>
  <si>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</si>
  <si>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</si>
  <si>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</si>
  <si>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</si>
  <si>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</si>
  <si>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</si>
  <si>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</si>
  <si>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</si>
  <si>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</si>
  <si>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</si>
  <si>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</si>
  <si>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</si>
  <si>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</si>
  <si>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</si>
  <si>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</si>
  <si>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</si>
  <si>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</si>
  <si>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</si>
  <si>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</si>
  <si>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</si>
  <si>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</si>
  <si>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</si>
  <si>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</si>
  <si>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</si>
  <si>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</si>
  <si>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</si>
  <si>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</si>
  <si>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</si>
  <si>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</si>
  <si>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</si>
  <si>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</si>
  <si>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</si>
  <si>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</si>
  <si>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</si>
  <si>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</si>
  <si>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</si>
  <si>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</si>
  <si>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</si>
  <si>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</si>
  <si>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</si>
  <si>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</si>
  <si>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</si>
  <si>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</si>
  <si>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</si>
  <si>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</si>
  <si>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</si>
  <si>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</si>
  <si>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</si>
  <si>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</si>
  <si>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</si>
  <si>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</si>
  <si>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</si>
  <si>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</si>
  <si>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</si>
  <si>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</si>
  <si>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</si>
  <si>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</si>
  <si>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</si>
  <si>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</si>
  <si>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</si>
  <si>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</si>
  <si>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</si>
  <si>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</si>
  <si>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</si>
  <si>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</si>
  <si>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</si>
  <si>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</si>
  <si>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</si>
  <si>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</si>
  <si>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</si>
  <si>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</si>
  <si>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</si>
  <si>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</si>
  <si>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</si>
  <si>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</si>
  <si>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</si>
  <si>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</si>
  <si>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</si>
  <si>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</si>
  <si>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</si>
  <si>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</si>
  <si>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</si>
  <si>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</si>
  <si>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</si>
  <si>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</si>
  <si>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</si>
  <si>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</si>
  <si>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</si>
  <si>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</si>
  <si>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</si>
  <si>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</si>
  <si>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</si>
  <si>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</si>
  <si>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</si>
  <si>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</si>
  <si>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</si>
  <si>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</si>
  <si>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</si>
  <si>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</si>
  <si>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</si>
  <si>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</si>
  <si>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</si>
  <si>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</si>
  <si>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</si>
  <si>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</si>
  <si>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</si>
  <si>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</si>
  <si>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</si>
  <si>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</si>
  <si>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</si>
  <si>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</si>
  <si>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</si>
  <si>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</si>
  <si>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</si>
  <si>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</si>
  <si>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</si>
  <si>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</si>
  <si>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</si>
  <si>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</si>
  <si>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</si>
  <si>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</si>
  <si>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</si>
  <si>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</si>
  <si>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</si>
  <si>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</si>
  <si>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</si>
  <si>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</si>
  <si>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</si>
  <si>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</si>
  <si>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</si>
  <si>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</si>
  <si>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</si>
  <si>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</si>
  <si>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</si>
  <si>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</si>
  <si>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</si>
  <si>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</si>
  <si>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</si>
  <si>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</si>
  <si>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</si>
  <si>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</si>
  <si>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</si>
  <si>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</si>
  <si>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</si>
  <si>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</si>
  <si>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</si>
  <si>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</si>
  <si>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</si>
  <si>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</si>
  <si>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</si>
  <si>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</si>
  <si>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</si>
  <si>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</si>
  <si>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</si>
  <si>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</si>
  <si>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</si>
  <si>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</si>
  <si>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</si>
  <si>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</si>
  <si>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</si>
  <si>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</si>
  <si>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</si>
  <si>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</si>
  <si>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</si>
  <si>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</si>
  <si>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</si>
  <si>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</si>
  <si>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</si>
  <si>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</si>
  <si>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</si>
  <si>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</si>
  <si>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</si>
  <si>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</si>
  <si>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</si>
  <si>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</si>
  <si>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</si>
  <si>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</si>
  <si>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</si>
  <si>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</si>
  <si>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</si>
  <si>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</si>
  <si>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</si>
  <si>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</si>
  <si>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</si>
  <si>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</si>
  <si>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</si>
  <si>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</si>
  <si>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</si>
  <si>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</si>
  <si>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</si>
  <si>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</si>
  <si>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</si>
  <si>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</si>
  <si>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</si>
  <si>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</si>
  <si>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</si>
  <si>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</si>
  <si>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</si>
  <si>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</si>
  <si>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</si>
  <si>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</si>
  <si>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</si>
  <si>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</si>
  <si>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</si>
  <si>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</si>
  <si>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</si>
  <si>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</si>
  <si>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</si>
  <si>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</si>
  <si>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</si>
  <si>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</si>
  <si>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</si>
  <si>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</si>
  <si>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</si>
  <si>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</si>
  <si>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</si>
  <si>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</si>
  <si>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</si>
  <si>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</si>
  <si>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</si>
  <si>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</si>
  <si>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</si>
  <si>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</si>
  <si>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</si>
  <si>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</si>
  <si>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</si>
  <si>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</si>
  <si>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</si>
  <si>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</si>
  <si>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</si>
  <si>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</si>
  <si>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</si>
  <si>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</si>
  <si>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</si>
  <si>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</si>
  <si>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</si>
  <si>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</si>
  <si>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</si>
  <si>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</si>
  <si>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</si>
  <si>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</si>
  <si>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</si>
  <si>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</si>
  <si>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</si>
  <si>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</si>
  <si>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</si>
  <si>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</si>
  <si>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</si>
  <si>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</si>
  <si>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</si>
  <si>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</si>
  <si>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</si>
  <si>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</si>
  <si>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</si>
  <si>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</si>
  <si>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</si>
  <si>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</si>
  <si>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</si>
  <si>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</si>
  <si>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</si>
  <si>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</si>
  <si>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</si>
  <si>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</si>
  <si>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</si>
  <si>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</si>
  <si>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</si>
  <si>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</si>
  <si>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</si>
  <si>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</si>
  <si>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</si>
  <si>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</si>
  <si>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</si>
  <si>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</si>
  <si>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</si>
  <si>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</si>
  <si>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</si>
  <si>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</si>
  <si>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</si>
  <si>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</si>
  <si>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</si>
  <si>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</si>
  <si>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</si>
  <si>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</si>
  <si>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</si>
  <si>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</si>
  <si>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</si>
  <si>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</si>
  <si>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</si>
  <si>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</si>
  <si>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</si>
  <si>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</si>
  <si>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</si>
  <si>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</si>
  <si>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</si>
  <si>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</si>
  <si>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</si>
  <si>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</si>
  <si>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</si>
  <si>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</si>
  <si>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</si>
  <si>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</si>
  <si>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</si>
  <si>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</si>
  <si>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</si>
  <si>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</si>
  <si>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</si>
  <si>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</si>
  <si>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</si>
  <si>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</si>
  <si>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</si>
  <si>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</si>
  <si>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</si>
  <si>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</si>
  <si>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</si>
  <si>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</si>
  <si>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</si>
  <si>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</si>
  <si>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</si>
  <si>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</si>
  <si>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</si>
  <si>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</si>
  <si>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</si>
  <si>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</si>
  <si>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</si>
  <si>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</si>
  <si>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</si>
  <si>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</si>
  <si>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</si>
  <si>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</si>
  <si>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</si>
  <si>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</si>
  <si>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</si>
  <si>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</si>
  <si>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</si>
  <si>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</si>
  <si>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</si>
  <si>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</si>
  <si>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</si>
  <si>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</si>
  <si>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</si>
  <si>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</si>
  <si>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</si>
  <si>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</si>
  <si>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</si>
  <si>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</si>
  <si>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</si>
  <si>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</si>
  <si>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</si>
  <si>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</si>
  <si>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</si>
  <si>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</si>
  <si>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</si>
  <si>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</si>
  <si>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</si>
  <si>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</si>
  <si>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</si>
  <si>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</si>
  <si>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</si>
  <si>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</si>
  <si>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</si>
  <si>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</si>
  <si>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</si>
  <si>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</si>
  <si>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</si>
  <si>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</si>
  <si>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</si>
  <si>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</si>
  <si>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</si>
  <si>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</si>
  <si>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</si>
  <si>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</si>
  <si>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</si>
  <si>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</si>
  <si>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</si>
  <si>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</si>
  <si>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</si>
  <si>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</si>
  <si>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</si>
  <si>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</si>
  <si>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</si>
  <si>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</si>
  <si>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</si>
  <si>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</si>
  <si>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</si>
  <si>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</si>
  <si>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</si>
  <si>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</si>
  <si>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</si>
  <si>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</si>
  <si>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</si>
  <si>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</si>
  <si>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</si>
  <si>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</si>
  <si>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</si>
  <si>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</si>
  <si>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</si>
  <si>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</si>
  <si>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</si>
  <si>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</si>
  <si>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</si>
  <si>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</si>
  <si>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</si>
  <si>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</si>
  <si>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</si>
  <si>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</si>
  <si>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</si>
  <si>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</si>
  <si>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</si>
  <si>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</si>
  <si>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</si>
  <si>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</si>
  <si>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</si>
  <si>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</si>
  <si>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</si>
  <si>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</si>
  <si>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</si>
  <si>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</si>
  <si>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</si>
  <si>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</si>
  <si>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</si>
  <si>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</si>
  <si>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</si>
  <si>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</si>
  <si>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</si>
  <si>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</si>
  <si>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</si>
  <si>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</si>
  <si>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</si>
  <si>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</si>
  <si>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</si>
  <si>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</si>
  <si>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</si>
  <si>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</si>
  <si>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</si>
  <si>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</si>
  <si>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</si>
  <si>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</si>
  <si>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</si>
  <si>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</si>
  <si>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</si>
  <si>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</si>
  <si>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</si>
  <si>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</si>
  <si>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</si>
  <si>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</si>
  <si>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</si>
  <si>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</si>
  <si>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</si>
  <si>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</si>
  <si>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</si>
  <si>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</si>
  <si>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</si>
  <si>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</si>
  <si>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</si>
  <si>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</si>
  <si>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</si>
  <si>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</si>
  <si>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</si>
  <si>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</si>
  <si>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</si>
  <si>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</si>
  <si>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</si>
  <si>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</si>
  <si>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</si>
  <si>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</si>
  <si>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</si>
  <si>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</si>
  <si>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</si>
  <si>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</si>
  <si>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</si>
  <si>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</si>
  <si>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</si>
  <si>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</si>
  <si>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</si>
  <si>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</si>
  <si>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</si>
  <si>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</si>
  <si>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</si>
  <si>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</si>
  <si>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</si>
  <si>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</si>
  <si>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</si>
  <si>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</si>
  <si>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</si>
  <si>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</si>
  <si>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</si>
  <si>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</si>
  <si>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</si>
  <si>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</si>
  <si>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</si>
  <si>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</si>
  <si>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</si>
  <si>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</si>
  <si>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</si>
  <si>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</si>
  <si>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</si>
  <si>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</si>
  <si>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</si>
  <si>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</si>
  <si>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</si>
  <si>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</si>
  <si>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</si>
  <si>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</si>
  <si>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</si>
  <si>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</si>
  <si>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</si>
  <si>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</si>
  <si>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</si>
  <si>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</si>
  <si>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</si>
  <si>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</si>
  <si>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</si>
  <si>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</si>
  <si>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</si>
  <si>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</si>
  <si>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</si>
  <si>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</si>
  <si>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</si>
  <si>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</si>
  <si>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</si>
  <si>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</si>
  <si>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</si>
  <si>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</si>
  <si>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</si>
  <si>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</si>
  <si>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</si>
  <si>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</si>
  <si>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</si>
  <si>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</si>
  <si>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</si>
  <si>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</si>
  <si>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</si>
  <si>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</si>
  <si>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</si>
  <si>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</si>
  <si>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</si>
  <si>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</si>
  <si>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</si>
  <si>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</si>
  <si>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</si>
  <si>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</si>
  <si>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</si>
  <si>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</si>
  <si>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</si>
  <si>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</si>
  <si>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</si>
  <si>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</si>
  <si>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</si>
  <si>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</si>
  <si>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</si>
  <si>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</si>
  <si>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</si>
  <si>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</si>
  <si>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</si>
  <si>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</si>
  <si>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</si>
  <si>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</si>
  <si>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</si>
  <si>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</si>
  <si>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</si>
  <si>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</si>
  <si>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</si>
  <si>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</si>
  <si>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</si>
  <si>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</si>
  <si>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</si>
  <si>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</si>
  <si>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</si>
  <si>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</si>
  <si>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</si>
  <si>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</si>
  <si>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</si>
  <si>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</si>
  <si>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</si>
  <si>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</si>
  <si>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</si>
  <si>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</si>
  <si>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</si>
  <si>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</si>
  <si>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</si>
  <si>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</si>
  <si>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</si>
  <si>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</si>
  <si>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</si>
  <si>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</si>
  <si>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</si>
  <si>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</si>
  <si>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</si>
  <si>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</si>
  <si>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</si>
  <si>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</si>
  <si>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</si>
  <si>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</si>
  <si>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</si>
  <si>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</si>
  <si>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</si>
  <si>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</si>
  <si>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</si>
  <si>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</si>
  <si>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</si>
  <si>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</si>
  <si>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</si>
  <si>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</si>
  <si>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</si>
  <si>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</si>
  <si>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</si>
  <si>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</si>
  <si>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</si>
  <si>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</si>
  <si>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</si>
  <si>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</si>
  <si>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</si>
  <si>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</si>
  <si>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</si>
  <si>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</si>
  <si>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</si>
  <si>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</si>
  <si>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</si>
  <si>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</si>
  <si>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</si>
  <si>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</si>
  <si>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</si>
  <si>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</si>
  <si>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</si>
  <si>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</si>
  <si>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</si>
  <si>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</si>
  <si>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</si>
  <si>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</si>
  <si>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</si>
  <si>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</si>
  <si>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</si>
  <si>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</si>
  <si>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</si>
  <si>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</si>
  <si>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</si>
  <si>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</si>
  <si>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</si>
  <si>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</si>
  <si>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</si>
  <si>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</si>
  <si>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</si>
  <si>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</si>
  <si>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</si>
  <si>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</si>
  <si>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</si>
  <si>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</si>
  <si>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</si>
  <si>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</si>
  <si>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</si>
  <si>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</si>
  <si>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</si>
  <si>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</si>
  <si>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</si>
  <si>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</si>
  <si>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</si>
  <si>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</si>
  <si>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</si>
  <si>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</si>
  <si>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</si>
  <si>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</si>
  <si>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</si>
  <si>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</si>
  <si>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</si>
  <si>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</si>
  <si>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</si>
  <si>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</si>
  <si>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</si>
  <si>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</si>
  <si>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</si>
  <si>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</si>
  <si>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</si>
  <si>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</si>
  <si>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</si>
  <si>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</si>
  <si>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</si>
  <si>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</si>
  <si>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</si>
  <si>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</si>
  <si>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</si>
  <si>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</si>
  <si>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</si>
  <si>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</si>
  <si>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</si>
  <si>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</si>
  <si>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</si>
  <si>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</si>
  <si>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</si>
  <si>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</si>
  <si>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</si>
  <si>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</si>
  <si>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</si>
  <si>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</si>
  <si>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</si>
  <si>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</si>
  <si>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</si>
  <si>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</si>
  <si>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</si>
  <si>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</si>
  <si>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</si>
  <si>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</si>
  <si>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</si>
  <si>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</si>
  <si>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</si>
  <si>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</si>
  <si>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</si>
  <si>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</si>
  <si>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</si>
  <si>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</si>
  <si>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</si>
  <si>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</si>
  <si>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</si>
  <si>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</si>
  <si>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</si>
  <si>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</si>
  <si>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</si>
  <si>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</si>
  <si>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</si>
  <si>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</si>
  <si>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</si>
  <si>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</si>
  <si>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</si>
  <si>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</si>
  <si>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</si>
  <si>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</si>
  <si>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</si>
  <si>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</si>
  <si>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</si>
  <si>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</si>
  <si>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</si>
  <si>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</si>
  <si>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</si>
  <si>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</si>
  <si>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</si>
  <si>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</si>
  <si>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</si>
  <si>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</si>
  <si>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</si>
  <si>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</si>
  <si>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</si>
  <si>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</si>
  <si>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</si>
  <si>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</si>
  <si>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</si>
  <si>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</si>
  <si>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</si>
  <si>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</si>
  <si>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</si>
  <si>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</si>
  <si>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</si>
  <si>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</si>
  <si>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</si>
  <si>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</si>
  <si>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</si>
  <si>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</si>
  <si>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</si>
  <si>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</si>
  <si>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</si>
  <si>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</si>
  <si>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</si>
  <si>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</si>
  <si>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</si>
  <si>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</si>
  <si>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</si>
  <si>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</si>
  <si>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</si>
  <si>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</si>
  <si>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</si>
  <si>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</si>
  <si>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</si>
  <si>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</si>
  <si>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</si>
  <si>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</si>
  <si>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</si>
  <si>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</si>
  <si>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</si>
  <si>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</si>
  <si>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</si>
  <si>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</si>
  <si>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</si>
  <si>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</si>
  <si>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</si>
  <si>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</si>
  <si>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</si>
  <si>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</si>
  <si>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</si>
  <si>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</si>
  <si>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</si>
  <si>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</si>
  <si>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</si>
  <si>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</si>
  <si>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</si>
  <si>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</si>
  <si>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</si>
  <si>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</si>
  <si>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</si>
  <si>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</si>
  <si>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</si>
  <si>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</si>
  <si>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</si>
  <si>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</si>
  <si>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</si>
  <si>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</si>
  <si>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</si>
  <si>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</si>
  <si>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</si>
  <si>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</si>
  <si>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</si>
  <si>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</si>
  <si>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</si>
  <si>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</si>
  <si>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</si>
  <si>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</si>
  <si>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</si>
  <si>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</si>
  <si>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</si>
  <si>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</si>
  <si>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</si>
  <si>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</si>
  <si>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</si>
  <si>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</si>
  <si>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</si>
  <si>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</si>
  <si>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</si>
  <si>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</si>
  <si>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</si>
  <si>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</si>
  <si>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</si>
  <si>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</si>
  <si>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</si>
  <si>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</si>
  <si>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</si>
  <si>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</si>
  <si>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</si>
  <si>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</si>
  <si>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</si>
  <si>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</si>
  <si>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</si>
  <si>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</si>
  <si>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</si>
  <si>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</si>
  <si>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</si>
  <si>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</si>
  <si>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</si>
  <si>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</si>
  <si>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</si>
  <si>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</si>
  <si>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</si>
  <si>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</si>
  <si>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</si>
  <si>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</si>
  <si>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</si>
  <si>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</si>
  <si>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</si>
  <si>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</si>
  <si>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</si>
  <si>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</si>
  <si>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</si>
  <si>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</si>
  <si>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</si>
  <si>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</si>
  <si>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</si>
  <si>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</si>
  <si>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</si>
  <si>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</si>
  <si>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</si>
  <si>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</si>
  <si>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</si>
  <si>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</si>
  <si>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</si>
  <si>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</si>
  <si>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</si>
  <si>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</si>
  <si>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</si>
  <si>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</si>
  <si>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</si>
  <si>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</si>
  <si>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</si>
  <si>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</si>
  <si>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</si>
  <si>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</si>
  <si>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</si>
  <si>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</si>
  <si>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</si>
  <si>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</si>
  <si>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</si>
  <si>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</si>
  <si>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</si>
  <si>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</si>
  <si>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</si>
  <si>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</si>
  <si>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</si>
  <si>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</si>
  <si>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</si>
  <si>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</si>
  <si>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</si>
  <si>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</si>
  <si>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</si>
  <si>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</si>
  <si>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</si>
  <si>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</si>
  <si>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</si>
  <si>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</si>
  <si>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</si>
  <si>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</si>
  <si>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</si>
  <si>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</si>
  <si>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</si>
  <si>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</si>
  <si>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</si>
  <si>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</si>
  <si>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</si>
  <si>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</si>
  <si>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</si>
  <si>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</si>
  <si>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</si>
  <si>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</si>
  <si>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</si>
  <si>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</si>
  <si>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</si>
  <si>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</si>
  <si>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</si>
  <si>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</si>
  <si>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</si>
  <si>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</si>
  <si>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</si>
  <si>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</si>
  <si>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</si>
  <si>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</si>
  <si>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</si>
  <si>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</si>
  <si>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</si>
  <si>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</si>
  <si>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</si>
  <si>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</si>
  <si>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</si>
  <si>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</si>
  <si>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</si>
  <si>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</si>
  <si>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</si>
  <si>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</si>
  <si>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</si>
  <si>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</si>
  <si>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</si>
  <si>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</si>
  <si>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</si>
  <si>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</si>
  <si>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</si>
  <si>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</si>
  <si>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</si>
  <si>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</si>
  <si>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</si>
  <si>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</si>
  <si>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</si>
  <si>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</si>
  <si>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</si>
  <si>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</si>
  <si>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</si>
  <si>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</si>
  <si>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</si>
  <si>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</si>
  <si>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</si>
  <si>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</si>
  <si>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</si>
  <si>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</si>
  <si>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</si>
  <si>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</si>
  <si>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</si>
  <si>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</si>
  <si>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</si>
  <si>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</si>
  <si>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</si>
  <si>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</si>
  <si>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</si>
  <si>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</si>
  <si>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</si>
  <si>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</si>
  <si>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</si>
  <si>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</si>
  <si>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</si>
  <si>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</si>
  <si>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</si>
  <si>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</si>
  <si>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</si>
  <si>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</si>
  <si>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</si>
  <si>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</si>
  <si>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</si>
  <si>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</si>
  <si>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</si>
  <si>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</si>
  <si>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</si>
  <si>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</si>
  <si>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</si>
  <si>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</si>
  <si>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</si>
  <si>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</si>
  <si>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</si>
  <si>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</si>
  <si>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</si>
  <si>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</si>
  <si>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</si>
  <si>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</si>
  <si>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</si>
  <si>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</si>
  <si>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</si>
  <si>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</si>
  <si>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</si>
  <si>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</si>
  <si>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</si>
  <si>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</si>
  <si>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</si>
  <si>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</si>
  <si>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</si>
  <si>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</si>
  <si>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</si>
  <si>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</si>
  <si>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</si>
  <si>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</si>
  <si>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</si>
  <si>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</si>
  <si>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</si>
  <si>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</si>
  <si>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</si>
  <si>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</si>
  <si>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</si>
  <si>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</si>
  <si>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</si>
  <si>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</si>
  <si>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</si>
  <si>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</si>
  <si>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</si>
  <si>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</si>
  <si>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</si>
  <si>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</si>
  <si>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</si>
  <si>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</si>
  <si>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</si>
  <si>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</si>
  <si>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</si>
  <si>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</si>
  <si>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</si>
  <si>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</si>
  <si>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</si>
  <si>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</si>
  <si>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</si>
  <si>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</si>
  <si>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</si>
  <si>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</si>
  <si>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</si>
  <si>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</si>
  <si>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</si>
  <si>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</si>
  <si>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</si>
  <si>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</si>
  <si>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</si>
  <si>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</si>
  <si>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</si>
  <si>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</si>
  <si>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</si>
  <si>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</si>
  <si>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</si>
  <si>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</si>
  <si>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</si>
  <si>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</si>
  <si>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</si>
  <si>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</si>
  <si>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</si>
  <si>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</si>
  <si>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</si>
  <si>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</si>
  <si>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</si>
  <si>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</si>
  <si>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</si>
  <si>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</si>
  <si>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</si>
  <si>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</si>
  <si>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</si>
  <si>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</si>
  <si>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</si>
  <si>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</si>
  <si>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</si>
  <si>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</si>
  <si>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</si>
  <si>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</si>
  <si>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</si>
  <si>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</si>
  <si>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</si>
  <si>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</si>
  <si>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</si>
  <si>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</si>
  <si>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</si>
  <si>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</si>
  <si>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</si>
  <si>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</si>
  <si>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</si>
  <si>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</si>
  <si>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</si>
  <si>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</si>
  <si>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</si>
  <si>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</si>
  <si>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</si>
  <si>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</si>
  <si>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</si>
  <si>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</si>
  <si>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</si>
  <si>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</si>
  <si>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</si>
  <si>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</si>
  <si>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</si>
  <si>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</si>
  <si>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</si>
  <si>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</si>
  <si>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</si>
  <si>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</si>
  <si>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</si>
  <si>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</si>
  <si>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</si>
  <si>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</si>
  <si>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</si>
  <si>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</si>
  <si>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</si>
  <si>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</si>
  <si>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</si>
  <si>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</si>
  <si>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</si>
  <si>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</si>
  <si>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</si>
  <si>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</si>
  <si>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</si>
  <si>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</si>
  <si>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</si>
  <si>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</si>
  <si>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</si>
  <si>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</si>
  <si>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</si>
  <si>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</si>
  <si>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</si>
  <si>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</si>
  <si>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</si>
  <si>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</si>
  <si>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</si>
  <si>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</si>
  <si>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</si>
  <si>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</si>
  <si>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</si>
  <si>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</si>
  <si>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</si>
  <si>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</si>
  <si>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</si>
  <si>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</si>
  <si>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</si>
  <si>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</si>
  <si>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</si>
  <si>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</si>
  <si>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</si>
  <si>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</si>
  <si>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</si>
  <si>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</si>
  <si>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</si>
  <si>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</si>
  <si>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</si>
  <si>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</si>
  <si>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</si>
  <si>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</si>
  <si>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</si>
  <si>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</si>
  <si>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</si>
  <si>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</si>
  <si>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</si>
  <si>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</si>
  <si>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</si>
  <si>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</si>
  <si>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</si>
  <si>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</si>
  <si>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</si>
  <si>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</si>
  <si>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</si>
  <si>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</si>
  <si>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</si>
  <si>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</si>
  <si>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</si>
  <si>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</si>
  <si>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</si>
  <si>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</si>
  <si>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</si>
  <si>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</si>
  <si>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</si>
  <si>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</si>
  <si>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</si>
  <si>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</si>
  <si>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</si>
  <si>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</si>
  <si>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</si>
  <si>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</si>
  <si>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</si>
  <si>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</si>
  <si>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</si>
  <si>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</si>
  <si>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</si>
  <si>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</si>
  <si>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</si>
  <si>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</si>
  <si>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</si>
  <si>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</si>
  <si>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</si>
  <si>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</si>
  <si>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</si>
  <si>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</si>
  <si>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</si>
  <si>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</si>
  <si>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</si>
  <si>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</si>
  <si>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</si>
  <si>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</si>
  <si>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</si>
  <si>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</si>
  <si>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</si>
  <si>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</si>
  <si>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</si>
  <si>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</si>
  <si>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</si>
  <si>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</si>
  <si>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</si>
  <si>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</si>
  <si>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</si>
  <si>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</si>
  <si>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</si>
  <si>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</si>
  <si>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</si>
  <si>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</si>
  <si>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</si>
  <si>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</si>
  <si>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</si>
  <si>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</si>
  <si>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</si>
  <si>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</si>
  <si>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</si>
  <si>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</si>
  <si>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</si>
  <si>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</si>
  <si>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</si>
  <si>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</si>
  <si>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</si>
  <si>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</si>
  <si>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</si>
  <si>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</si>
  <si>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</si>
  <si>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</si>
  <si>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</si>
  <si>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</si>
  <si>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</si>
  <si>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</si>
  <si>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</si>
  <si>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</si>
  <si>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</si>
  <si>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</si>
  <si>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</si>
  <si>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</si>
  <si>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</si>
  <si>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</si>
  <si>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</si>
  <si>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</si>
  <si>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</si>
  <si>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</si>
  <si>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</si>
  <si>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</si>
  <si>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</si>
  <si>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</si>
  <si>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</si>
  <si>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</si>
  <si>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</si>
  <si>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</si>
  <si>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</si>
  <si>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</si>
  <si>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</si>
  <si>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</si>
  <si>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</si>
  <si>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</si>
  <si>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</si>
  <si>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</si>
  <si>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</si>
  <si>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</si>
  <si>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</si>
  <si>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</si>
  <si>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</si>
  <si>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</si>
  <si>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</si>
  <si>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</si>
  <si>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</si>
  <si>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</si>
  <si>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</si>
  <si>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</si>
  <si>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</si>
  <si>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</si>
  <si>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</si>
  <si>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</si>
  <si>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</si>
  <si>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</si>
  <si>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</si>
  <si>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</si>
  <si>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</si>
  <si>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</si>
  <si>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</si>
  <si>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</si>
  <si>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</si>
  <si>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</si>
  <si>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</si>
  <si>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</si>
  <si>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</si>
  <si>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</si>
  <si>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</si>
  <si>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</si>
  <si>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</si>
  <si>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</si>
  <si>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</si>
  <si>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</si>
  <si>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</si>
  <si>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</si>
  <si>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</si>
  <si>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</si>
  <si>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</si>
  <si>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</si>
  <si>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</si>
  <si>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</si>
  <si>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</si>
  <si>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</si>
  <si>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</si>
  <si>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</si>
  <si>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</si>
  <si>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</si>
  <si>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</si>
  <si>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</si>
  <si>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</si>
  <si>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</si>
  <si>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</si>
  <si>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</si>
  <si>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</si>
  <si>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</si>
  <si>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</si>
  <si>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</si>
  <si>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</si>
  <si>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</si>
  <si>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</si>
  <si>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</si>
  <si>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</si>
  <si>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</si>
  <si>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</si>
  <si>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</si>
  <si>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</si>
  <si>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</si>
  <si>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</si>
  <si>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</si>
  <si>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</si>
  <si>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</si>
  <si>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</si>
  <si>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</si>
  <si>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</si>
  <si>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</si>
  <si>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</si>
  <si>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</si>
  <si>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</si>
  <si>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</si>
  <si>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</si>
  <si>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</si>
  <si>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</si>
  <si>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</si>
  <si>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</si>
  <si>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</si>
  <si>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</si>
  <si>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</si>
  <si>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</si>
  <si>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</si>
  <si>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</si>
  <si>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</si>
  <si>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</si>
  <si>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</si>
  <si>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</si>
  <si>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</si>
  <si>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</si>
  <si>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</si>
  <si>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</si>
  <si>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</si>
  <si>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</si>
  <si>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</si>
  <si>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</si>
  <si>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</si>
  <si>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</si>
  <si>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</si>
  <si>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</si>
  <si>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</si>
  <si>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</si>
  <si>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</si>
  <si>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</si>
  <si>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</si>
  <si>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</si>
  <si>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</si>
  <si>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</si>
  <si>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</si>
  <si>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</si>
  <si>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</si>
  <si>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</si>
  <si>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</si>
  <si>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</si>
  <si>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</si>
  <si>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</si>
  <si>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</si>
  <si>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</si>
  <si>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</si>
  <si>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</si>
  <si>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</si>
  <si>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</si>
  <si>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</si>
  <si>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</si>
  <si>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</si>
  <si>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</si>
  <si>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</si>
  <si>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</si>
  <si>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</si>
  <si>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</si>
  <si>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</si>
  <si>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</si>
  <si>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</si>
  <si>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</si>
  <si>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</si>
  <si>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</si>
  <si>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</si>
  <si>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</si>
  <si>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</si>
  <si>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</si>
  <si>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</si>
  <si>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</si>
  <si>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</si>
  <si>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</si>
  <si>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</si>
  <si>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</si>
  <si>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</si>
  <si>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</si>
  <si>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</si>
  <si>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</si>
  <si>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</si>
  <si>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</si>
  <si>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</si>
  <si>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</si>
  <si>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</si>
  <si>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</si>
  <si>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</si>
  <si>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</si>
  <si>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</si>
  <si>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</si>
  <si>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</si>
  <si>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</si>
  <si>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</si>
  <si>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</si>
  <si>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</si>
  <si>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</si>
  <si>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</si>
  <si>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</si>
  <si>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</si>
  <si>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</si>
  <si>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</si>
  <si>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</si>
  <si>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</si>
  <si>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</si>
  <si>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</si>
  <si>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</si>
  <si>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</si>
  <si>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</si>
  <si>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</si>
  <si>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</si>
  <si>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</si>
  <si>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</si>
  <si>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</si>
  <si>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</si>
  <si>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</si>
  <si>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</si>
  <si>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</si>
  <si>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</si>
  <si>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</si>
  <si>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</si>
  <si>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</si>
  <si>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</si>
  <si>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</si>
  <si>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</si>
  <si>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</si>
  <si>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</si>
  <si>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</si>
  <si>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</si>
  <si>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</si>
  <si>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</si>
  <si>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</si>
  <si>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</si>
  <si>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</si>
  <si>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</si>
  <si>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</si>
  <si>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</si>
  <si>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</si>
  <si>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</si>
  <si>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</si>
  <si>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</si>
  <si>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</si>
  <si>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</si>
  <si>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</si>
  <si>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</si>
  <si>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</si>
  <si>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</si>
  <si>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</si>
  <si>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</si>
  <si>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</si>
  <si>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</si>
  <si>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</si>
  <si>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</si>
  <si>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</si>
  <si>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</si>
  <si>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</si>
  <si>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</si>
  <si>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</si>
  <si>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</si>
  <si>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</si>
  <si>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</si>
  <si>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</si>
  <si>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</si>
  <si>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</si>
  <si>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</si>
  <si>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</si>
  <si>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</si>
  <si>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</si>
  <si>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</si>
  <si>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</si>
  <si>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</si>
  <si>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</si>
  <si>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</si>
  <si>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</si>
  <si>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</si>
  <si>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</si>
  <si>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</si>
  <si>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</si>
  <si>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</si>
  <si>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</si>
  <si>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</si>
  <si>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</si>
  <si>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</si>
  <si>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</si>
  <si>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</si>
  <si>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</si>
  <si>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</si>
  <si>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</si>
  <si>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</si>
  <si>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</si>
  <si>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</si>
  <si>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</si>
  <si>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</si>
  <si>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</si>
  <si>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</si>
  <si>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</si>
  <si>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</si>
  <si>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</si>
  <si>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</si>
  <si>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</si>
  <si>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</si>
  <si>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</si>
  <si>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</si>
  <si>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</si>
  <si>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</si>
  <si>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</si>
  <si>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</si>
  <si>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</si>
  <si>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</si>
  <si>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</si>
  <si>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</si>
  <si>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</si>
  <si>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</si>
  <si>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</si>
  <si>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</si>
  <si>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</si>
  <si>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</si>
  <si>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</si>
  <si>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</si>
  <si>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</si>
  <si>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</si>
  <si>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</si>
  <si>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</si>
  <si>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</si>
  <si>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</si>
  <si>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</si>
  <si>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</si>
  <si>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</si>
  <si>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</si>
  <si>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</si>
  <si>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</si>
  <si>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</si>
  <si>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</si>
  <si>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</si>
  <si>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</si>
  <si>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</si>
  <si>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</si>
  <si>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</si>
  <si>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</si>
  <si>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</si>
  <si>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</si>
  <si>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</si>
  <si>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</si>
  <si>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</si>
  <si>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</si>
  <si>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</si>
  <si>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</si>
  <si>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</si>
  <si>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</si>
  <si>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</si>
  <si>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</si>
  <si>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</si>
  <si>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</si>
  <si>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</si>
  <si>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</si>
  <si>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</si>
  <si>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</si>
  <si>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</si>
  <si>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</si>
  <si>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</si>
  <si>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</si>
  <si>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</si>
  <si>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</si>
  <si>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</si>
  <si>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</si>
  <si>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</si>
  <si>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</si>
  <si>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</si>
  <si>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</si>
  <si>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</si>
  <si>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</si>
  <si>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</si>
  <si>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</si>
  <si>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</si>
  <si>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</si>
  <si>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</si>
  <si>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</si>
  <si>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</si>
  <si>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</si>
  <si>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</si>
  <si>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</si>
  <si>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</si>
  <si>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</si>
  <si>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</si>
  <si>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</si>
  <si>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</si>
  <si>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</si>
  <si>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</si>
  <si>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</si>
  <si>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</si>
  <si>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</si>
  <si>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</si>
  <si>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</si>
  <si>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</si>
  <si>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</si>
  <si>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</si>
  <si>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</si>
  <si>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</si>
  <si>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</si>
  <si>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</si>
  <si>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</si>
  <si>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</si>
  <si>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</si>
  <si>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</si>
  <si>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</si>
  <si>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</si>
  <si>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</si>
  <si>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</si>
  <si>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</si>
  <si>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</si>
  <si>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</si>
  <si>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</si>
  <si>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</si>
  <si>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</si>
  <si>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</si>
  <si>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</si>
  <si>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</si>
  <si>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</si>
  <si>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</si>
  <si>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</si>
  <si>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</si>
  <si>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</si>
  <si>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</si>
  <si>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</si>
  <si>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</si>
  <si>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</si>
  <si>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</si>
  <si>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</si>
  <si>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</si>
  <si>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</si>
  <si>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</si>
  <si>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</si>
  <si>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</si>
  <si>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</si>
  <si>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</si>
  <si>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</si>
  <si>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</si>
  <si>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</si>
  <si>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</si>
  <si>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</si>
  <si>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 No coupom</t>
  </si>
  <si>
    <t>Grand Total</t>
  </si>
  <si>
    <t>Count of OrderID</t>
  </si>
  <si>
    <t>Sum of TotalPrice</t>
  </si>
  <si>
    <t>Order Status</t>
  </si>
  <si>
    <t>Payment Mesthod</t>
  </si>
  <si>
    <t>Referral Source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</si>
  <si>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</si>
  <si>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</si>
  <si>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</si>
  <si>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</si>
  <si>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</si>
  <si>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</si>
  <si>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</si>
  <si>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</si>
  <si>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</si>
  <si>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</si>
  <si>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</si>
  <si>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</si>
  <si>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 Month</t>
  </si>
  <si>
    <t>Most Ordered Products</t>
  </si>
  <si>
    <t>Total Sales By Product</t>
  </si>
  <si>
    <t>Order Status Analysis</t>
  </si>
  <si>
    <t>Payment Method Analysis</t>
  </si>
  <si>
    <t>Referral Source Analysis</t>
  </si>
  <si>
    <t>Monthly Sales Trend</t>
  </si>
  <si>
    <t>Q1</t>
  </si>
  <si>
    <t>Q3</t>
  </si>
  <si>
    <t>IQR</t>
  </si>
  <si>
    <t>Upper Bound</t>
  </si>
  <si>
    <t>Lower Bound</t>
  </si>
  <si>
    <t>Outlier Check</t>
  </si>
  <si>
    <t>Total sales</t>
  </si>
  <si>
    <t>Total Orders</t>
  </si>
  <si>
    <t>Average Order Value</t>
  </si>
  <si>
    <t>Average Order</t>
  </si>
  <si>
    <t>Most Sold Product</t>
  </si>
  <si>
    <t>Highest Revenue Product</t>
  </si>
  <si>
    <t>Delivered Orders</t>
  </si>
  <si>
    <t>Average of Quantity</t>
  </si>
  <si>
    <t>Average of UnitPrice</t>
  </si>
  <si>
    <t>Average of TotalPrice</t>
  </si>
  <si>
    <t>Column</t>
  </si>
  <si>
    <t>Mean</t>
  </si>
  <si>
    <t>Median</t>
  </si>
  <si>
    <t>Count of Quantity</t>
  </si>
  <si>
    <t>Count of UnitPrice</t>
  </si>
  <si>
    <t>Count of TotalPrice</t>
  </si>
  <si>
    <t>Median of Quantity</t>
  </si>
  <si>
    <t>Median of UnitPrice</t>
  </si>
  <si>
    <t>Basic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</si>
</sst>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rgb="FFF5EBC8"/>
      <name val="Arial"/>
      <family val="2"/>
      <scheme val="minor"/>
    </font>
    <font>
      <b/>
      <sz val="11"/>
      <color rgb="FFF5EBC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63242D"/>
        <bgColor indexed="64"/>
      </patternFill>
    </fill>
    <fill>
      <patternFill patternType="solid">
        <fgColor rgb="FFAF3F4F"/>
        <bgColor indexed="64"/>
      </patternFill>
    </fill>
    <fill>
      <patternFill patternType="solid">
        <fgColor rgb="FFFB5A71"/>
        <bgColor indexed="64"/>
      </patternFill>
    </fill>
    <fill>
      <patternFill patternType="solid">
        <fgColor rgb="FFF5EBC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/>
    <xf numFmtId="0" fontId="0" fillId="3" borderId="0" xfId="0" applyFill="1"/>
    <xf numFmtId="1" fontId="0" fillId="0" borderId="0" xfId="0" applyNumberFormat="1"/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126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>
          <bgColor rgb="FFFB5A71"/>
        </patternFill>
      </fill>
    </dxf>
    <dxf>
      <fill>
        <patternFill>
          <bgColor rgb="FFFB5A71"/>
        </patternFill>
      </fill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B5A7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4" formatCode="0.00%"/>
    </dxf>
    <dxf>
      <numFmt numFmtId="0" formatCode="General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mruColors>
      <color rgb="FFF5EBC8"/>
      <color rgb="FF63242D"/>
      <color rgb="FF301115"/>
      <color rgb="FFC1AA8A"/>
      <color rgb="FFFB5A71"/>
      <color rgb="FFAF3F4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Most Ordered Products</a:t>
            </a:r>
          </a:p>
        </c:rich>
      </c:tx>
      <c:layout>
        <c:manualLayout>
          <c:xMode val="edge"/>
          <c:yMode val="edge"/>
          <c:x val="0.31036246240147686"/>
          <c:y val="3.389906513318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242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806931638018723E-2"/>
          <c:y val="0.10291008793470881"/>
          <c:w val="0.81927356004326346"/>
          <c:h val="0.7592033839670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242D"/>
            </a:solidFill>
            <a:ln>
              <a:noFill/>
            </a:ln>
            <a:effectLst/>
          </c:spPr>
          <c:invertIfNegative val="0"/>
          <c:cat>
            <c:strRef>
              <c:f>Pivot!$A$19:$A$26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Pivot!$B$19:$B$26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9-4209-90CA-3D4A236BD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681855"/>
        <c:axId val="760673215"/>
      </c:barChart>
      <c:catAx>
        <c:axId val="7606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73215"/>
        <c:crosses val="autoZero"/>
        <c:auto val="1"/>
        <c:lblAlgn val="ctr"/>
        <c:lblOffset val="100"/>
        <c:noMultiLvlLbl val="0"/>
      </c:catAx>
      <c:valAx>
        <c:axId val="76067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8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B5A7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rgbClr val="301115"/>
          </a:solidFill>
          <a:ln w="19050">
            <a:noFill/>
          </a:ln>
          <a:effectLst/>
        </c:spPr>
      </c:pivotFmt>
      <c:pivotFmt>
        <c:idx val="11"/>
        <c:spPr>
          <a:solidFill>
            <a:srgbClr val="C1AA8A"/>
          </a:solidFill>
          <a:ln w="19050">
            <a:noFill/>
          </a:ln>
          <a:effectLst/>
        </c:spPr>
      </c:pivotFmt>
      <c:pivotFmt>
        <c:idx val="12"/>
        <c:spPr>
          <a:solidFill>
            <a:srgbClr val="AF3F4F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B5A7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0-460C-8FB0-340B94101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0-460C-8FB0-340B941015F7}"/>
              </c:ext>
            </c:extLst>
          </c:dPt>
          <c:dPt>
            <c:idx val="2"/>
            <c:bubble3D val="0"/>
            <c:spPr>
              <a:solidFill>
                <a:srgbClr val="30111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0-460C-8FB0-340B941015F7}"/>
              </c:ext>
            </c:extLst>
          </c:dPt>
          <c:dPt>
            <c:idx val="3"/>
            <c:bubble3D val="0"/>
            <c:spPr>
              <a:solidFill>
                <a:srgbClr val="C1AA8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0-460C-8FB0-340B941015F7}"/>
              </c:ext>
            </c:extLst>
          </c:dPt>
          <c:dPt>
            <c:idx val="4"/>
            <c:bubble3D val="0"/>
            <c:spPr>
              <a:solidFill>
                <a:srgbClr val="AF3F4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80-460C-8FB0-340B941015F7}"/>
              </c:ext>
            </c:extLst>
          </c:dPt>
          <c:cat>
            <c:strRef>
              <c:f>Pivot!$G$19:$G$24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Pivot!$H$19:$H$24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80-460C-8FB0-340B9410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Referral Source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242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242D"/>
            </a:solidFill>
            <a:ln>
              <a:noFill/>
            </a:ln>
            <a:effectLst/>
          </c:spPr>
          <c:invertIfNegative val="0"/>
          <c:cat>
            <c:strRef>
              <c:f>Pivot!$J$19:$J$24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Pivot!$K$19:$K$24</c:f>
              <c:numCache>
                <c:formatCode>General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E-4D6F-8E51-77657294E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692895"/>
        <c:axId val="760687135"/>
      </c:barChart>
      <c:catAx>
        <c:axId val="7606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87135"/>
        <c:crosses val="autoZero"/>
        <c:auto val="1"/>
        <c:lblAlgn val="ctr"/>
        <c:lblOffset val="100"/>
        <c:noMultiLvlLbl val="0"/>
      </c:catAx>
      <c:valAx>
        <c:axId val="76068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6069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(3).xlsx]Pivot!PivotTable6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3242D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3242D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242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Pivot!$N$18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242D"/>
              </a:solidFill>
              <a:round/>
            </a:ln>
            <a:effectLst/>
          </c:spPr>
          <c:marker>
            <c:symbol val="none"/>
          </c:marker>
          <c:cat>
            <c:strRef>
              <c:f>Pivot!$M$19:$M$31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Pivot!$N$19:$N$31</c:f>
              <c:numCache>
                <c:formatCode>General</c:formatCode>
                <c:ptCount val="12"/>
                <c:pt idx="0">
                  <c:v>109186.05</c:v>
                </c:pt>
                <c:pt idx="1">
                  <c:v>86343.210000000036</c:v>
                </c:pt>
                <c:pt idx="2">
                  <c:v>82540.5</c:v>
                </c:pt>
                <c:pt idx="3">
                  <c:v>112344.77999999998</c:v>
                </c:pt>
                <c:pt idx="4">
                  <c:v>124313.23000000005</c:v>
                </c:pt>
                <c:pt idx="5">
                  <c:v>85784.63999999997</c:v>
                </c:pt>
                <c:pt idx="6">
                  <c:v>170616.13000000006</c:v>
                </c:pt>
                <c:pt idx="7">
                  <c:v>123840.92999999995</c:v>
                </c:pt>
                <c:pt idx="8">
                  <c:v>135142.59</c:v>
                </c:pt>
                <c:pt idx="9">
                  <c:v>75493.430000000008</c:v>
                </c:pt>
                <c:pt idx="10">
                  <c:v>89834.820000000022</c:v>
                </c:pt>
                <c:pt idx="11">
                  <c:v>69321.650000000023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B-43C1-8091-60C6F62D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326799"/>
        <c:axId val="1448327279"/>
      </c:lineChart>
      <c:catAx>
        <c:axId val="144832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48327279"/>
        <c:crosses val="autoZero"/>
        <c:auto val="1"/>
        <c:lblAlgn val="ctr"/>
        <c:lblOffset val="100"/>
        <c:noMultiLvlLbl val="0"/>
      </c:catAx>
      <c:valAx>
        <c:axId val="144832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242D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4832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5EBC8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10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23</xdr:row>
      <xdr:rowOff>0</xdr:rowOff>
    </xdr:from>
    <xdr:to>
      <xdr:col>23</xdr:col>
      <xdr:colOff>742345</xdr:colOff>
      <xdr:row>31</xdr:row>
      <xdr:rowOff>140609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A11D221-A5AB-467E-BCB7-8E032437AE73}"/>
            </a:ext>
          </a:extLst>
        </xdr:cNvPr>
        <xdr:cNvGrpSpPr/>
      </xdr:nvGrpSpPr>
      <xdr:grpSpPr>
        <a:xfrm>
          <a:off x="25790769" y="4044462"/>
          <a:ext cx="2207730" cy="1617716"/>
          <a:chOff x="17769418" y="1693332"/>
          <a:chExt cx="2205869" cy="1592037"/>
        </a:xfrm>
        <a:solidFill>
          <a:srgbClr val="F5EBC8"/>
        </a:solidFill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D704E41-DDB4-8667-2AAD-E9B0AFE04B87}"/>
              </a:ext>
            </a:extLst>
          </xdr:cNvPr>
          <xdr:cNvSpPr/>
        </xdr:nvSpPr>
        <xdr:spPr>
          <a:xfrm>
            <a:off x="17769418" y="1693332"/>
            <a:ext cx="2205869" cy="1592037"/>
          </a:xfrm>
          <a:prstGeom prst="roundRect">
            <a:avLst>
              <a:gd name="adj" fmla="val 30129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G4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7E9CDD83-8F44-96B3-5B98-C52CE4075FED}"/>
              </a:ext>
            </a:extLst>
          </xdr:cNvPr>
          <xdr:cNvSpPr/>
        </xdr:nvSpPr>
        <xdr:spPr>
          <a:xfrm>
            <a:off x="17888858" y="2730501"/>
            <a:ext cx="1953382" cy="39007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2A57C173-4192-4C8B-8D11-CD1BF7098DEB}" type="TxLink">
              <a:rPr lang="en-US" sz="2000" b="1" i="0" u="none" strike="noStrike">
                <a:solidFill>
                  <a:srgbClr val="63242D"/>
                </a:solidFill>
                <a:latin typeface="Arial"/>
                <a:cs typeface="Arial"/>
              </a:rPr>
              <a:pPr algn="ctr"/>
              <a:t>1054</a:t>
            </a:fld>
            <a:endParaRPr lang="ar-EG" sz="11500" b="1">
              <a:solidFill>
                <a:srgbClr val="63242D"/>
              </a:solidFill>
            </a:endParaRPr>
          </a:p>
        </xdr:txBody>
      </xdr:sp>
      <xdr:sp macro="" textlink="Q4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7A0A5AF9-06E2-F90E-6E0F-B5BF2F4A0AD7}"/>
              </a:ext>
            </a:extLst>
          </xdr:cNvPr>
          <xdr:cNvSpPr/>
        </xdr:nvSpPr>
        <xdr:spPr>
          <a:xfrm>
            <a:off x="17837452" y="1930703"/>
            <a:ext cx="2007809" cy="48078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800" b="1" i="0" u="none" strike="noStrike">
                <a:solidFill>
                  <a:srgbClr val="63242D"/>
                </a:solidFill>
                <a:latin typeface="Arial"/>
                <a:cs typeface="Arial"/>
              </a:rPr>
              <a:t>Average Order</a:t>
            </a:r>
            <a:endParaRPr lang="ar-EG" sz="1800" b="1" i="0" u="none" strike="noStrike">
              <a:solidFill>
                <a:srgbClr val="63242D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748394</xdr:colOff>
      <xdr:row>20</xdr:row>
      <xdr:rowOff>68036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AEA2AB5-6B3A-4F58-9E55-A41252A87563}"/>
            </a:ext>
          </a:extLst>
        </xdr:cNvPr>
        <xdr:cNvGrpSpPr/>
      </xdr:nvGrpSpPr>
      <xdr:grpSpPr>
        <a:xfrm>
          <a:off x="24325385" y="1934308"/>
          <a:ext cx="2213778" cy="1650651"/>
          <a:chOff x="21384381" y="2397881"/>
          <a:chExt cx="2211917" cy="1592036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836C65C3-6482-CB57-010B-6D59E80F1FDB}"/>
              </a:ext>
            </a:extLst>
          </xdr:cNvPr>
          <xdr:cNvSpPr/>
        </xdr:nvSpPr>
        <xdr:spPr>
          <a:xfrm>
            <a:off x="21384381" y="2397881"/>
            <a:ext cx="2211917" cy="1592036"/>
          </a:xfrm>
          <a:prstGeom prst="roundRect">
            <a:avLst>
              <a:gd name="adj" fmla="val 30129"/>
            </a:avLst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solidFill>
                <a:srgbClr val="63242D"/>
              </a:solidFill>
            </a:endParaRPr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FAD354F7-5460-96DE-B5AF-991AFAA20362}"/>
              </a:ext>
            </a:extLst>
          </xdr:cNvPr>
          <xdr:cNvSpPr/>
        </xdr:nvSpPr>
        <xdr:spPr>
          <a:xfrm>
            <a:off x="21541620" y="2564191"/>
            <a:ext cx="1862666" cy="483810"/>
          </a:xfrm>
          <a:prstGeom prst="roundRect">
            <a:avLst/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800" b="1">
                <a:solidFill>
                  <a:srgbClr val="63242D"/>
                </a:solidFill>
              </a:rPr>
              <a:t>Highest</a:t>
            </a:r>
            <a:r>
              <a:rPr lang="en-US" sz="1800" b="1" baseline="0">
                <a:solidFill>
                  <a:srgbClr val="63242D"/>
                </a:solidFill>
              </a:rPr>
              <a:t> Revenue</a:t>
            </a:r>
            <a:endParaRPr lang="en-US" sz="1800" b="1">
              <a:solidFill>
                <a:srgbClr val="63242D"/>
              </a:solidFill>
            </a:endParaRPr>
          </a:p>
        </xdr:txBody>
      </xdr:sp>
      <xdr:sp macro="" textlink="J4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EBFA8C1E-650E-239B-D735-731B7A92F794}"/>
              </a:ext>
            </a:extLst>
          </xdr:cNvPr>
          <xdr:cNvSpPr/>
        </xdr:nvSpPr>
        <xdr:spPr>
          <a:xfrm>
            <a:off x="21517428" y="3265715"/>
            <a:ext cx="1862666" cy="483810"/>
          </a:xfrm>
          <a:prstGeom prst="roundRect">
            <a:avLst/>
          </a:prstGeom>
          <a:solidFill>
            <a:srgbClr val="F5EBC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39F2EFA7-E34D-44A5-94F6-204228378CDE}" type="TxLink">
              <a:rPr lang="en-US" sz="2000" b="1" i="0" u="none" strike="noStrike">
                <a:solidFill>
                  <a:srgbClr val="63242D"/>
                </a:solidFill>
                <a:latin typeface="Arial"/>
                <a:cs typeface="Arial"/>
              </a:rPr>
              <a:pPr algn="ctr"/>
              <a:t>Chair</a:t>
            </a:fld>
            <a:endParaRPr lang="en-US" sz="4800" b="1">
              <a:solidFill>
                <a:srgbClr val="63242D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659499</xdr:colOff>
      <xdr:row>12</xdr:row>
      <xdr:rowOff>153109</xdr:rowOff>
    </xdr:from>
    <xdr:to>
      <xdr:col>18</xdr:col>
      <xdr:colOff>153459</xdr:colOff>
      <xdr:row>24</xdr:row>
      <xdr:rowOff>152299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E43B9-FDF4-4956-A863-A51843E1A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526658</xdr:colOff>
      <xdr:row>0</xdr:row>
      <xdr:rowOff>95657</xdr:rowOff>
    </xdr:from>
    <xdr:to>
      <xdr:col>17</xdr:col>
      <xdr:colOff>176954</xdr:colOff>
      <xdr:row>4</xdr:row>
      <xdr:rowOff>74628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704EBD4-BF80-74EE-CB34-E71E94499AB1}"/>
            </a:ext>
          </a:extLst>
        </xdr:cNvPr>
        <xdr:cNvSpPr/>
      </xdr:nvSpPr>
      <xdr:spPr>
        <a:xfrm>
          <a:off x="2529437" y="95657"/>
          <a:ext cx="8996597" cy="680281"/>
        </a:xfrm>
        <a:prstGeom prst="roundRect">
          <a:avLst>
            <a:gd name="adj" fmla="val 50000"/>
          </a:avLst>
        </a:prstGeom>
        <a:solidFill>
          <a:srgbClr val="F5EBC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3200" b="1">
              <a:solidFill>
                <a:srgbClr val="63242D"/>
              </a:solidFill>
            </a:rPr>
            <a:t>Sales Analysis Dashboard</a:t>
          </a:r>
          <a:endParaRPr lang="ar-EG" sz="3200" b="1">
            <a:solidFill>
              <a:srgbClr val="63242D"/>
            </a:solidFill>
          </a:endParaRPr>
        </a:p>
      </xdr:txBody>
    </xdr:sp>
    <xdr:clientData/>
  </xdr:twoCellAnchor>
  <xdr:twoCellAnchor>
    <xdr:from>
      <xdr:col>11</xdr:col>
      <xdr:colOff>659500</xdr:colOff>
      <xdr:row>25</xdr:row>
      <xdr:rowOff>50928</xdr:rowOff>
    </xdr:from>
    <xdr:to>
      <xdr:col>18</xdr:col>
      <xdr:colOff>176368</xdr:colOff>
      <xdr:row>37</xdr:row>
      <xdr:rowOff>50119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8CD2B-E987-4DA9-A560-CF3A981AC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129950</xdr:colOff>
      <xdr:row>25</xdr:row>
      <xdr:rowOff>79531</xdr:rowOff>
    </xdr:from>
    <xdr:to>
      <xdr:col>7</xdr:col>
      <xdr:colOff>649140</xdr:colOff>
      <xdr:row>37</xdr:row>
      <xdr:rowOff>78722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B983F3-42F2-4E3E-9076-EE2A1D6BC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125017</xdr:colOff>
      <xdr:row>0</xdr:row>
      <xdr:rowOff>66367</xdr:rowOff>
    </xdr:from>
    <xdr:to>
      <xdr:col>5</xdr:col>
      <xdr:colOff>203845</xdr:colOff>
      <xdr:row>4</xdr:row>
      <xdr:rowOff>121546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AD37B57-F983-D795-7CA6-2E29CA28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389" y="66367"/>
          <a:ext cx="746421" cy="756489"/>
        </a:xfrm>
        <a:prstGeom prst="rect">
          <a:avLst/>
        </a:prstGeom>
      </xdr:spPr>
    </xdr:pic>
    <xdr:clientData/>
  </xdr:twoCellAnchor>
  <xdr:twoCellAnchor>
    <xdr:from>
      <xdr:col>1</xdr:col>
      <xdr:colOff>152520</xdr:colOff>
      <xdr:row>12</xdr:row>
      <xdr:rowOff>154729</xdr:rowOff>
    </xdr:from>
    <xdr:to>
      <xdr:col>7</xdr:col>
      <xdr:colOff>649140</xdr:colOff>
      <xdr:row>24</xdr:row>
      <xdr:rowOff>153920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D736CE-5ECB-44F9-88D5-E89C28141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483632</xdr:colOff>
      <xdr:row>5</xdr:row>
      <xdr:rowOff>81297</xdr:rowOff>
    </xdr:from>
    <xdr:to>
      <xdr:col>7</xdr:col>
      <xdr:colOff>122675</xdr:colOff>
      <xdr:row>12</xdr:row>
      <xdr:rowOff>27889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AB52B96-E045-42B4-B978-5891F9FF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1414" y="947206"/>
          <a:ext cx="1654879" cy="1158865"/>
        </a:xfrm>
        <a:prstGeom prst="rect">
          <a:avLst/>
        </a:prstGeom>
      </xdr:spPr>
    </xdr:pic>
    <xdr:clientData/>
  </xdr:twoCellAnchor>
  <xdr:twoCellAnchor editAs="oneCell">
    <xdr:from>
      <xdr:col>8</xdr:col>
      <xdr:colOff>341734</xdr:colOff>
      <xdr:row>5</xdr:row>
      <xdr:rowOff>81297</xdr:rowOff>
    </xdr:from>
    <xdr:to>
      <xdr:col>10</xdr:col>
      <xdr:colOff>649694</xdr:colOff>
      <xdr:row>12</xdr:row>
      <xdr:rowOff>27889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74A08C4-EBAE-4569-AC19-89B5C0C2D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7298" y="947206"/>
          <a:ext cx="1651851" cy="11588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192456</xdr:colOff>
      <xdr:row>5</xdr:row>
      <xdr:rowOff>81297</xdr:rowOff>
    </xdr:from>
    <xdr:to>
      <xdr:col>14</xdr:col>
      <xdr:colOff>512354</xdr:colOff>
      <xdr:row>12</xdr:row>
      <xdr:rowOff>27889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82CA27C-32E8-40EE-959B-FE0F0E28E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801" y="947206"/>
          <a:ext cx="1663789" cy="1158865"/>
        </a:xfrm>
        <a:prstGeom prst="rect">
          <a:avLst/>
        </a:prstGeom>
      </xdr:spPr>
    </xdr:pic>
    <xdr:clientData/>
  </xdr:twoCellAnchor>
  <xdr:twoCellAnchor editAs="oneCell">
    <xdr:from>
      <xdr:col>16</xdr:col>
      <xdr:colOff>55113</xdr:colOff>
      <xdr:row>5</xdr:row>
      <xdr:rowOff>81751</xdr:rowOff>
    </xdr:from>
    <xdr:to>
      <xdr:col>18</xdr:col>
      <xdr:colOff>369182</xdr:colOff>
      <xdr:row>12</xdr:row>
      <xdr:rowOff>27436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481BE50-2A23-48F8-82B5-9A9A95FF1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06240" y="947660"/>
          <a:ext cx="1657960" cy="1157958"/>
        </a:xfrm>
        <a:prstGeom prst="rect">
          <a:avLst/>
        </a:prstGeom>
      </xdr:spPr>
    </xdr:pic>
    <xdr:clientData/>
  </xdr:twoCellAnchor>
  <xdr:twoCellAnchor editAs="oneCell">
    <xdr:from>
      <xdr:col>0</xdr:col>
      <xdr:colOff>620843</xdr:colOff>
      <xdr:row>5</xdr:row>
      <xdr:rowOff>81297</xdr:rowOff>
    </xdr:from>
    <xdr:to>
      <xdr:col>3</xdr:col>
      <xdr:colOff>264573</xdr:colOff>
      <xdr:row>12</xdr:row>
      <xdr:rowOff>27889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A48D0AA-ACD6-4B1B-B34B-0981F035B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0843" y="947206"/>
          <a:ext cx="1659566" cy="1158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160020</xdr:rowOff>
    </xdr:from>
    <xdr:to>
      <xdr:col>6</xdr:col>
      <xdr:colOff>533400</xdr:colOff>
      <xdr:row>9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47D945-9662-26EC-E935-A4DF7B72D496}"/>
            </a:ext>
          </a:extLst>
        </xdr:cNvPr>
        <xdr:cNvSpPr txBox="1"/>
      </xdr:nvSpPr>
      <xdr:spPr>
        <a:xfrm>
          <a:off x="2209800" y="685800"/>
          <a:ext cx="3177540" cy="98298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r>
            <a:rPr lang="en-US" sz="1200" b="1">
              <a:solidFill>
                <a:srgbClr val="F5EBC8"/>
              </a:solidFill>
            </a:rPr>
            <a:t>Printer is the most ordered product, indicating strong customer demand compared to other products.</a:t>
          </a:r>
          <a:endParaRPr lang="ar-EG" sz="1200" b="1">
            <a:solidFill>
              <a:srgbClr val="F5EBC8"/>
            </a:solidFill>
          </a:endParaRPr>
        </a:p>
      </xdr:txBody>
    </xdr:sp>
    <xdr:clientData/>
  </xdr:twoCellAnchor>
  <xdr:twoCellAnchor>
    <xdr:from>
      <xdr:col>2</xdr:col>
      <xdr:colOff>60960</xdr:colOff>
      <xdr:row>12</xdr:row>
      <xdr:rowOff>0</xdr:rowOff>
    </xdr:from>
    <xdr:to>
      <xdr:col>6</xdr:col>
      <xdr:colOff>594360</xdr:colOff>
      <xdr:row>17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8934FD-55E3-5D2F-D83E-888F77B3AF1D}"/>
            </a:ext>
          </a:extLst>
        </xdr:cNvPr>
        <xdr:cNvSpPr txBox="1"/>
      </xdr:nvSpPr>
      <xdr:spPr>
        <a:xfrm>
          <a:off x="2232660" y="2103120"/>
          <a:ext cx="3215640" cy="89916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r>
            <a:rPr lang="en-US" sz="1200" b="1">
              <a:solidFill>
                <a:srgbClr val="F5EBC8"/>
              </a:solidFill>
            </a:rPr>
            <a:t>Sales peaked during June, while lower sales were recorded in September and November.</a:t>
          </a:r>
          <a:endParaRPr lang="ar-EG" sz="1200" b="1">
            <a:solidFill>
              <a:srgbClr val="F5EBC8"/>
            </a:solidFill>
          </a:endParaRPr>
        </a:p>
      </xdr:txBody>
    </xdr:sp>
    <xdr:clientData/>
  </xdr:twoCellAnchor>
  <xdr:twoCellAnchor>
    <xdr:from>
      <xdr:col>2</xdr:col>
      <xdr:colOff>99060</xdr:colOff>
      <xdr:row>20</xdr:row>
      <xdr:rowOff>76200</xdr:rowOff>
    </xdr:from>
    <xdr:to>
      <xdr:col>6</xdr:col>
      <xdr:colOff>464820</xdr:colOff>
      <xdr:row>25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65F8A4-01F4-755B-1E32-0A0D3EFC3A01}"/>
            </a:ext>
          </a:extLst>
        </xdr:cNvPr>
        <xdr:cNvSpPr txBox="1"/>
      </xdr:nvSpPr>
      <xdr:spPr>
        <a:xfrm>
          <a:off x="2270760" y="3581400"/>
          <a:ext cx="3048000" cy="944880"/>
        </a:xfrm>
        <a:prstGeom prst="rect">
          <a:avLst/>
        </a:prstGeom>
        <a:solidFill>
          <a:srgbClr val="63242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rgbClr val="F5EBC8"/>
              </a:solidFill>
            </a:rPr>
            <a:t>Insight:-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rgbClr val="F5EBC8"/>
              </a:solidFill>
            </a:rPr>
            <a:t>A noticeable percentage of orders are either cancelled or returned, which may indicate operational or shipping issues.</a:t>
          </a:r>
        </a:p>
        <a:p>
          <a:endParaRPr lang="ar-E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22106481" backgroundQuery="1" createdVersion="8" refreshedVersion="8" minRefreshableVersion="3" recordCount="0" supportSubquery="1" supportAdvancedDrill="1" xr:uid="{15708284-660D-4416-AC24-9A7E36251B9A}">
  <cacheSource type="external" connectionId="1"/>
  <cacheFields count="1">
    <cacheField name="[Measures].[Count of Quantity]" caption="Count of Quantity" numFmtId="0" hierarchy="35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90740742" backgroundQuery="1" createdVersion="8" refreshedVersion="8" minRefreshableVersion="3" recordCount="0" supportSubquery="1" supportAdvancedDrill="1" xr:uid="{2E5D6516-C917-4441-ADDB-4D48BBC0F66E}">
  <cacheSource type="external" connectionId="1"/>
  <cacheFields count="1">
    <cacheField name="[Measures].[Count of UnitPrice]" caption="Count of UnitPrice" numFmtId="0" hierarchy="36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635879633" backgroundQuery="1" createdVersion="8" refreshedVersion="8" minRefreshableVersion="3" recordCount="0" supportSubquery="1" supportAdvancedDrill="1" xr:uid="{557E07F4-0A79-4A83-A147-52A3A9775C6B}">
  <cacheSource type="external" connectionId="1"/>
  <cacheFields count="1">
    <cacheField name="[Measures].[Count of TotalPrice]" caption="Count of TotalPrice" numFmtId="0" hierarchy="3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8768518518" backgroundQuery="1" createdVersion="8" refreshedVersion="8" minRefreshableVersion="3" recordCount="0" supportSubquery="1" supportAdvancedDrill="1" xr:uid="{A9A3C355-4A4A-4F0B-ABB0-EC4A824EBCDA}">
  <cacheSource type="external" connectionId="1"/>
  <cacheFields count="1">
    <cacheField name="[Measures].[Average of TotalPrice]" caption="Average of TotalPrice" numFmtId="0" hierarchy="34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9235185182" backgroundQuery="1" createdVersion="8" refreshedVersion="8" minRefreshableVersion="3" recordCount="0" supportSubquery="1" supportAdvancedDrill="1" xr:uid="{780398F7-CE61-4E60-A820-24156F333F6E}">
  <cacheSource type="external" connectionId="1"/>
  <cacheFields count="1">
    <cacheField name="[Measures].[Average of UnitPrice]" caption="Average of UnitPrice" numFmtId="0" hierarchy="33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7819560186" backgroundQuery="1" createdVersion="8" refreshedVersion="8" minRefreshableVersion="3" recordCount="0" supportSubquery="1" supportAdvancedDrill="1" xr:uid="{F391AF87-0550-4202-91DA-36BBAC4F3C0A}">
  <cacheSource type="external" connectionId="1"/>
  <cacheFields count="1">
    <cacheField name="[Measures].[Average of Quantity]" caption="Average of Quantity" numFmtId="0" hierarchy="32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61266898146" backgroundQuery="1" createdVersion="8" refreshedVersion="8" minRefreshableVersion="3" recordCount="0" supportSubquery="1" supportAdvancedDrill="1" xr:uid="{4EEFE8DF-C276-4F30-92EA-E1088164E7A7}">
  <cacheSource type="external" connectionId="1"/>
  <cacheFields count="3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  <cacheField name="[Table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05419560189" backgroundQuery="1" createdVersion="8" refreshedVersion="8" minRefreshableVersion="3" recordCount="0" supportSubquery="1" supportAdvancedDrill="1" xr:uid="{389BAB12-DDD9-4726-83A7-D35AD7C5F0E3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902430559" backgroundQuery="1" createdVersion="8" refreshedVersion="8" minRefreshableVersion="3" recordCount="0" supportSubquery="1" supportAdvancedDrill="1" xr:uid="{2266D31E-F874-49E3-9FE4-4B21577B18FB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9219907408" backgroundQuery="1" createdVersion="8" refreshedVersion="8" minRefreshableVersion="3" recordCount="0" supportSubquery="1" supportAdvancedDrill="1" xr:uid="{275B0034-9B7D-4DB1-8B45-27CA140BDD83}">
  <cacheSource type="external" connectionId="1"/>
  <cacheFields count="1"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900810188" backgroundQuery="1" createdVersion="8" refreshedVersion="8" minRefreshableVersion="3" recordCount="0" supportSubquery="1" supportAdvancedDrill="1" xr:uid="{EF2FB379-6CBC-4BE6-B99A-F47C1DC3F596}">
  <cacheSource type="external" connectionId="1"/>
  <cacheFields count="2">
    <cacheField name="[Measures].[Sum of TotalPrice]" caption="Sum of TotalPrice" numFmtId="0" hierarchy="28" level="32767"/>
    <cacheField name="[Table1].[Date Month].[Date Month]" caption="Date Month" numFmtId="0" hierarchy="1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861111" backgroundQuery="1" createdVersion="8" refreshedVersion="8" minRefreshableVersion="3" recordCount="0" supportSubquery="1" supportAdvancedDrill="1" xr:uid="{F1E3C94D-B073-4353-96CB-4CCF29ECC8D9}">
  <cacheSource type="external" connectionId="1"/>
  <cacheFields count="2">
    <cacheField name="[Measures].[Count of OrderID]" caption="Count of OrderID" numFmtId="0" hierarchy="27" level="32767"/>
    <cacheField name="[Table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7685186" backgroundQuery="1" createdVersion="8" refreshedVersion="8" minRefreshableVersion="3" recordCount="0" supportSubquery="1" supportAdvancedDrill="1" xr:uid="{52465810-BAFA-4280-B1B0-DBEF8A4D3645}">
  <cacheSource type="external" connectionId="1"/>
  <cacheFields count="2">
    <cacheField name="[Measures].[Count of OrderID]" caption="Count of OrderID" numFmtId="0" hierarchy="27" level="32767"/>
    <cacheField name="[Table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6527778" backgroundQuery="1" createdVersion="8" refreshedVersion="8" minRefreshableVersion="3" recordCount="0" supportSubquery="1" supportAdvancedDrill="1" xr:uid="{F46712D9-40BE-4137-A5C2-12E675753DFE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698895486108" backgroundQuery="1" createdVersion="8" refreshedVersion="8" minRefreshableVersion="3" recordCount="0" supportSubquery="1" supportAdvancedDrill="1" xr:uid="{9C142FB3-0125-4566-B54D-D2492834D3AF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95948495374" backgroundQuery="1" createdVersion="8" refreshedVersion="8" minRefreshableVersion="3" recordCount="0" supportSubquery="1" supportAdvancedDrill="1" xr:uid="{8155FC11-03D5-4EAF-BA3B-F33F51059431}">
  <cacheSource type="external" connectionId="1"/>
  <cacheFields count="2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Count of OrderID]" caption="Count of OrderID" numFmtId="0" hierarchy="27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9.095778587965" backgroundQuery="1" createdVersion="8" refreshedVersion="8" minRefreshableVersion="3" recordCount="0" supportSubquery="1" supportAdvancedDrill="1" xr:uid="{E220D180-2C22-44AE-B54F-9879D23B8DE0}">
  <cacheSource type="external" connectionId="1"/>
  <cacheFields count="2">
    <cacheField name="[Table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8" level="32767"/>
  </cacheFields>
  <cacheHierarchies count="38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79384-EB05-4DB4-8BEA-659537633607}" name="PivotTable2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1:N4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ntity" fld="0" subtotal="average" baseField="0" baseItem="0" numFmtId="1"/>
  </dataFields>
  <formats count="5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BBF69-7303-4BD4-8DE0-E01F6289D4D4}" name="PivotTable2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4:M4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UnitPrice" fld="0" subtotal="count" baseField="0" baseItem="0"/>
  </dataFields>
  <formats count="5"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 caption="Count of UnitPrice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5A4A0-BA00-4058-AF81-F0D235C111EA}" name="PivotTable2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1:M4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Quantity" fld="0" subtotal="count" baseField="0" baseItem="0"/>
  </dataFields>
  <formats count="5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814E0-AC2A-4699-A407-02B7C95AE732}" name="PivotTable15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E3:E4" firstHeaderRow="1" firstDataRow="1" firstDataCol="0"/>
  <pivotFields count="2"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Items count="1">
    <i/>
  </rowItems>
  <colItems count="1">
    <i/>
  </colItems>
  <dataFields count="1">
    <dataField name="Count of OrderID" fld="1" subtotal="count" baseField="0" baseItem="0"/>
  </dataFields>
  <formats count="4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46302-4DDF-4475-AC56-224BBCED59C1}" name="PivotTable5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Referral Source">
  <location ref="J18:K24" firstHeaderRow="1" firstDataRow="1" firstDataCol="1"/>
  <pivotFields count="2"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576F-3BC6-4ACD-A011-F8407E5979AC}" name="PivotTable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roduct">
  <location ref="A18:B26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EC0F5-9761-4A45-917D-129AF7757F20}" name="PivotTable3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Order Status">
  <location ref="G18:H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3A28A-7C86-49A6-A764-F895D8939E79}" name="PivotTable20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3:N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69565-0F00-4966-B419-289EB9F68F4D}" name="PivotTable2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4:N4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UnitPrice" fld="0" subtotal="average" baseField="0" baseItem="0" numFmtId="2"/>
  </dataFields>
  <formats count="5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20BAB-EC6C-43BA-902E-D005786A49EC}" name="PivotTable4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ayment Mesthod">
  <location ref="G30:H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437CC-CC0C-4A90-B7FF-146FA24C4311}" name="PivotTable6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Date Month">
  <location ref="M18:N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0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3D6D6-22E9-4852-BC67-085A65F652F2}" name="PivotTable18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J3:K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7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collapsedLevelsAreSubtotals="1" fieldPosition="0">
        <references count="1">
          <reference field="0" count="0"/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EBF42-5029-45A5-8B14-25F062F7C015}" name="PivotTable1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Price" fld="0" baseField="0" baseItem="0" numFmtId="1"/>
  </dataFields>
  <formats count="4"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C8B6D-A119-4ADA-B617-7BC4DD1567FE}" name="PivotTable2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J29:K35" firstHeaderRow="1" firstDataRow="1" firstDataCol="1"/>
  <pivotFields count="3"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showDataAs="percentOfTotal" baseField="0" baseItem="0" numFmtId="1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/>
    </format>
    <format dxfId="106">
      <pivotArea dataOnly="0" labelOnly="1" grandRow="1" outline="0" fieldPosition="0"/>
    </format>
    <format dxfId="105">
      <pivotArea collapsedLevelsAreSubtotals="1" fieldPosition="0">
        <references count="1">
          <reference field="2" count="0"/>
        </references>
      </pivotArea>
    </format>
    <format dxfId="104">
      <pivotArea outline="0" fieldPosition="0">
        <references count="1">
          <reference field="4294967294" count="1">
            <x v="0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D823C-D16B-4567-BB76-B333CD443C7B}" name="PivotTable2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N47:N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Price" fld="0" subtotal="average" baseField="0" baseItem="0"/>
  </dataFields>
  <formats count="5"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D9CA4-A1C9-4D38-913D-53D10CDCB42E}" name="PivotTable26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47:M4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TotalPrice" fld="0" subtotal="count" baseField="0" baseItem="0"/>
  </dataFields>
  <formats count="5"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 caption="Count of TotalPric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D5B15-4794-4DD3-A6E9-5CD9A6555088}" name="PivotTable2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roduct">
  <location ref="A30:B3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BC380-FC1D-4403-B5EC-AEBD278917E1}" name="Table1" displayName="Table1" ref="A1:U1201" totalsRowShown="0" headerRowDxfId="32" dataDxfId="30" headerRowBorderDxfId="31" tableBorderDxfId="29">
  <autoFilter ref="A1:U1201" xr:uid="{6F2BC380-FC1D-4403-B5EC-AEBD278917E1}"/>
  <tableColumns count="21">
    <tableColumn id="1" xr3:uid="{A1A9C249-7099-4DCC-A99D-8FE59BD08624}" name="OrderID" dataDxfId="28"/>
    <tableColumn id="2" xr3:uid="{736A92C7-D931-4EB9-8605-D6AC9F7A6738}" name="Date" dataDxfId="27"/>
    <tableColumn id="3" xr3:uid="{CAEB4C85-B6F3-4464-AC7C-387D809F10DD}" name="CustomerID" dataDxfId="26"/>
    <tableColumn id="4" xr3:uid="{D9664980-8F90-48CE-B462-CA3F388B3E13}" name="Product" dataDxfId="25"/>
    <tableColumn id="5" xr3:uid="{64A19DBE-F93D-4EB6-8975-AF28C8057954}" name="Quantity" dataDxfId="24"/>
    <tableColumn id="6" xr3:uid="{540568D0-A3BF-46C8-9854-7CBD8C145892}" name="UnitPrice" dataDxfId="23"/>
    <tableColumn id="7" xr3:uid="{60B64D7E-FEB6-49D2-9162-9991984E5092}" name="ShippingAddress" dataDxfId="22"/>
    <tableColumn id="8" xr3:uid="{0E86257F-58EE-455D-95FC-56A2900621C5}" name="PaymentMethod" dataDxfId="21"/>
    <tableColumn id="9" xr3:uid="{265A0A07-7FE0-494B-8BB1-89AAC03F1E9E}" name="OrderStatus" dataDxfId="20"/>
    <tableColumn id="10" xr3:uid="{9CE1AAD4-3B1F-4045-B45F-159808DFF795}" name="TrackingNumber" dataDxfId="19"/>
    <tableColumn id="11" xr3:uid="{7FD70463-8E2F-4FAB-A0A4-0E430C0AFE90}" name="ItemsInCart" dataDxfId="18"/>
    <tableColumn id="12" xr3:uid="{EF550E4C-C007-463A-9BF6-98B89FF852FE}" name="CouponCode" dataDxfId="17"/>
    <tableColumn id="13" xr3:uid="{128842AD-C126-47C2-8BF1-013516FD9EA2}" name="ReferralSource" dataDxfId="16"/>
    <tableColumn id="16" xr3:uid="{114DAD37-D1F6-4087-8D59-5C992D520783}" name="Date Month" dataDxfId="15">
      <calculatedColumnFormula>TEXT(B2,"MMM")</calculatedColumnFormula>
    </tableColumn>
    <tableColumn id="14" xr3:uid="{C9B33B7A-6C5E-4280-8F60-10E00494F539}" name="TotalPrice" dataDxfId="14"/>
    <tableColumn id="17" xr3:uid="{8E82436A-647D-4FF5-9C49-EA7AD7C7331F}" name="Q1" dataDxfId="13"/>
    <tableColumn id="18" xr3:uid="{505C5424-910E-434C-B4E9-3AF3681F554D}" name="Q3" dataDxfId="12">
      <calculatedColumnFormula>_xlfn.QUARTILE.EXC(Table1[[#This Row],[TotalPrice]],3)</calculatedColumnFormula>
    </tableColumn>
    <tableColumn id="19" xr3:uid="{F952FAE3-FD79-498D-8B2F-18AB39DF2B8A}" name="IQR" dataDxfId="11"/>
    <tableColumn id="20" xr3:uid="{B7DC3CE9-4EE7-4224-BFAF-F432AC9032D5}" name="Upper Bound" dataDxfId="10"/>
    <tableColumn id="21" xr3:uid="{A7EE576F-7984-4536-B0A6-D3C76C320BBD}" name="Lower Bound" dataDxfId="9">
      <calculatedColumnFormula>P2-1.5*R2</calculatedColumnFormula>
    </tableColumn>
    <tableColumn id="22" xr3:uid="{F87C3CCD-75C8-4DD6-9135-C4B2D38E5E6B}" name="Outlier Check" dataDxfId="8">
      <calculatedColumnFormula>IF(O2&gt;$S$2,"Outlier","Normal")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AA92A-D85D-45CF-B622-0A4E533D282A}" name="Table4" displayName="Table4" ref="P40:S45" totalsRowShown="0">
  <autoFilter ref="P40:S45" xr:uid="{8B2AA92A-D85D-45CF-B622-0A4E533D282A}"/>
  <tableColumns count="4">
    <tableColumn id="1" xr3:uid="{796421AF-2AE4-46E1-A766-7D36FE96DB29}" name="Column"/>
    <tableColumn id="2" xr3:uid="{84552888-8CDC-4375-9516-50B85E1BE1C7}" name="Mean"/>
    <tableColumn id="3" xr3:uid="{910B0292-35E6-4843-BB53-CDFEAEEDA254}" name="Median"/>
    <tableColumn id="4" xr3:uid="{FBFD10B5-480B-42B6-95DF-A39E53BC040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74F7FF-A77D-4357-A0DD-1274F084926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96aecb-3917-466a-80e8-1faa22fa4c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1"/>
  <sheetViews>
    <sheetView zoomScale="51" zoomScaleNormal="100" workbookViewId="0">
      <selection activeCell="X5" sqref="X5:X7"/>
    </sheetView>
  </sheetViews>
  <sheetFormatPr defaultRowHeight="13.8" x14ac:dyDescent="0.25"/>
  <cols>
    <col min="1" max="1" width="11.69921875" style="1" bestFit="1" customWidth="1"/>
    <col min="2" max="2" width="9.8984375" style="1" bestFit="1" customWidth="1"/>
    <col min="3" max="3" width="15.296875" style="1" bestFit="1" customWidth="1"/>
    <col min="4" max="4" width="11.69921875" style="1" bestFit="1" customWidth="1"/>
    <col min="5" max="5" width="12.296875" style="1" bestFit="1" customWidth="1"/>
    <col min="6" max="6" width="12.8984375" style="1" bestFit="1" customWidth="1"/>
    <col min="7" max="7" width="20" style="1" bestFit="1" customWidth="1"/>
    <col min="8" max="8" width="19.296875" style="1" bestFit="1" customWidth="1"/>
    <col min="9" max="9" width="15.3984375" style="1" bestFit="1" customWidth="1"/>
    <col min="10" max="10" width="19.5" style="1" bestFit="1" customWidth="1"/>
    <col min="11" max="11" width="15" style="1" bestFit="1" customWidth="1"/>
    <col min="12" max="12" width="16.296875" style="1" bestFit="1" customWidth="1"/>
    <col min="13" max="13" width="18.19921875" style="1" bestFit="1" customWidth="1"/>
    <col min="14" max="14" width="14.69921875" bestFit="1" customWidth="1"/>
    <col min="15" max="15" width="13.69921875" style="1" bestFit="1" customWidth="1"/>
    <col min="16" max="18" width="9.8984375" style="1" customWidth="1"/>
    <col min="19" max="19" width="16.3984375" style="1" bestFit="1" customWidth="1"/>
    <col min="20" max="20" width="17.796875" style="1" customWidth="1"/>
    <col min="21" max="21" width="16.796875" style="1" bestFit="1" customWidth="1"/>
    <col min="22" max="16384" width="8.796875" style="1"/>
  </cols>
  <sheetData>
    <row r="1" spans="1:2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5" t="s">
        <v>4302</v>
      </c>
      <c r="O1" s="2" t="s">
        <v>13</v>
      </c>
      <c r="P1" s="2" t="s">
        <v>4309</v>
      </c>
      <c r="Q1" s="2" t="s">
        <v>4310</v>
      </c>
      <c r="R1" s="2" t="s">
        <v>4311</v>
      </c>
      <c r="S1" s="2" t="s">
        <v>4312</v>
      </c>
      <c r="T1" s="2" t="s">
        <v>4313</v>
      </c>
      <c r="U1" s="2" t="s">
        <v>4314</v>
      </c>
    </row>
    <row r="2" spans="1:24" x14ac:dyDescent="0.25">
      <c r="A2" s="1" t="s">
        <v>14</v>
      </c>
      <c r="B2" s="4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6" t="str">
        <f t="shared" ref="N2:N65" si="0">TEXT(B2,"MMM")</f>
        <v>Jan</v>
      </c>
      <c r="O2" s="1">
        <v>2853.1</v>
      </c>
      <c r="P2" s="1">
        <f>_xlfn.QUARTILE.EXC(Table1[TotalPrice],1)</f>
        <v>410.52</v>
      </c>
      <c r="Q2" s="1">
        <f>_xlfn.QUARTILE.EXC(Table1[TotalPrice],3)</f>
        <v>1579.7249999999999</v>
      </c>
      <c r="R2" s="1">
        <f>Table1[[#This Row],[Q3]]-Table1[[#This Row],[Q1]]</f>
        <v>1169.2049999999999</v>
      </c>
      <c r="S2" s="1">
        <f>Q2+1.5*R2</f>
        <v>3333.5324999999998</v>
      </c>
      <c r="T2" s="7">
        <f t="shared" ref="T2" si="1">P2-1.5*R2</f>
        <v>-1343.2874999999999</v>
      </c>
      <c r="U2" s="1" t="str">
        <f>IF(O2&gt;$S$2,"Outlier","Normal")</f>
        <v>Normal</v>
      </c>
    </row>
    <row r="3" spans="1:24" x14ac:dyDescent="0.25">
      <c r="A3" s="1" t="s">
        <v>15</v>
      </c>
      <c r="B3" s="4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6" t="str">
        <f t="shared" si="0"/>
        <v>Aug</v>
      </c>
      <c r="O3" s="1">
        <v>302.7</v>
      </c>
      <c r="T3" s="4"/>
      <c r="U3" s="1" t="str">
        <f t="shared" ref="U3:U66" si="2">IF(O3&gt;$S$2,"Outlier","Normal")</f>
        <v>Normal</v>
      </c>
    </row>
    <row r="4" spans="1:24" x14ac:dyDescent="0.25">
      <c r="A4" s="1" t="s">
        <v>16</v>
      </c>
      <c r="B4" s="4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6" t="str">
        <f t="shared" si="0"/>
        <v>Feb</v>
      </c>
      <c r="O4" s="1">
        <v>2753.4</v>
      </c>
      <c r="T4" s="4"/>
      <c r="U4" s="1" t="str">
        <f t="shared" si="2"/>
        <v>Normal</v>
      </c>
      <c r="X4" t="s">
        <v>4327</v>
      </c>
    </row>
    <row r="5" spans="1:24" x14ac:dyDescent="0.25">
      <c r="A5" s="1" t="s">
        <v>17</v>
      </c>
      <c r="B5" s="4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6" t="str">
        <f t="shared" si="0"/>
        <v>Oct</v>
      </c>
      <c r="O5" s="1">
        <v>273.19</v>
      </c>
      <c r="T5" s="4"/>
      <c r="U5" s="1" t="str">
        <f t="shared" si="2"/>
        <v>Normal</v>
      </c>
      <c r="W5" t="s">
        <v>4</v>
      </c>
      <c r="X5" s="1">
        <f>MEDIAN(Table1[Quantity])</f>
        <v>3</v>
      </c>
    </row>
    <row r="6" spans="1:24" x14ac:dyDescent="0.25">
      <c r="A6" s="1" t="s">
        <v>18</v>
      </c>
      <c r="B6" s="4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6" t="str">
        <f t="shared" si="0"/>
        <v>May</v>
      </c>
      <c r="O6" s="1">
        <v>2504.04</v>
      </c>
      <c r="T6" s="4"/>
      <c r="U6" s="1" t="str">
        <f t="shared" si="2"/>
        <v>Normal</v>
      </c>
      <c r="W6" t="s">
        <v>5</v>
      </c>
      <c r="X6" s="1">
        <f>MEDIAN(Table1[UnitPrice])</f>
        <v>364.21</v>
      </c>
    </row>
    <row r="7" spans="1:24" x14ac:dyDescent="0.25">
      <c r="A7" s="1" t="s">
        <v>19</v>
      </c>
      <c r="B7" s="4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6" t="str">
        <f t="shared" si="0"/>
        <v>Oct</v>
      </c>
      <c r="O7" s="1">
        <v>491.72</v>
      </c>
      <c r="T7" s="4"/>
      <c r="U7" s="1" t="str">
        <f t="shared" si="2"/>
        <v>Normal</v>
      </c>
      <c r="W7" t="s">
        <v>13</v>
      </c>
      <c r="X7" s="1">
        <f>MEDIAN(Table1[TotalPrice])</f>
        <v>823.61500000000001</v>
      </c>
    </row>
    <row r="8" spans="1:24" x14ac:dyDescent="0.25">
      <c r="A8" s="1" t="s">
        <v>20</v>
      </c>
      <c r="B8" s="4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6" t="str">
        <f t="shared" si="0"/>
        <v>Jun</v>
      </c>
      <c r="O8" s="1">
        <v>664.42</v>
      </c>
      <c r="T8" s="4"/>
      <c r="U8" s="1" t="str">
        <f t="shared" si="2"/>
        <v>Normal</v>
      </c>
    </row>
    <row r="9" spans="1:24" x14ac:dyDescent="0.25">
      <c r="A9" s="1" t="s">
        <v>21</v>
      </c>
      <c r="B9" s="4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6" t="str">
        <f t="shared" si="0"/>
        <v>May</v>
      </c>
      <c r="O9" s="1">
        <v>747.75</v>
      </c>
      <c r="T9" s="4"/>
      <c r="U9" s="1" t="str">
        <f t="shared" si="2"/>
        <v>Normal</v>
      </c>
    </row>
    <row r="10" spans="1:24" x14ac:dyDescent="0.25">
      <c r="A10" s="1" t="s">
        <v>22</v>
      </c>
      <c r="B10" s="4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6" t="str">
        <f t="shared" si="0"/>
        <v>Apr</v>
      </c>
      <c r="O10" s="1">
        <v>268.56</v>
      </c>
      <c r="T10" s="4"/>
      <c r="U10" s="1" t="str">
        <f t="shared" si="2"/>
        <v>Normal</v>
      </c>
    </row>
    <row r="11" spans="1:24" x14ac:dyDescent="0.25">
      <c r="A11" s="1" t="s">
        <v>23</v>
      </c>
      <c r="B11" s="4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6" t="str">
        <f t="shared" si="0"/>
        <v>Nov</v>
      </c>
      <c r="O11" s="1">
        <v>2037.52</v>
      </c>
      <c r="T11" s="4"/>
      <c r="U11" s="1" t="str">
        <f t="shared" si="2"/>
        <v>Normal</v>
      </c>
    </row>
    <row r="12" spans="1:24" x14ac:dyDescent="0.25">
      <c r="A12" s="1" t="s">
        <v>24</v>
      </c>
      <c r="B12" s="4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6" t="str">
        <f t="shared" si="0"/>
        <v>Dec</v>
      </c>
      <c r="O12" s="1">
        <v>3129.85</v>
      </c>
      <c r="T12" s="4"/>
      <c r="U12" s="1" t="str">
        <f t="shared" si="2"/>
        <v>Normal</v>
      </c>
    </row>
    <row r="13" spans="1:24" x14ac:dyDescent="0.25">
      <c r="A13" s="1" t="s">
        <v>25</v>
      </c>
      <c r="B13" s="4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6" t="str">
        <f t="shared" si="0"/>
        <v>Feb</v>
      </c>
      <c r="O13" s="1">
        <v>147.41999999999999</v>
      </c>
      <c r="T13" s="4"/>
      <c r="U13" s="1" t="str">
        <f t="shared" si="2"/>
        <v>Normal</v>
      </c>
    </row>
    <row r="14" spans="1:24" x14ac:dyDescent="0.25">
      <c r="A14" s="1" t="s">
        <v>26</v>
      </c>
      <c r="B14" s="4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6" t="str">
        <f t="shared" si="0"/>
        <v>Oct</v>
      </c>
      <c r="O14" s="1">
        <v>361</v>
      </c>
      <c r="T14" s="4"/>
      <c r="U14" s="1" t="str">
        <f t="shared" si="2"/>
        <v>Normal</v>
      </c>
    </row>
    <row r="15" spans="1:24" x14ac:dyDescent="0.25">
      <c r="A15" s="1" t="s">
        <v>27</v>
      </c>
      <c r="B15" s="4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6" t="str">
        <f t="shared" si="0"/>
        <v>Aug</v>
      </c>
      <c r="O15" s="1">
        <v>604.47</v>
      </c>
      <c r="T15" s="4"/>
      <c r="U15" s="1" t="str">
        <f t="shared" si="2"/>
        <v>Normal</v>
      </c>
    </row>
    <row r="16" spans="1:24" x14ac:dyDescent="0.25">
      <c r="A16" s="1" t="s">
        <v>28</v>
      </c>
      <c r="B16" s="4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6" t="str">
        <f t="shared" si="0"/>
        <v>Mar</v>
      </c>
      <c r="O16" s="1">
        <v>786.66</v>
      </c>
      <c r="T16" s="4"/>
      <c r="U16" s="1" t="str">
        <f t="shared" si="2"/>
        <v>Normal</v>
      </c>
    </row>
    <row r="17" spans="1:21" x14ac:dyDescent="0.25">
      <c r="A17" s="1" t="s">
        <v>29</v>
      </c>
      <c r="B17" s="4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6" t="str">
        <f t="shared" si="0"/>
        <v>Jul</v>
      </c>
      <c r="O17" s="1">
        <v>473.96</v>
      </c>
      <c r="T17" s="4"/>
      <c r="U17" s="1" t="str">
        <f t="shared" si="2"/>
        <v>Normal</v>
      </c>
    </row>
    <row r="18" spans="1:21" x14ac:dyDescent="0.25">
      <c r="A18" s="1" t="s">
        <v>30</v>
      </c>
      <c r="B18" s="4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6" t="str">
        <f t="shared" si="0"/>
        <v>Jan</v>
      </c>
      <c r="O18" s="1">
        <v>1067.6199999999999</v>
      </c>
      <c r="T18" s="4"/>
      <c r="U18" s="1" t="str">
        <f t="shared" si="2"/>
        <v>Normal</v>
      </c>
    </row>
    <row r="19" spans="1:21" x14ac:dyDescent="0.25">
      <c r="A19" s="1" t="s">
        <v>31</v>
      </c>
      <c r="B19" s="4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6" t="str">
        <f t="shared" si="0"/>
        <v>Mar</v>
      </c>
      <c r="O19" s="1">
        <v>423.4</v>
      </c>
      <c r="T19" s="4"/>
      <c r="U19" s="1" t="str">
        <f t="shared" si="2"/>
        <v>Normal</v>
      </c>
    </row>
    <row r="20" spans="1:21" x14ac:dyDescent="0.25">
      <c r="A20" s="1" t="s">
        <v>32</v>
      </c>
      <c r="B20" s="4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6" t="str">
        <f t="shared" si="0"/>
        <v>Mar</v>
      </c>
      <c r="O20" s="1">
        <v>431.44</v>
      </c>
      <c r="T20" s="4"/>
      <c r="U20" s="1" t="str">
        <f t="shared" si="2"/>
        <v>Normal</v>
      </c>
    </row>
    <row r="21" spans="1:21" x14ac:dyDescent="0.25">
      <c r="A21" s="1" t="s">
        <v>33</v>
      </c>
      <c r="B21" s="4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6" t="str">
        <f t="shared" si="0"/>
        <v>Jan</v>
      </c>
      <c r="O21" s="1">
        <v>1120</v>
      </c>
      <c r="T21" s="4"/>
      <c r="U21" s="1" t="str">
        <f t="shared" si="2"/>
        <v>Normal</v>
      </c>
    </row>
    <row r="22" spans="1:21" x14ac:dyDescent="0.25">
      <c r="A22" s="1" t="s">
        <v>34</v>
      </c>
      <c r="B22" s="4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6" t="str">
        <f t="shared" si="0"/>
        <v>May</v>
      </c>
      <c r="O22" s="1">
        <v>312.55</v>
      </c>
      <c r="T22" s="4"/>
      <c r="U22" s="1" t="str">
        <f t="shared" si="2"/>
        <v>Normal</v>
      </c>
    </row>
    <row r="23" spans="1:21" x14ac:dyDescent="0.25">
      <c r="A23" s="1" t="s">
        <v>35</v>
      </c>
      <c r="B23" s="4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6" t="str">
        <f t="shared" si="0"/>
        <v>Nov</v>
      </c>
      <c r="O23" s="1">
        <v>1371.8</v>
      </c>
      <c r="T23" s="4"/>
      <c r="U23" s="1" t="str">
        <f t="shared" si="2"/>
        <v>Normal</v>
      </c>
    </row>
    <row r="24" spans="1:21" x14ac:dyDescent="0.25">
      <c r="A24" s="1" t="s">
        <v>36</v>
      </c>
      <c r="B24" s="4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6" t="str">
        <f t="shared" si="0"/>
        <v>Jan</v>
      </c>
      <c r="O24" s="1">
        <v>99.24</v>
      </c>
      <c r="T24" s="4"/>
      <c r="U24" s="1" t="str">
        <f t="shared" si="2"/>
        <v>Normal</v>
      </c>
    </row>
    <row r="25" spans="1:21" x14ac:dyDescent="0.25">
      <c r="A25" s="1" t="s">
        <v>37</v>
      </c>
      <c r="B25" s="4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6" t="str">
        <f t="shared" si="0"/>
        <v>Apr</v>
      </c>
      <c r="O25" s="1">
        <v>1093</v>
      </c>
      <c r="T25" s="4"/>
      <c r="U25" s="1" t="str">
        <f t="shared" si="2"/>
        <v>Normal</v>
      </c>
    </row>
    <row r="26" spans="1:21" x14ac:dyDescent="0.25">
      <c r="A26" s="1" t="s">
        <v>38</v>
      </c>
      <c r="B26" s="4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6" t="str">
        <f t="shared" si="0"/>
        <v>Oct</v>
      </c>
      <c r="O26" s="1">
        <v>461.9</v>
      </c>
      <c r="T26" s="4"/>
      <c r="U26" s="1" t="str">
        <f t="shared" si="2"/>
        <v>Normal</v>
      </c>
    </row>
    <row r="27" spans="1:21" x14ac:dyDescent="0.25">
      <c r="A27" s="1" t="s">
        <v>39</v>
      </c>
      <c r="B27" s="4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6" t="str">
        <f t="shared" si="0"/>
        <v>Jul</v>
      </c>
      <c r="O27" s="1">
        <v>399.98</v>
      </c>
      <c r="T27" s="4"/>
      <c r="U27" s="1" t="str">
        <f t="shared" si="2"/>
        <v>Normal</v>
      </c>
    </row>
    <row r="28" spans="1:21" x14ac:dyDescent="0.25">
      <c r="A28" s="1" t="s">
        <v>40</v>
      </c>
      <c r="B28" s="4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6" t="str">
        <f t="shared" si="0"/>
        <v>Mar</v>
      </c>
      <c r="O28" s="1">
        <v>297.75</v>
      </c>
      <c r="T28" s="4"/>
      <c r="U28" s="1" t="str">
        <f t="shared" si="2"/>
        <v>Normal</v>
      </c>
    </row>
    <row r="29" spans="1:21" x14ac:dyDescent="0.25">
      <c r="A29" s="1" t="s">
        <v>41</v>
      </c>
      <c r="B29" s="4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6" t="str">
        <f t="shared" si="0"/>
        <v>Feb</v>
      </c>
      <c r="O29" s="1">
        <v>472.74</v>
      </c>
      <c r="T29" s="4"/>
      <c r="U29" s="1" t="str">
        <f t="shared" si="2"/>
        <v>Normal</v>
      </c>
    </row>
    <row r="30" spans="1:21" x14ac:dyDescent="0.25">
      <c r="A30" s="1" t="s">
        <v>42</v>
      </c>
      <c r="B30" s="4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6" t="str">
        <f t="shared" si="0"/>
        <v>Nov</v>
      </c>
      <c r="O30" s="1">
        <v>640.28</v>
      </c>
      <c r="T30" s="4"/>
      <c r="U30" s="1" t="str">
        <f t="shared" si="2"/>
        <v>Normal</v>
      </c>
    </row>
    <row r="31" spans="1:21" x14ac:dyDescent="0.25">
      <c r="A31" s="1" t="s">
        <v>43</v>
      </c>
      <c r="B31" s="4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6" t="str">
        <f t="shared" si="0"/>
        <v>Sep</v>
      </c>
      <c r="O31" s="1">
        <v>1270.5899999999999</v>
      </c>
      <c r="T31" s="4"/>
      <c r="U31" s="1" t="str">
        <f t="shared" si="2"/>
        <v>Normal</v>
      </c>
    </row>
    <row r="32" spans="1:21" x14ac:dyDescent="0.25">
      <c r="A32" s="1" t="s">
        <v>44</v>
      </c>
      <c r="B32" s="4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6" t="str">
        <f t="shared" si="0"/>
        <v>Mar</v>
      </c>
      <c r="O32" s="1">
        <v>853.4</v>
      </c>
      <c r="T32" s="4"/>
      <c r="U32" s="1" t="str">
        <f t="shared" si="2"/>
        <v>Normal</v>
      </c>
    </row>
    <row r="33" spans="1:21" x14ac:dyDescent="0.25">
      <c r="A33" s="1" t="s">
        <v>45</v>
      </c>
      <c r="B33" s="4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6" t="str">
        <f t="shared" si="0"/>
        <v>Jun</v>
      </c>
      <c r="O33" s="1">
        <v>1500.24</v>
      </c>
      <c r="T33" s="4"/>
      <c r="U33" s="1" t="str">
        <f t="shared" si="2"/>
        <v>Normal</v>
      </c>
    </row>
    <row r="34" spans="1:21" x14ac:dyDescent="0.25">
      <c r="A34" s="1" t="s">
        <v>46</v>
      </c>
      <c r="B34" s="4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6" t="str">
        <f t="shared" si="0"/>
        <v>May</v>
      </c>
      <c r="O34" s="1">
        <v>2683.6</v>
      </c>
      <c r="T34" s="4"/>
      <c r="U34" s="1" t="str">
        <f t="shared" si="2"/>
        <v>Normal</v>
      </c>
    </row>
    <row r="35" spans="1:21" x14ac:dyDescent="0.25">
      <c r="A35" s="1" t="s">
        <v>47</v>
      </c>
      <c r="B35" s="4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6" t="str">
        <f t="shared" si="0"/>
        <v>Jun</v>
      </c>
      <c r="O35" s="1">
        <v>162.77000000000001</v>
      </c>
      <c r="T35" s="4"/>
      <c r="U35" s="1" t="str">
        <f t="shared" si="2"/>
        <v>Normal</v>
      </c>
    </row>
    <row r="36" spans="1:21" x14ac:dyDescent="0.25">
      <c r="A36" s="1" t="s">
        <v>48</v>
      </c>
      <c r="B36" s="4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6" t="str">
        <f t="shared" si="0"/>
        <v>Jan</v>
      </c>
      <c r="O36" s="1">
        <v>2306.08</v>
      </c>
      <c r="T36" s="4"/>
      <c r="U36" s="1" t="str">
        <f t="shared" si="2"/>
        <v>Normal</v>
      </c>
    </row>
    <row r="37" spans="1:21" x14ac:dyDescent="0.25">
      <c r="A37" s="1" t="s">
        <v>49</v>
      </c>
      <c r="B37" s="4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6" t="str">
        <f t="shared" si="0"/>
        <v>Dec</v>
      </c>
      <c r="O37" s="1">
        <v>930.3</v>
      </c>
      <c r="T37" s="4"/>
      <c r="U37" s="1" t="str">
        <f t="shared" si="2"/>
        <v>Normal</v>
      </c>
    </row>
    <row r="38" spans="1:21" x14ac:dyDescent="0.25">
      <c r="A38" s="1" t="s">
        <v>50</v>
      </c>
      <c r="B38" s="4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6" t="str">
        <f t="shared" si="0"/>
        <v>May</v>
      </c>
      <c r="O38" s="1">
        <v>1068.8599999999999</v>
      </c>
      <c r="T38" s="4"/>
      <c r="U38" s="1" t="str">
        <f t="shared" si="2"/>
        <v>Normal</v>
      </c>
    </row>
    <row r="39" spans="1:21" x14ac:dyDescent="0.25">
      <c r="A39" s="1" t="s">
        <v>51</v>
      </c>
      <c r="B39" s="4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6" t="str">
        <f t="shared" si="0"/>
        <v>Oct</v>
      </c>
      <c r="O39" s="1">
        <v>153.47999999999999</v>
      </c>
      <c r="T39" s="4"/>
      <c r="U39" s="1" t="str">
        <f t="shared" si="2"/>
        <v>Normal</v>
      </c>
    </row>
    <row r="40" spans="1:21" x14ac:dyDescent="0.25">
      <c r="A40" s="1" t="s">
        <v>52</v>
      </c>
      <c r="B40" s="4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6" t="str">
        <f t="shared" si="0"/>
        <v>Dec</v>
      </c>
      <c r="O40" s="1">
        <v>245.89</v>
      </c>
      <c r="T40" s="4"/>
      <c r="U40" s="1" t="str">
        <f t="shared" si="2"/>
        <v>Normal</v>
      </c>
    </row>
    <row r="41" spans="1:21" x14ac:dyDescent="0.25">
      <c r="A41" s="1" t="s">
        <v>53</v>
      </c>
      <c r="B41" s="4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6" t="str">
        <f t="shared" si="0"/>
        <v>Feb</v>
      </c>
      <c r="O41" s="1">
        <v>769.37999999999988</v>
      </c>
      <c r="T41" s="4"/>
      <c r="U41" s="1" t="str">
        <f t="shared" si="2"/>
        <v>Normal</v>
      </c>
    </row>
    <row r="42" spans="1:21" x14ac:dyDescent="0.25">
      <c r="A42" s="1" t="s">
        <v>54</v>
      </c>
      <c r="B42" s="4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6" t="str">
        <f t="shared" si="0"/>
        <v>Aug</v>
      </c>
      <c r="O42" s="1">
        <v>688.04</v>
      </c>
      <c r="T42" s="4"/>
      <c r="U42" s="1" t="str">
        <f t="shared" si="2"/>
        <v>Normal</v>
      </c>
    </row>
    <row r="43" spans="1:21" x14ac:dyDescent="0.25">
      <c r="A43" s="1" t="s">
        <v>55</v>
      </c>
      <c r="B43" s="4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6" t="str">
        <f t="shared" si="0"/>
        <v>Dec</v>
      </c>
      <c r="O43" s="1">
        <v>1834.35</v>
      </c>
      <c r="T43" s="4"/>
      <c r="U43" s="1" t="str">
        <f t="shared" si="2"/>
        <v>Normal</v>
      </c>
    </row>
    <row r="44" spans="1:21" x14ac:dyDescent="0.25">
      <c r="A44" s="1" t="s">
        <v>56</v>
      </c>
      <c r="B44" s="4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6" t="str">
        <f t="shared" si="0"/>
        <v>May</v>
      </c>
      <c r="O44" s="1">
        <v>303.32</v>
      </c>
      <c r="T44" s="4"/>
      <c r="U44" s="1" t="str">
        <f t="shared" si="2"/>
        <v>Normal</v>
      </c>
    </row>
    <row r="45" spans="1:21" x14ac:dyDescent="0.25">
      <c r="A45" s="1" t="s">
        <v>57</v>
      </c>
      <c r="B45" s="4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6" t="str">
        <f t="shared" si="0"/>
        <v>Dec</v>
      </c>
      <c r="O45" s="1">
        <v>1497.63</v>
      </c>
      <c r="T45" s="4"/>
      <c r="U45" s="1" t="str">
        <f t="shared" si="2"/>
        <v>Normal</v>
      </c>
    </row>
    <row r="46" spans="1:21" x14ac:dyDescent="0.25">
      <c r="A46" s="1" t="s">
        <v>58</v>
      </c>
      <c r="B46" s="4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6" t="str">
        <f t="shared" si="0"/>
        <v>Apr</v>
      </c>
      <c r="O46" s="1">
        <v>1100.3599999999999</v>
      </c>
      <c r="T46" s="4"/>
      <c r="U46" s="1" t="str">
        <f t="shared" si="2"/>
        <v>Normal</v>
      </c>
    </row>
    <row r="47" spans="1:21" x14ac:dyDescent="0.25">
      <c r="A47" s="1" t="s">
        <v>59</v>
      </c>
      <c r="B47" s="4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6" t="str">
        <f t="shared" si="0"/>
        <v>Feb</v>
      </c>
      <c r="O47" s="1">
        <v>317.25</v>
      </c>
      <c r="T47" s="4"/>
      <c r="U47" s="1" t="str">
        <f t="shared" si="2"/>
        <v>Normal</v>
      </c>
    </row>
    <row r="48" spans="1:21" x14ac:dyDescent="0.25">
      <c r="A48" s="1" t="s">
        <v>60</v>
      </c>
      <c r="B48" s="4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6" t="str">
        <f t="shared" si="0"/>
        <v>Jun</v>
      </c>
      <c r="O48" s="1">
        <v>2200.56</v>
      </c>
      <c r="T48" s="4"/>
      <c r="U48" s="1" t="str">
        <f t="shared" si="2"/>
        <v>Normal</v>
      </c>
    </row>
    <row r="49" spans="1:21" x14ac:dyDescent="0.25">
      <c r="A49" s="1" t="s">
        <v>61</v>
      </c>
      <c r="B49" s="4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6" t="str">
        <f t="shared" si="0"/>
        <v>Jul</v>
      </c>
      <c r="O49" s="1">
        <v>419.88</v>
      </c>
      <c r="T49" s="4"/>
      <c r="U49" s="1" t="str">
        <f t="shared" si="2"/>
        <v>Normal</v>
      </c>
    </row>
    <row r="50" spans="1:21" x14ac:dyDescent="0.25">
      <c r="A50" s="1" t="s">
        <v>62</v>
      </c>
      <c r="B50" s="4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6" t="str">
        <f t="shared" si="0"/>
        <v>Aug</v>
      </c>
      <c r="O50" s="1">
        <v>161.54</v>
      </c>
      <c r="T50" s="4"/>
      <c r="U50" s="1" t="str">
        <f t="shared" si="2"/>
        <v>Normal</v>
      </c>
    </row>
    <row r="51" spans="1:21" x14ac:dyDescent="0.25">
      <c r="A51" s="1" t="s">
        <v>63</v>
      </c>
      <c r="B51" s="4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6" t="str">
        <f t="shared" si="0"/>
        <v>Oct</v>
      </c>
      <c r="O51" s="1">
        <v>30.44</v>
      </c>
      <c r="T51" s="4"/>
      <c r="U51" s="1" t="str">
        <f t="shared" si="2"/>
        <v>Normal</v>
      </c>
    </row>
    <row r="52" spans="1:21" x14ac:dyDescent="0.25">
      <c r="A52" s="1" t="s">
        <v>64</v>
      </c>
      <c r="B52" s="4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6" t="str">
        <f t="shared" si="0"/>
        <v>Jul</v>
      </c>
      <c r="O52" s="1">
        <v>179.22</v>
      </c>
      <c r="T52" s="4"/>
      <c r="U52" s="1" t="str">
        <f t="shared" si="2"/>
        <v>Normal</v>
      </c>
    </row>
    <row r="53" spans="1:21" x14ac:dyDescent="0.25">
      <c r="A53" s="1" t="s">
        <v>65</v>
      </c>
      <c r="B53" s="4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6" t="str">
        <f t="shared" si="0"/>
        <v>Dec</v>
      </c>
      <c r="O53" s="1">
        <v>388.33</v>
      </c>
      <c r="T53" s="4"/>
      <c r="U53" s="1" t="str">
        <f t="shared" si="2"/>
        <v>Normal</v>
      </c>
    </row>
    <row r="54" spans="1:21" x14ac:dyDescent="0.25">
      <c r="A54" s="1" t="s">
        <v>66</v>
      </c>
      <c r="B54" s="4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6" t="str">
        <f t="shared" si="0"/>
        <v>Sep</v>
      </c>
      <c r="O54" s="1">
        <v>586.44000000000005</v>
      </c>
      <c r="T54" s="4"/>
      <c r="U54" s="1" t="str">
        <f t="shared" si="2"/>
        <v>Normal</v>
      </c>
    </row>
    <row r="55" spans="1:21" x14ac:dyDescent="0.25">
      <c r="A55" s="1" t="s">
        <v>67</v>
      </c>
      <c r="B55" s="4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6" t="str">
        <f t="shared" si="0"/>
        <v>May</v>
      </c>
      <c r="O55" s="1">
        <v>1955.12</v>
      </c>
      <c r="T55" s="4"/>
      <c r="U55" s="1" t="str">
        <f t="shared" si="2"/>
        <v>Normal</v>
      </c>
    </row>
    <row r="56" spans="1:21" x14ac:dyDescent="0.25">
      <c r="A56" s="1" t="s">
        <v>68</v>
      </c>
      <c r="B56" s="4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6" t="str">
        <f t="shared" si="0"/>
        <v>Mar</v>
      </c>
      <c r="O56" s="1">
        <v>280.25</v>
      </c>
      <c r="T56" s="4"/>
      <c r="U56" s="1" t="str">
        <f t="shared" si="2"/>
        <v>Normal</v>
      </c>
    </row>
    <row r="57" spans="1:21" x14ac:dyDescent="0.25">
      <c r="A57" s="1" t="s">
        <v>69</v>
      </c>
      <c r="B57" s="4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6" t="str">
        <f t="shared" si="0"/>
        <v>Jun</v>
      </c>
      <c r="O57" s="1">
        <v>1033.2</v>
      </c>
      <c r="T57" s="4"/>
      <c r="U57" s="1" t="str">
        <f t="shared" si="2"/>
        <v>Normal</v>
      </c>
    </row>
    <row r="58" spans="1:21" x14ac:dyDescent="0.25">
      <c r="A58" s="1" t="s">
        <v>70</v>
      </c>
      <c r="B58" s="4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6" t="str">
        <f t="shared" si="0"/>
        <v>May</v>
      </c>
      <c r="O58" s="1">
        <v>1437.63</v>
      </c>
      <c r="T58" s="4"/>
      <c r="U58" s="1" t="str">
        <f t="shared" si="2"/>
        <v>Normal</v>
      </c>
    </row>
    <row r="59" spans="1:21" x14ac:dyDescent="0.25">
      <c r="A59" s="1" t="s">
        <v>71</v>
      </c>
      <c r="B59" s="4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6" t="str">
        <f t="shared" si="0"/>
        <v>Jan</v>
      </c>
      <c r="O59" s="1">
        <v>1571.35</v>
      </c>
      <c r="T59" s="4"/>
      <c r="U59" s="1" t="str">
        <f t="shared" si="2"/>
        <v>Normal</v>
      </c>
    </row>
    <row r="60" spans="1:21" x14ac:dyDescent="0.25">
      <c r="A60" s="1" t="s">
        <v>72</v>
      </c>
      <c r="B60" s="4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6" t="str">
        <f t="shared" si="0"/>
        <v>Jan</v>
      </c>
      <c r="O60" s="1">
        <v>1898.76</v>
      </c>
      <c r="T60" s="4"/>
      <c r="U60" s="1" t="str">
        <f t="shared" si="2"/>
        <v>Normal</v>
      </c>
    </row>
    <row r="61" spans="1:21" x14ac:dyDescent="0.25">
      <c r="A61" s="1" t="s">
        <v>73</v>
      </c>
      <c r="B61" s="4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6" t="str">
        <f t="shared" si="0"/>
        <v>Sep</v>
      </c>
      <c r="O61" s="1">
        <v>2373.08</v>
      </c>
      <c r="T61" s="4"/>
      <c r="U61" s="1" t="str">
        <f t="shared" si="2"/>
        <v>Normal</v>
      </c>
    </row>
    <row r="62" spans="1:21" x14ac:dyDescent="0.25">
      <c r="A62" s="1" t="s">
        <v>74</v>
      </c>
      <c r="B62" s="4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6" t="str">
        <f t="shared" si="0"/>
        <v>Aug</v>
      </c>
      <c r="O62" s="1">
        <v>417.1</v>
      </c>
      <c r="T62" s="4"/>
      <c r="U62" s="1" t="str">
        <f t="shared" si="2"/>
        <v>Normal</v>
      </c>
    </row>
    <row r="63" spans="1:21" x14ac:dyDescent="0.25">
      <c r="A63" s="1" t="s">
        <v>75</v>
      </c>
      <c r="B63" s="4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6" t="str">
        <f t="shared" si="0"/>
        <v>Mar</v>
      </c>
      <c r="O63" s="1">
        <v>488.8</v>
      </c>
      <c r="T63" s="4"/>
      <c r="U63" s="1" t="str">
        <f t="shared" si="2"/>
        <v>Normal</v>
      </c>
    </row>
    <row r="64" spans="1:21" x14ac:dyDescent="0.25">
      <c r="A64" s="1" t="s">
        <v>76</v>
      </c>
      <c r="B64" s="4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6" t="str">
        <f t="shared" si="0"/>
        <v>Aug</v>
      </c>
      <c r="O64" s="1">
        <v>86.3</v>
      </c>
      <c r="T64" s="4"/>
      <c r="U64" s="1" t="str">
        <f t="shared" si="2"/>
        <v>Normal</v>
      </c>
    </row>
    <row r="65" spans="1:24" x14ac:dyDescent="0.25">
      <c r="A65" s="1" t="s">
        <v>77</v>
      </c>
      <c r="B65" s="4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6" t="str">
        <f t="shared" si="0"/>
        <v>Feb</v>
      </c>
      <c r="O65" s="1">
        <v>564.86</v>
      </c>
      <c r="T65" s="4"/>
      <c r="U65" s="1" t="str">
        <f t="shared" si="2"/>
        <v>Normal</v>
      </c>
    </row>
    <row r="66" spans="1:24" x14ac:dyDescent="0.25">
      <c r="A66" s="1" t="s">
        <v>78</v>
      </c>
      <c r="B66" s="4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6" t="str">
        <f t="shared" ref="N66:N129" si="3">TEXT(B66,"MMM")</f>
        <v>Jun</v>
      </c>
      <c r="O66" s="1">
        <v>391.83</v>
      </c>
      <c r="T66" s="4"/>
      <c r="U66" s="1" t="str">
        <f t="shared" si="2"/>
        <v>Normal</v>
      </c>
    </row>
    <row r="67" spans="1:24" x14ac:dyDescent="0.25">
      <c r="A67" s="1" t="s">
        <v>79</v>
      </c>
      <c r="B67" s="4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6" t="str">
        <f t="shared" si="3"/>
        <v>Dec</v>
      </c>
      <c r="O67" s="1">
        <v>408.5</v>
      </c>
      <c r="T67" s="4"/>
      <c r="U67" s="1" t="str">
        <f t="shared" ref="U67:U130" si="4">IF(O67&gt;$S$2,"Outlier","Normal")</f>
        <v>Normal</v>
      </c>
    </row>
    <row r="68" spans="1:24" x14ac:dyDescent="0.25">
      <c r="A68" s="1" t="s">
        <v>80</v>
      </c>
      <c r="B68" s="4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6" t="str">
        <f t="shared" si="3"/>
        <v>Nov</v>
      </c>
      <c r="O68" s="1">
        <v>635.90000000000009</v>
      </c>
      <c r="T68" s="4"/>
      <c r="U68" s="1" t="str">
        <f t="shared" si="4"/>
        <v>Normal</v>
      </c>
    </row>
    <row r="69" spans="1:24" x14ac:dyDescent="0.25">
      <c r="A69" s="1" t="s">
        <v>81</v>
      </c>
      <c r="B69" s="4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6" t="str">
        <f t="shared" si="3"/>
        <v>Dec</v>
      </c>
      <c r="O69" s="1">
        <v>48.4</v>
      </c>
      <c r="T69" s="4"/>
      <c r="U69" s="1" t="str">
        <f t="shared" si="4"/>
        <v>Normal</v>
      </c>
    </row>
    <row r="70" spans="1:24" x14ac:dyDescent="0.25">
      <c r="A70" s="1" t="s">
        <v>82</v>
      </c>
      <c r="B70" s="4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6" t="str">
        <f t="shared" si="3"/>
        <v>Dec</v>
      </c>
      <c r="O70" s="1">
        <v>1472.76</v>
      </c>
      <c r="T70" s="4"/>
      <c r="U70" s="1" t="str">
        <f t="shared" si="4"/>
        <v>Normal</v>
      </c>
    </row>
    <row r="71" spans="1:24" x14ac:dyDescent="0.25">
      <c r="A71" s="1" t="s">
        <v>83</v>
      </c>
      <c r="B71" s="4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6" t="str">
        <f t="shared" si="3"/>
        <v>May</v>
      </c>
      <c r="O71" s="1">
        <v>1435.95</v>
      </c>
      <c r="T71" s="4"/>
      <c r="U71" s="1" t="str">
        <f t="shared" si="4"/>
        <v>Normal</v>
      </c>
    </row>
    <row r="72" spans="1:24" x14ac:dyDescent="0.25">
      <c r="A72" s="1" t="s">
        <v>84</v>
      </c>
      <c r="B72" s="4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6" t="str">
        <f t="shared" si="3"/>
        <v>May</v>
      </c>
      <c r="O72" s="1">
        <v>629.21</v>
      </c>
      <c r="T72" s="4"/>
      <c r="U72" s="1" t="str">
        <f t="shared" si="4"/>
        <v>Normal</v>
      </c>
    </row>
    <row r="73" spans="1:24" x14ac:dyDescent="0.25">
      <c r="A73" s="1" t="s">
        <v>85</v>
      </c>
      <c r="B73" s="4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6" t="str">
        <f t="shared" si="3"/>
        <v>Jun</v>
      </c>
      <c r="O73" s="1">
        <v>1303.3499999999999</v>
      </c>
      <c r="T73" s="4"/>
      <c r="U73" s="1" t="str">
        <f t="shared" si="4"/>
        <v>Normal</v>
      </c>
    </row>
    <row r="74" spans="1:24" x14ac:dyDescent="0.25">
      <c r="A74" s="1" t="s">
        <v>86</v>
      </c>
      <c r="B74" s="4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6" t="str">
        <f t="shared" si="3"/>
        <v>Dec</v>
      </c>
      <c r="O74" s="1">
        <v>2357.7600000000002</v>
      </c>
      <c r="T74" s="4"/>
      <c r="U74" s="1" t="str">
        <f t="shared" si="4"/>
        <v>Normal</v>
      </c>
    </row>
    <row r="75" spans="1:24" x14ac:dyDescent="0.25">
      <c r="A75" s="1" t="s">
        <v>87</v>
      </c>
      <c r="B75" s="4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6" t="str">
        <f t="shared" si="3"/>
        <v>May</v>
      </c>
      <c r="O75" s="1">
        <v>1733.8</v>
      </c>
      <c r="T75" s="4"/>
      <c r="U75" s="1" t="str">
        <f t="shared" si="4"/>
        <v>Normal</v>
      </c>
    </row>
    <row r="76" spans="1:24" x14ac:dyDescent="0.25">
      <c r="A76" s="1" t="s">
        <v>88</v>
      </c>
      <c r="B76" s="4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6" t="str">
        <f t="shared" si="3"/>
        <v>Jun</v>
      </c>
      <c r="O76" s="1">
        <v>454.35</v>
      </c>
      <c r="T76" s="4"/>
      <c r="U76" s="1" t="str">
        <f t="shared" si="4"/>
        <v>Normal</v>
      </c>
    </row>
    <row r="77" spans="1:24" x14ac:dyDescent="0.25">
      <c r="A77" s="1" t="s">
        <v>89</v>
      </c>
      <c r="B77" s="4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6" t="str">
        <f t="shared" si="3"/>
        <v>Sep</v>
      </c>
      <c r="O77" s="1">
        <v>1194.51</v>
      </c>
      <c r="T77" s="4"/>
      <c r="U77" s="1" t="str">
        <f t="shared" si="4"/>
        <v>Normal</v>
      </c>
    </row>
    <row r="78" spans="1:24" x14ac:dyDescent="0.25">
      <c r="A78" s="1" t="s">
        <v>90</v>
      </c>
      <c r="B78" s="4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6" t="str">
        <f t="shared" si="3"/>
        <v>Mar</v>
      </c>
      <c r="O78" s="1">
        <v>1531.52</v>
      </c>
      <c r="T78" s="4"/>
      <c r="U78" s="1" t="str">
        <f t="shared" si="4"/>
        <v>Normal</v>
      </c>
    </row>
    <row r="79" spans="1:24" x14ac:dyDescent="0.25">
      <c r="A79" s="1" t="s">
        <v>91</v>
      </c>
      <c r="B79" s="4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6" t="str">
        <f t="shared" si="3"/>
        <v>May</v>
      </c>
      <c r="O79" s="1">
        <v>583.17999999999995</v>
      </c>
      <c r="T79" s="4"/>
      <c r="U79" s="1" t="str">
        <f t="shared" si="4"/>
        <v>Normal</v>
      </c>
    </row>
    <row r="80" spans="1:24" x14ac:dyDescent="0.25">
      <c r="A80" s="1" t="s">
        <v>92</v>
      </c>
      <c r="B80" s="4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6" t="str">
        <f t="shared" si="3"/>
        <v>Aug</v>
      </c>
      <c r="O80" s="1">
        <v>701.44</v>
      </c>
      <c r="T80" s="4"/>
      <c r="U80" s="1" t="str">
        <f t="shared" si="4"/>
        <v>Normal</v>
      </c>
      <c r="X80" s="1">
        <f>COUNTIF(Table1[OrderStatus],"Delivered")</f>
        <v>231</v>
      </c>
    </row>
    <row r="81" spans="1:21" x14ac:dyDescent="0.25">
      <c r="A81" s="1" t="s">
        <v>93</v>
      </c>
      <c r="B81" s="4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6" t="str">
        <f t="shared" si="3"/>
        <v>Mar</v>
      </c>
      <c r="O81" s="1">
        <v>623.82000000000005</v>
      </c>
      <c r="T81" s="4"/>
      <c r="U81" s="1" t="str">
        <f t="shared" si="4"/>
        <v>Normal</v>
      </c>
    </row>
    <row r="82" spans="1:21" x14ac:dyDescent="0.25">
      <c r="A82" s="1" t="s">
        <v>94</v>
      </c>
      <c r="B82" s="4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6" t="str">
        <f t="shared" si="3"/>
        <v>Jun</v>
      </c>
      <c r="O82" s="1">
        <v>1768.68</v>
      </c>
      <c r="T82" s="4"/>
      <c r="U82" s="1" t="str">
        <f t="shared" si="4"/>
        <v>Normal</v>
      </c>
    </row>
    <row r="83" spans="1:21" x14ac:dyDescent="0.25">
      <c r="A83" s="1" t="s">
        <v>95</v>
      </c>
      <c r="B83" s="4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6" t="str">
        <f t="shared" si="3"/>
        <v>Jun</v>
      </c>
      <c r="O83" s="1">
        <v>788.6</v>
      </c>
      <c r="T83" s="4"/>
      <c r="U83" s="1" t="str">
        <f t="shared" si="4"/>
        <v>Normal</v>
      </c>
    </row>
    <row r="84" spans="1:21" x14ac:dyDescent="0.25">
      <c r="A84" s="1" t="s">
        <v>96</v>
      </c>
      <c r="B84" s="4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6" t="str">
        <f t="shared" si="3"/>
        <v>Jan</v>
      </c>
      <c r="O84" s="1">
        <v>2260.8000000000002</v>
      </c>
      <c r="T84" s="4"/>
      <c r="U84" s="1" t="str">
        <f t="shared" si="4"/>
        <v>Normal</v>
      </c>
    </row>
    <row r="85" spans="1:21" x14ac:dyDescent="0.25">
      <c r="A85" s="1" t="s">
        <v>97</v>
      </c>
      <c r="B85" s="4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6" t="str">
        <f t="shared" si="3"/>
        <v>Aug</v>
      </c>
      <c r="O85" s="1">
        <v>2161.64</v>
      </c>
      <c r="T85" s="4"/>
      <c r="U85" s="1" t="str">
        <f t="shared" si="4"/>
        <v>Normal</v>
      </c>
    </row>
    <row r="86" spans="1:21" x14ac:dyDescent="0.25">
      <c r="A86" s="1" t="s">
        <v>98</v>
      </c>
      <c r="B86" s="4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6" t="str">
        <f t="shared" si="3"/>
        <v>Aug</v>
      </c>
      <c r="O86" s="1">
        <v>330.98</v>
      </c>
      <c r="T86" s="4"/>
      <c r="U86" s="1" t="str">
        <f t="shared" si="4"/>
        <v>Normal</v>
      </c>
    </row>
    <row r="87" spans="1:21" x14ac:dyDescent="0.25">
      <c r="A87" s="1" t="s">
        <v>99</v>
      </c>
      <c r="B87" s="4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6" t="str">
        <f t="shared" si="3"/>
        <v>Sep</v>
      </c>
      <c r="O87" s="1">
        <v>440.18999999999988</v>
      </c>
      <c r="T87" s="4"/>
      <c r="U87" s="1" t="str">
        <f t="shared" si="4"/>
        <v>Normal</v>
      </c>
    </row>
    <row r="88" spans="1:21" x14ac:dyDescent="0.25">
      <c r="A88" s="1" t="s">
        <v>100</v>
      </c>
      <c r="B88" s="4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6" t="str">
        <f t="shared" si="3"/>
        <v>Jun</v>
      </c>
      <c r="O88" s="1">
        <v>3215.15</v>
      </c>
      <c r="T88" s="4"/>
      <c r="U88" s="1" t="str">
        <f t="shared" si="4"/>
        <v>Normal</v>
      </c>
    </row>
    <row r="89" spans="1:21" x14ac:dyDescent="0.25">
      <c r="A89" s="1" t="s">
        <v>101</v>
      </c>
      <c r="B89" s="4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6" t="str">
        <f t="shared" si="3"/>
        <v>Oct</v>
      </c>
      <c r="O89" s="1">
        <v>675.33</v>
      </c>
      <c r="T89" s="4"/>
      <c r="U89" s="1" t="str">
        <f t="shared" si="4"/>
        <v>Normal</v>
      </c>
    </row>
    <row r="90" spans="1:21" x14ac:dyDescent="0.25">
      <c r="A90" s="1" t="s">
        <v>102</v>
      </c>
      <c r="B90" s="4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6" t="str">
        <f t="shared" si="3"/>
        <v>Jun</v>
      </c>
      <c r="O90" s="1">
        <v>344.43</v>
      </c>
      <c r="T90" s="4"/>
      <c r="U90" s="1" t="str">
        <f t="shared" si="4"/>
        <v>Normal</v>
      </c>
    </row>
    <row r="91" spans="1:21" x14ac:dyDescent="0.25">
      <c r="A91" s="1" t="s">
        <v>103</v>
      </c>
      <c r="B91" s="4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6" t="str">
        <f t="shared" si="3"/>
        <v>Feb</v>
      </c>
      <c r="O91" s="1">
        <v>2276.65</v>
      </c>
      <c r="T91" s="4"/>
      <c r="U91" s="1" t="str">
        <f t="shared" si="4"/>
        <v>Normal</v>
      </c>
    </row>
    <row r="92" spans="1:21" x14ac:dyDescent="0.25">
      <c r="A92" s="1" t="s">
        <v>104</v>
      </c>
      <c r="B92" s="4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6" t="str">
        <f t="shared" si="3"/>
        <v>Sep</v>
      </c>
      <c r="O92" s="1">
        <v>728.32</v>
      </c>
      <c r="T92" s="4"/>
      <c r="U92" s="1" t="str">
        <f t="shared" si="4"/>
        <v>Normal</v>
      </c>
    </row>
    <row r="93" spans="1:21" x14ac:dyDescent="0.25">
      <c r="A93" s="1" t="s">
        <v>105</v>
      </c>
      <c r="B93" s="4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6" t="str">
        <f t="shared" si="3"/>
        <v>Mar</v>
      </c>
      <c r="O93" s="1">
        <v>2463.75</v>
      </c>
      <c r="T93" s="4"/>
      <c r="U93" s="1" t="str">
        <f t="shared" si="4"/>
        <v>Normal</v>
      </c>
    </row>
    <row r="94" spans="1:21" x14ac:dyDescent="0.25">
      <c r="A94" s="1" t="s">
        <v>106</v>
      </c>
      <c r="B94" s="4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6" t="str">
        <f t="shared" si="3"/>
        <v>Jun</v>
      </c>
      <c r="O94" s="1">
        <v>194.44</v>
      </c>
      <c r="T94" s="4"/>
      <c r="U94" s="1" t="str">
        <f t="shared" si="4"/>
        <v>Normal</v>
      </c>
    </row>
    <row r="95" spans="1:21" x14ac:dyDescent="0.25">
      <c r="A95" s="1" t="s">
        <v>107</v>
      </c>
      <c r="B95" s="4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6" t="str">
        <f t="shared" si="3"/>
        <v>Jan</v>
      </c>
      <c r="O95" s="1">
        <v>1724.04</v>
      </c>
      <c r="T95" s="4"/>
      <c r="U95" s="1" t="str">
        <f t="shared" si="4"/>
        <v>Normal</v>
      </c>
    </row>
    <row r="96" spans="1:21" x14ac:dyDescent="0.25">
      <c r="A96" s="1" t="s">
        <v>108</v>
      </c>
      <c r="B96" s="4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6" t="str">
        <f t="shared" si="3"/>
        <v>Feb</v>
      </c>
      <c r="O96" s="1">
        <v>531.17999999999995</v>
      </c>
      <c r="T96" s="4"/>
      <c r="U96" s="1" t="str">
        <f t="shared" si="4"/>
        <v>Normal</v>
      </c>
    </row>
    <row r="97" spans="1:21" x14ac:dyDescent="0.25">
      <c r="A97" s="1" t="s">
        <v>109</v>
      </c>
      <c r="B97" s="4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6" t="str">
        <f t="shared" si="3"/>
        <v>Mar</v>
      </c>
      <c r="O97" s="1">
        <v>470.04</v>
      </c>
      <c r="T97" s="4"/>
      <c r="U97" s="1" t="str">
        <f t="shared" si="4"/>
        <v>Normal</v>
      </c>
    </row>
    <row r="98" spans="1:21" x14ac:dyDescent="0.25">
      <c r="A98" s="1" t="s">
        <v>110</v>
      </c>
      <c r="B98" s="4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6" t="str">
        <f t="shared" si="3"/>
        <v>Jun</v>
      </c>
      <c r="O98" s="1">
        <v>465.66</v>
      </c>
      <c r="T98" s="4"/>
      <c r="U98" s="1" t="str">
        <f t="shared" si="4"/>
        <v>Normal</v>
      </c>
    </row>
    <row r="99" spans="1:21" x14ac:dyDescent="0.25">
      <c r="A99" s="1" t="s">
        <v>111</v>
      </c>
      <c r="B99" s="4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6" t="str">
        <f t="shared" si="3"/>
        <v>Jan</v>
      </c>
      <c r="O99" s="1">
        <v>3097.6</v>
      </c>
      <c r="T99" s="4"/>
      <c r="U99" s="1" t="str">
        <f t="shared" si="4"/>
        <v>Normal</v>
      </c>
    </row>
    <row r="100" spans="1:21" x14ac:dyDescent="0.25">
      <c r="A100" s="1" t="s">
        <v>112</v>
      </c>
      <c r="B100" s="4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6" t="str">
        <f t="shared" si="3"/>
        <v>Jan</v>
      </c>
      <c r="O100" s="1">
        <v>457.08</v>
      </c>
      <c r="T100" s="4"/>
      <c r="U100" s="1" t="str">
        <f t="shared" si="4"/>
        <v>Normal</v>
      </c>
    </row>
    <row r="101" spans="1:21" x14ac:dyDescent="0.25">
      <c r="A101" s="1" t="s">
        <v>113</v>
      </c>
      <c r="B101" s="4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6" t="str">
        <f t="shared" si="3"/>
        <v>Apr</v>
      </c>
      <c r="O101" s="1">
        <v>201.58</v>
      </c>
      <c r="T101" s="4"/>
      <c r="U101" s="1" t="str">
        <f t="shared" si="4"/>
        <v>Normal</v>
      </c>
    </row>
    <row r="102" spans="1:21" x14ac:dyDescent="0.25">
      <c r="A102" s="1" t="s">
        <v>114</v>
      </c>
      <c r="B102" s="4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6" t="str">
        <f t="shared" si="3"/>
        <v>Feb</v>
      </c>
      <c r="O102" s="1">
        <v>1994.37</v>
      </c>
      <c r="T102" s="4"/>
      <c r="U102" s="1" t="str">
        <f t="shared" si="4"/>
        <v>Normal</v>
      </c>
    </row>
    <row r="103" spans="1:21" x14ac:dyDescent="0.25">
      <c r="A103" s="1" t="s">
        <v>115</v>
      </c>
      <c r="B103" s="4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6" t="str">
        <f t="shared" si="3"/>
        <v>Nov</v>
      </c>
      <c r="O103" s="1">
        <v>381.02</v>
      </c>
      <c r="T103" s="4"/>
      <c r="U103" s="1" t="str">
        <f t="shared" si="4"/>
        <v>Normal</v>
      </c>
    </row>
    <row r="104" spans="1:21" x14ac:dyDescent="0.25">
      <c r="A104" s="1" t="s">
        <v>116</v>
      </c>
      <c r="B104" s="4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6" t="str">
        <f t="shared" si="3"/>
        <v>Mar</v>
      </c>
      <c r="O104" s="1">
        <v>140.68</v>
      </c>
      <c r="T104" s="4"/>
      <c r="U104" s="1" t="str">
        <f t="shared" si="4"/>
        <v>Normal</v>
      </c>
    </row>
    <row r="105" spans="1:21" x14ac:dyDescent="0.25">
      <c r="A105" s="1" t="s">
        <v>117</v>
      </c>
      <c r="B105" s="4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6" t="str">
        <f t="shared" si="3"/>
        <v>Jan</v>
      </c>
      <c r="O105" s="1">
        <v>873.72</v>
      </c>
      <c r="T105" s="4"/>
      <c r="U105" s="1" t="str">
        <f t="shared" si="4"/>
        <v>Normal</v>
      </c>
    </row>
    <row r="106" spans="1:21" x14ac:dyDescent="0.25">
      <c r="A106" s="1" t="s">
        <v>118</v>
      </c>
      <c r="B106" s="4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6" t="str">
        <f t="shared" si="3"/>
        <v>Jul</v>
      </c>
      <c r="O106" s="1">
        <v>582.04</v>
      </c>
      <c r="T106" s="4"/>
      <c r="U106" s="1" t="str">
        <f t="shared" si="4"/>
        <v>Normal</v>
      </c>
    </row>
    <row r="107" spans="1:21" x14ac:dyDescent="0.25">
      <c r="A107" s="1" t="s">
        <v>119</v>
      </c>
      <c r="B107" s="4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6" t="str">
        <f t="shared" si="3"/>
        <v>Oct</v>
      </c>
      <c r="O107" s="1">
        <v>556.20000000000005</v>
      </c>
      <c r="T107" s="4"/>
      <c r="U107" s="1" t="str">
        <f t="shared" si="4"/>
        <v>Normal</v>
      </c>
    </row>
    <row r="108" spans="1:21" x14ac:dyDescent="0.25">
      <c r="A108" s="1" t="s">
        <v>120</v>
      </c>
      <c r="B108" s="4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6" t="str">
        <f t="shared" si="3"/>
        <v>Sep</v>
      </c>
      <c r="O108" s="1">
        <v>1395.15</v>
      </c>
      <c r="T108" s="4"/>
      <c r="U108" s="1" t="str">
        <f t="shared" si="4"/>
        <v>Normal</v>
      </c>
    </row>
    <row r="109" spans="1:21" x14ac:dyDescent="0.25">
      <c r="A109" s="1" t="s">
        <v>121</v>
      </c>
      <c r="B109" s="4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6" t="str">
        <f t="shared" si="3"/>
        <v>Mar</v>
      </c>
      <c r="O109" s="1">
        <v>3353.75</v>
      </c>
      <c r="T109" s="4"/>
      <c r="U109" s="1" t="str">
        <f t="shared" si="4"/>
        <v>Outlier</v>
      </c>
    </row>
    <row r="110" spans="1:21" x14ac:dyDescent="0.25">
      <c r="A110" s="1" t="s">
        <v>122</v>
      </c>
      <c r="B110" s="4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6" t="str">
        <f t="shared" si="3"/>
        <v>Dec</v>
      </c>
      <c r="O110" s="1">
        <v>241.9</v>
      </c>
      <c r="T110" s="4"/>
      <c r="U110" s="1" t="str">
        <f t="shared" si="4"/>
        <v>Normal</v>
      </c>
    </row>
    <row r="111" spans="1:21" x14ac:dyDescent="0.25">
      <c r="A111" s="1" t="s">
        <v>123</v>
      </c>
      <c r="B111" s="4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6" t="str">
        <f t="shared" si="3"/>
        <v>Sep</v>
      </c>
      <c r="O111" s="1">
        <v>1778.61</v>
      </c>
      <c r="T111" s="4"/>
      <c r="U111" s="1" t="str">
        <f t="shared" si="4"/>
        <v>Normal</v>
      </c>
    </row>
    <row r="112" spans="1:21" x14ac:dyDescent="0.25">
      <c r="A112" s="1" t="s">
        <v>124</v>
      </c>
      <c r="B112" s="4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6" t="str">
        <f t="shared" si="3"/>
        <v>Apr</v>
      </c>
      <c r="O112" s="1">
        <v>220.77</v>
      </c>
      <c r="T112" s="4"/>
      <c r="U112" s="1" t="str">
        <f t="shared" si="4"/>
        <v>Normal</v>
      </c>
    </row>
    <row r="113" spans="1:21" x14ac:dyDescent="0.25">
      <c r="A113" s="1" t="s">
        <v>125</v>
      </c>
      <c r="B113" s="4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6" t="str">
        <f t="shared" si="3"/>
        <v>May</v>
      </c>
      <c r="O113" s="1">
        <v>927.66000000000008</v>
      </c>
      <c r="T113" s="4"/>
      <c r="U113" s="1" t="str">
        <f t="shared" si="4"/>
        <v>Normal</v>
      </c>
    </row>
    <row r="114" spans="1:21" x14ac:dyDescent="0.25">
      <c r="A114" s="1" t="s">
        <v>126</v>
      </c>
      <c r="B114" s="4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6" t="str">
        <f t="shared" si="3"/>
        <v>Jan</v>
      </c>
      <c r="O114" s="1">
        <v>410.6</v>
      </c>
      <c r="T114" s="4"/>
      <c r="U114" s="1" t="str">
        <f t="shared" si="4"/>
        <v>Normal</v>
      </c>
    </row>
    <row r="115" spans="1:21" x14ac:dyDescent="0.25">
      <c r="A115" s="1" t="s">
        <v>127</v>
      </c>
      <c r="B115" s="4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6" t="str">
        <f t="shared" si="3"/>
        <v>Jan</v>
      </c>
      <c r="O115" s="1">
        <v>950.40000000000009</v>
      </c>
      <c r="T115" s="4"/>
      <c r="U115" s="1" t="str">
        <f t="shared" si="4"/>
        <v>Normal</v>
      </c>
    </row>
    <row r="116" spans="1:21" x14ac:dyDescent="0.25">
      <c r="A116" s="1" t="s">
        <v>128</v>
      </c>
      <c r="B116" s="4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6" t="str">
        <f t="shared" si="3"/>
        <v>Jan</v>
      </c>
      <c r="O116" s="1">
        <v>2492.4</v>
      </c>
      <c r="T116" s="4"/>
      <c r="U116" s="1" t="str">
        <f t="shared" si="4"/>
        <v>Normal</v>
      </c>
    </row>
    <row r="117" spans="1:21" x14ac:dyDescent="0.25">
      <c r="A117" s="1" t="s">
        <v>129</v>
      </c>
      <c r="B117" s="4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6" t="str">
        <f t="shared" si="3"/>
        <v>Nov</v>
      </c>
      <c r="O117" s="1">
        <v>1874.95</v>
      </c>
      <c r="T117" s="4"/>
      <c r="U117" s="1" t="str">
        <f t="shared" si="4"/>
        <v>Normal</v>
      </c>
    </row>
    <row r="118" spans="1:21" x14ac:dyDescent="0.25">
      <c r="A118" s="1" t="s">
        <v>130</v>
      </c>
      <c r="B118" s="4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6" t="str">
        <f t="shared" si="3"/>
        <v>Mar</v>
      </c>
      <c r="O118" s="1">
        <v>1165.4000000000001</v>
      </c>
      <c r="T118" s="4"/>
      <c r="U118" s="1" t="str">
        <f t="shared" si="4"/>
        <v>Normal</v>
      </c>
    </row>
    <row r="119" spans="1:21" x14ac:dyDescent="0.25">
      <c r="A119" s="1" t="s">
        <v>131</v>
      </c>
      <c r="B119" s="4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6" t="str">
        <f t="shared" si="3"/>
        <v>Mar</v>
      </c>
      <c r="O119" s="1">
        <v>535.5</v>
      </c>
      <c r="T119" s="4"/>
      <c r="U119" s="1" t="str">
        <f t="shared" si="4"/>
        <v>Normal</v>
      </c>
    </row>
    <row r="120" spans="1:21" x14ac:dyDescent="0.25">
      <c r="A120" s="1" t="s">
        <v>132</v>
      </c>
      <c r="B120" s="4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6" t="str">
        <f t="shared" si="3"/>
        <v>Oct</v>
      </c>
      <c r="O120" s="1">
        <v>2513.5500000000002</v>
      </c>
      <c r="T120" s="4"/>
      <c r="U120" s="1" t="str">
        <f t="shared" si="4"/>
        <v>Normal</v>
      </c>
    </row>
    <row r="121" spans="1:21" x14ac:dyDescent="0.25">
      <c r="A121" s="1" t="s">
        <v>133</v>
      </c>
      <c r="B121" s="4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6" t="str">
        <f t="shared" si="3"/>
        <v>Jun</v>
      </c>
      <c r="O121" s="1">
        <v>1069.3399999999999</v>
      </c>
      <c r="T121" s="4"/>
      <c r="U121" s="1" t="str">
        <f t="shared" si="4"/>
        <v>Normal</v>
      </c>
    </row>
    <row r="122" spans="1:21" x14ac:dyDescent="0.25">
      <c r="A122" s="1" t="s">
        <v>134</v>
      </c>
      <c r="B122" s="4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6" t="str">
        <f t="shared" si="3"/>
        <v>Apr</v>
      </c>
      <c r="O122" s="1">
        <v>2517.36</v>
      </c>
      <c r="T122" s="4"/>
      <c r="U122" s="1" t="str">
        <f t="shared" si="4"/>
        <v>Normal</v>
      </c>
    </row>
    <row r="123" spans="1:21" x14ac:dyDescent="0.25">
      <c r="A123" s="1" t="s">
        <v>135</v>
      </c>
      <c r="B123" s="4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6" t="str">
        <f t="shared" si="3"/>
        <v>Nov</v>
      </c>
      <c r="O123" s="1">
        <v>410.78</v>
      </c>
      <c r="T123" s="4"/>
      <c r="U123" s="1" t="str">
        <f t="shared" si="4"/>
        <v>Normal</v>
      </c>
    </row>
    <row r="124" spans="1:21" x14ac:dyDescent="0.25">
      <c r="A124" s="1" t="s">
        <v>136</v>
      </c>
      <c r="B124" s="4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6" t="str">
        <f t="shared" si="3"/>
        <v>Apr</v>
      </c>
      <c r="O124" s="1">
        <v>1066.04</v>
      </c>
      <c r="T124" s="4"/>
      <c r="U124" s="1" t="str">
        <f t="shared" si="4"/>
        <v>Normal</v>
      </c>
    </row>
    <row r="125" spans="1:21" x14ac:dyDescent="0.25">
      <c r="A125" s="1" t="s">
        <v>137</v>
      </c>
      <c r="B125" s="4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6" t="str">
        <f t="shared" si="3"/>
        <v>Jul</v>
      </c>
      <c r="O125" s="1">
        <v>834.12000000000012</v>
      </c>
      <c r="T125" s="4"/>
      <c r="U125" s="1" t="str">
        <f t="shared" si="4"/>
        <v>Normal</v>
      </c>
    </row>
    <row r="126" spans="1:21" x14ac:dyDescent="0.25">
      <c r="A126" s="1" t="s">
        <v>138</v>
      </c>
      <c r="B126" s="4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6" t="str">
        <f t="shared" si="3"/>
        <v>Jul</v>
      </c>
      <c r="O126" s="1">
        <v>1135.1600000000001</v>
      </c>
      <c r="T126" s="4"/>
      <c r="U126" s="1" t="str">
        <f t="shared" si="4"/>
        <v>Normal</v>
      </c>
    </row>
    <row r="127" spans="1:21" x14ac:dyDescent="0.25">
      <c r="A127" s="1" t="s">
        <v>139</v>
      </c>
      <c r="B127" s="4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6" t="str">
        <f t="shared" si="3"/>
        <v>Nov</v>
      </c>
      <c r="O127" s="1">
        <v>1025.3</v>
      </c>
      <c r="T127" s="4"/>
      <c r="U127" s="1" t="str">
        <f t="shared" si="4"/>
        <v>Normal</v>
      </c>
    </row>
    <row r="128" spans="1:21" x14ac:dyDescent="0.25">
      <c r="A128" s="1" t="s">
        <v>140</v>
      </c>
      <c r="B128" s="4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6" t="str">
        <f t="shared" si="3"/>
        <v>May</v>
      </c>
      <c r="O128" s="1">
        <v>1102</v>
      </c>
      <c r="T128" s="4"/>
      <c r="U128" s="1" t="str">
        <f t="shared" si="4"/>
        <v>Normal</v>
      </c>
    </row>
    <row r="129" spans="1:21" x14ac:dyDescent="0.25">
      <c r="A129" s="1" t="s">
        <v>141</v>
      </c>
      <c r="B129" s="4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6" t="str">
        <f t="shared" si="3"/>
        <v>Aug</v>
      </c>
      <c r="O129" s="1">
        <v>1407.96</v>
      </c>
      <c r="T129" s="4"/>
      <c r="U129" s="1" t="str">
        <f t="shared" si="4"/>
        <v>Normal</v>
      </c>
    </row>
    <row r="130" spans="1:21" x14ac:dyDescent="0.25">
      <c r="A130" s="1" t="s">
        <v>142</v>
      </c>
      <c r="B130" s="4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6" t="str">
        <f t="shared" ref="N130:N193" si="5">TEXT(B130,"MMM")</f>
        <v>Feb</v>
      </c>
      <c r="O130" s="1">
        <v>84.28</v>
      </c>
      <c r="T130" s="4"/>
      <c r="U130" s="1" t="str">
        <f t="shared" si="4"/>
        <v>Normal</v>
      </c>
    </row>
    <row r="131" spans="1:21" x14ac:dyDescent="0.25">
      <c r="A131" s="1" t="s">
        <v>143</v>
      </c>
      <c r="B131" s="4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6" t="str">
        <f t="shared" si="5"/>
        <v>Oct</v>
      </c>
      <c r="O131" s="1">
        <v>1055.72</v>
      </c>
      <c r="T131" s="4"/>
      <c r="U131" s="1" t="str">
        <f t="shared" ref="U131:U194" si="6">IF(O131&gt;$S$2,"Outlier","Normal")</f>
        <v>Normal</v>
      </c>
    </row>
    <row r="132" spans="1:21" x14ac:dyDescent="0.25">
      <c r="A132" s="1" t="s">
        <v>144</v>
      </c>
      <c r="B132" s="4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6" t="str">
        <f t="shared" si="5"/>
        <v>Jan</v>
      </c>
      <c r="O132" s="1">
        <v>1503.9</v>
      </c>
      <c r="T132" s="4"/>
      <c r="U132" s="1" t="str">
        <f t="shared" si="6"/>
        <v>Normal</v>
      </c>
    </row>
    <row r="133" spans="1:21" x14ac:dyDescent="0.25">
      <c r="A133" s="1" t="s">
        <v>145</v>
      </c>
      <c r="B133" s="4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6" t="str">
        <f t="shared" si="5"/>
        <v>Jan</v>
      </c>
      <c r="O133" s="1">
        <v>84.8</v>
      </c>
      <c r="T133" s="4"/>
      <c r="U133" s="1" t="str">
        <f t="shared" si="6"/>
        <v>Normal</v>
      </c>
    </row>
    <row r="134" spans="1:21" x14ac:dyDescent="0.25">
      <c r="A134" s="1" t="s">
        <v>146</v>
      </c>
      <c r="B134" s="4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6" t="str">
        <f t="shared" si="5"/>
        <v>Mar</v>
      </c>
      <c r="O134" s="1">
        <v>1803</v>
      </c>
      <c r="T134" s="4"/>
      <c r="U134" s="1" t="str">
        <f t="shared" si="6"/>
        <v>Normal</v>
      </c>
    </row>
    <row r="135" spans="1:21" x14ac:dyDescent="0.25">
      <c r="A135" s="1" t="s">
        <v>147</v>
      </c>
      <c r="B135" s="4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6" t="str">
        <f t="shared" si="5"/>
        <v>Jun</v>
      </c>
      <c r="O135" s="1">
        <v>1208.2</v>
      </c>
      <c r="T135" s="4"/>
      <c r="U135" s="1" t="str">
        <f t="shared" si="6"/>
        <v>Normal</v>
      </c>
    </row>
    <row r="136" spans="1:21" x14ac:dyDescent="0.25">
      <c r="A136" s="1" t="s">
        <v>148</v>
      </c>
      <c r="B136" s="4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6" t="str">
        <f t="shared" si="5"/>
        <v>Jun</v>
      </c>
      <c r="O136" s="1">
        <v>399.4</v>
      </c>
      <c r="T136" s="4"/>
      <c r="U136" s="1" t="str">
        <f t="shared" si="6"/>
        <v>Normal</v>
      </c>
    </row>
    <row r="137" spans="1:21" x14ac:dyDescent="0.25">
      <c r="A137" s="1" t="s">
        <v>149</v>
      </c>
      <c r="B137" s="4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6" t="str">
        <f t="shared" si="5"/>
        <v>Aug</v>
      </c>
      <c r="O137" s="1">
        <v>137.62</v>
      </c>
      <c r="T137" s="4"/>
      <c r="U137" s="1" t="str">
        <f t="shared" si="6"/>
        <v>Normal</v>
      </c>
    </row>
    <row r="138" spans="1:21" x14ac:dyDescent="0.25">
      <c r="A138" s="1" t="s">
        <v>150</v>
      </c>
      <c r="B138" s="4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6" t="str">
        <f t="shared" si="5"/>
        <v>Apr</v>
      </c>
      <c r="O138" s="1">
        <v>44.35</v>
      </c>
      <c r="T138" s="4"/>
      <c r="U138" s="1" t="str">
        <f t="shared" si="6"/>
        <v>Normal</v>
      </c>
    </row>
    <row r="139" spans="1:21" x14ac:dyDescent="0.25">
      <c r="A139" s="1" t="s">
        <v>151</v>
      </c>
      <c r="B139" s="4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6" t="str">
        <f t="shared" si="5"/>
        <v>Nov</v>
      </c>
      <c r="O139" s="1">
        <v>501.96</v>
      </c>
      <c r="T139" s="4"/>
      <c r="U139" s="1" t="str">
        <f t="shared" si="6"/>
        <v>Normal</v>
      </c>
    </row>
    <row r="140" spans="1:21" x14ac:dyDescent="0.25">
      <c r="A140" s="1" t="s">
        <v>152</v>
      </c>
      <c r="B140" s="4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6" t="str">
        <f t="shared" si="5"/>
        <v>Dec</v>
      </c>
      <c r="O140" s="1">
        <v>298.06</v>
      </c>
      <c r="T140" s="4"/>
      <c r="U140" s="1" t="str">
        <f t="shared" si="6"/>
        <v>Normal</v>
      </c>
    </row>
    <row r="141" spans="1:21" x14ac:dyDescent="0.25">
      <c r="A141" s="1" t="s">
        <v>153</v>
      </c>
      <c r="B141" s="4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6" t="str">
        <f t="shared" si="5"/>
        <v>Apr</v>
      </c>
      <c r="O141" s="1">
        <v>583.9</v>
      </c>
      <c r="T141" s="4"/>
      <c r="U141" s="1" t="str">
        <f t="shared" si="6"/>
        <v>Normal</v>
      </c>
    </row>
    <row r="142" spans="1:21" x14ac:dyDescent="0.25">
      <c r="A142" s="1" t="s">
        <v>154</v>
      </c>
      <c r="B142" s="4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6" t="str">
        <f t="shared" si="5"/>
        <v>May</v>
      </c>
      <c r="O142" s="1">
        <v>1584.42</v>
      </c>
      <c r="T142" s="4"/>
      <c r="U142" s="1" t="str">
        <f t="shared" si="6"/>
        <v>Normal</v>
      </c>
    </row>
    <row r="143" spans="1:21" x14ac:dyDescent="0.25">
      <c r="A143" s="1" t="s">
        <v>155</v>
      </c>
      <c r="B143" s="4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6" t="str">
        <f t="shared" si="5"/>
        <v>Nov</v>
      </c>
      <c r="O143" s="1">
        <v>2052.42</v>
      </c>
      <c r="T143" s="4"/>
      <c r="U143" s="1" t="str">
        <f t="shared" si="6"/>
        <v>Normal</v>
      </c>
    </row>
    <row r="144" spans="1:21" x14ac:dyDescent="0.25">
      <c r="A144" s="1" t="s">
        <v>156</v>
      </c>
      <c r="B144" s="4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6" t="str">
        <f t="shared" si="5"/>
        <v>Sep</v>
      </c>
      <c r="O144" s="1">
        <v>1363.85</v>
      </c>
      <c r="T144" s="4"/>
      <c r="U144" s="1" t="str">
        <f t="shared" si="6"/>
        <v>Normal</v>
      </c>
    </row>
    <row r="145" spans="1:21" x14ac:dyDescent="0.25">
      <c r="A145" s="1" t="s">
        <v>157</v>
      </c>
      <c r="B145" s="4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6" t="str">
        <f t="shared" si="5"/>
        <v>Jun</v>
      </c>
      <c r="O145" s="1">
        <v>1600.28</v>
      </c>
      <c r="T145" s="4"/>
      <c r="U145" s="1" t="str">
        <f t="shared" si="6"/>
        <v>Normal</v>
      </c>
    </row>
    <row r="146" spans="1:21" x14ac:dyDescent="0.25">
      <c r="A146" s="1" t="s">
        <v>158</v>
      </c>
      <c r="B146" s="4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6" t="str">
        <f t="shared" si="5"/>
        <v>Aug</v>
      </c>
      <c r="O146" s="1">
        <v>1098.9000000000001</v>
      </c>
      <c r="T146" s="4"/>
      <c r="U146" s="1" t="str">
        <f t="shared" si="6"/>
        <v>Normal</v>
      </c>
    </row>
    <row r="147" spans="1:21" x14ac:dyDescent="0.25">
      <c r="A147" s="1" t="s">
        <v>159</v>
      </c>
      <c r="B147" s="4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6" t="str">
        <f t="shared" si="5"/>
        <v>Mar</v>
      </c>
      <c r="O147" s="1">
        <v>440.73</v>
      </c>
      <c r="T147" s="4"/>
      <c r="U147" s="1" t="str">
        <f t="shared" si="6"/>
        <v>Normal</v>
      </c>
    </row>
    <row r="148" spans="1:21" x14ac:dyDescent="0.25">
      <c r="A148" s="1" t="s">
        <v>160</v>
      </c>
      <c r="B148" s="4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6" t="str">
        <f t="shared" si="5"/>
        <v>Apr</v>
      </c>
      <c r="O148" s="1">
        <v>822.98</v>
      </c>
      <c r="T148" s="4"/>
      <c r="U148" s="1" t="str">
        <f t="shared" si="6"/>
        <v>Normal</v>
      </c>
    </row>
    <row r="149" spans="1:21" x14ac:dyDescent="0.25">
      <c r="A149" s="1" t="s">
        <v>161</v>
      </c>
      <c r="B149" s="4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6" t="str">
        <f t="shared" si="5"/>
        <v>May</v>
      </c>
      <c r="O149" s="1">
        <v>930.36</v>
      </c>
      <c r="T149" s="4"/>
      <c r="U149" s="1" t="str">
        <f t="shared" si="6"/>
        <v>Normal</v>
      </c>
    </row>
    <row r="150" spans="1:21" x14ac:dyDescent="0.25">
      <c r="A150" s="1" t="s">
        <v>162</v>
      </c>
      <c r="B150" s="4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6" t="str">
        <f t="shared" si="5"/>
        <v>Dec</v>
      </c>
      <c r="O150" s="1">
        <v>639.82000000000005</v>
      </c>
      <c r="T150" s="4"/>
      <c r="U150" s="1" t="str">
        <f t="shared" si="6"/>
        <v>Normal</v>
      </c>
    </row>
    <row r="151" spans="1:21" x14ac:dyDescent="0.25">
      <c r="A151" s="1" t="s">
        <v>163</v>
      </c>
      <c r="B151" s="4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6" t="str">
        <f t="shared" si="5"/>
        <v>Dec</v>
      </c>
      <c r="O151" s="1">
        <v>217.56</v>
      </c>
      <c r="T151" s="4"/>
      <c r="U151" s="1" t="str">
        <f t="shared" si="6"/>
        <v>Normal</v>
      </c>
    </row>
    <row r="152" spans="1:21" x14ac:dyDescent="0.25">
      <c r="A152" s="1" t="s">
        <v>164</v>
      </c>
      <c r="B152" s="4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6" t="str">
        <f t="shared" si="5"/>
        <v>Dec</v>
      </c>
      <c r="O152" s="1">
        <v>211.14</v>
      </c>
      <c r="T152" s="4"/>
      <c r="U152" s="1" t="str">
        <f t="shared" si="6"/>
        <v>Normal</v>
      </c>
    </row>
    <row r="153" spans="1:21" x14ac:dyDescent="0.25">
      <c r="A153" s="1" t="s">
        <v>165</v>
      </c>
      <c r="B153" s="4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6" t="str">
        <f t="shared" si="5"/>
        <v>Dec</v>
      </c>
      <c r="O153" s="1">
        <v>2223.8000000000002</v>
      </c>
      <c r="T153" s="4"/>
      <c r="U153" s="1" t="str">
        <f t="shared" si="6"/>
        <v>Normal</v>
      </c>
    </row>
    <row r="154" spans="1:21" x14ac:dyDescent="0.25">
      <c r="A154" s="1" t="s">
        <v>166</v>
      </c>
      <c r="B154" s="4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6" t="str">
        <f t="shared" si="5"/>
        <v>Jan</v>
      </c>
      <c r="O154" s="1">
        <v>798.08</v>
      </c>
      <c r="T154" s="4"/>
      <c r="U154" s="1" t="str">
        <f t="shared" si="6"/>
        <v>Normal</v>
      </c>
    </row>
    <row r="155" spans="1:21" x14ac:dyDescent="0.25">
      <c r="A155" s="1" t="s">
        <v>167</v>
      </c>
      <c r="B155" s="4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6" t="str">
        <f t="shared" si="5"/>
        <v>Dec</v>
      </c>
      <c r="O155" s="1">
        <v>2137.92</v>
      </c>
      <c r="T155" s="4"/>
      <c r="U155" s="1" t="str">
        <f t="shared" si="6"/>
        <v>Normal</v>
      </c>
    </row>
    <row r="156" spans="1:21" x14ac:dyDescent="0.25">
      <c r="A156" s="1" t="s">
        <v>168</v>
      </c>
      <c r="B156" s="4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6" t="str">
        <f t="shared" si="5"/>
        <v>Jul</v>
      </c>
      <c r="O156" s="1">
        <v>1632.84</v>
      </c>
      <c r="T156" s="4"/>
      <c r="U156" s="1" t="str">
        <f t="shared" si="6"/>
        <v>Normal</v>
      </c>
    </row>
    <row r="157" spans="1:21" x14ac:dyDescent="0.25">
      <c r="A157" s="1" t="s">
        <v>169</v>
      </c>
      <c r="B157" s="4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6" t="str">
        <f t="shared" si="5"/>
        <v>Feb</v>
      </c>
      <c r="O157" s="1">
        <v>424.4</v>
      </c>
      <c r="T157" s="4"/>
      <c r="U157" s="1" t="str">
        <f t="shared" si="6"/>
        <v>Normal</v>
      </c>
    </row>
    <row r="158" spans="1:21" x14ac:dyDescent="0.25">
      <c r="A158" s="1" t="s">
        <v>170</v>
      </c>
      <c r="B158" s="4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6" t="str">
        <f t="shared" si="5"/>
        <v>Nov</v>
      </c>
      <c r="O158" s="1">
        <v>539.66</v>
      </c>
      <c r="T158" s="4"/>
      <c r="U158" s="1" t="str">
        <f t="shared" si="6"/>
        <v>Normal</v>
      </c>
    </row>
    <row r="159" spans="1:21" x14ac:dyDescent="0.25">
      <c r="A159" s="1" t="s">
        <v>171</v>
      </c>
      <c r="B159" s="4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6" t="str">
        <f t="shared" si="5"/>
        <v>Feb</v>
      </c>
      <c r="O159" s="1">
        <v>1129.1600000000001</v>
      </c>
      <c r="T159" s="4"/>
      <c r="U159" s="1" t="str">
        <f t="shared" si="6"/>
        <v>Normal</v>
      </c>
    </row>
    <row r="160" spans="1:21" x14ac:dyDescent="0.25">
      <c r="A160" s="1" t="s">
        <v>172</v>
      </c>
      <c r="B160" s="4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6" t="str">
        <f t="shared" si="5"/>
        <v>May</v>
      </c>
      <c r="O160" s="1">
        <v>331.06</v>
      </c>
      <c r="T160" s="4"/>
      <c r="U160" s="1" t="str">
        <f t="shared" si="6"/>
        <v>Normal</v>
      </c>
    </row>
    <row r="161" spans="1:21" x14ac:dyDescent="0.25">
      <c r="A161" s="1" t="s">
        <v>173</v>
      </c>
      <c r="B161" s="4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6" t="str">
        <f t="shared" si="5"/>
        <v>Oct</v>
      </c>
      <c r="O161" s="1">
        <v>299.35000000000002</v>
      </c>
      <c r="T161" s="4"/>
      <c r="U161" s="1" t="str">
        <f t="shared" si="6"/>
        <v>Normal</v>
      </c>
    </row>
    <row r="162" spans="1:21" x14ac:dyDescent="0.25">
      <c r="A162" s="1" t="s">
        <v>174</v>
      </c>
      <c r="B162" s="4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6" t="str">
        <f t="shared" si="5"/>
        <v>Feb</v>
      </c>
      <c r="O162" s="1">
        <v>405.28</v>
      </c>
      <c r="T162" s="4"/>
      <c r="U162" s="1" t="str">
        <f t="shared" si="6"/>
        <v>Normal</v>
      </c>
    </row>
    <row r="163" spans="1:21" x14ac:dyDescent="0.25">
      <c r="A163" s="1" t="s">
        <v>175</v>
      </c>
      <c r="B163" s="4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6" t="str">
        <f t="shared" si="5"/>
        <v>Mar</v>
      </c>
      <c r="O163" s="1">
        <v>211.14</v>
      </c>
      <c r="T163" s="4"/>
      <c r="U163" s="1" t="str">
        <f t="shared" si="6"/>
        <v>Normal</v>
      </c>
    </row>
    <row r="164" spans="1:21" x14ac:dyDescent="0.25">
      <c r="A164" s="1" t="s">
        <v>176</v>
      </c>
      <c r="B164" s="4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6" t="str">
        <f t="shared" si="5"/>
        <v>Jul</v>
      </c>
      <c r="O164" s="1">
        <v>197.58</v>
      </c>
      <c r="T164" s="4"/>
      <c r="U164" s="1" t="str">
        <f t="shared" si="6"/>
        <v>Normal</v>
      </c>
    </row>
    <row r="165" spans="1:21" x14ac:dyDescent="0.25">
      <c r="A165" s="1" t="s">
        <v>177</v>
      </c>
      <c r="B165" s="4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6" t="str">
        <f t="shared" si="5"/>
        <v>Jun</v>
      </c>
      <c r="O165" s="1">
        <v>641.39</v>
      </c>
      <c r="T165" s="4"/>
      <c r="U165" s="1" t="str">
        <f t="shared" si="6"/>
        <v>Normal</v>
      </c>
    </row>
    <row r="166" spans="1:21" x14ac:dyDescent="0.25">
      <c r="A166" s="1" t="s">
        <v>178</v>
      </c>
      <c r="B166" s="4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6" t="str">
        <f t="shared" si="5"/>
        <v>Dec</v>
      </c>
      <c r="O166" s="1">
        <v>2682.9</v>
      </c>
      <c r="T166" s="4"/>
      <c r="U166" s="1" t="str">
        <f t="shared" si="6"/>
        <v>Normal</v>
      </c>
    </row>
    <row r="167" spans="1:21" x14ac:dyDescent="0.25">
      <c r="A167" s="1" t="s">
        <v>179</v>
      </c>
      <c r="B167" s="4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6" t="str">
        <f t="shared" si="5"/>
        <v>Sep</v>
      </c>
      <c r="O167" s="1">
        <v>1000.58</v>
      </c>
      <c r="T167" s="4"/>
      <c r="U167" s="1" t="str">
        <f t="shared" si="6"/>
        <v>Normal</v>
      </c>
    </row>
    <row r="168" spans="1:21" x14ac:dyDescent="0.25">
      <c r="A168" s="1" t="s">
        <v>180</v>
      </c>
      <c r="B168" s="4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6" t="str">
        <f t="shared" si="5"/>
        <v>Mar</v>
      </c>
      <c r="O168" s="1">
        <v>258.87</v>
      </c>
      <c r="T168" s="4"/>
      <c r="U168" s="1" t="str">
        <f t="shared" si="6"/>
        <v>Normal</v>
      </c>
    </row>
    <row r="169" spans="1:21" x14ac:dyDescent="0.25">
      <c r="A169" s="1" t="s">
        <v>181</v>
      </c>
      <c r="B169" s="4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6" t="str">
        <f t="shared" si="5"/>
        <v>May</v>
      </c>
      <c r="O169" s="1">
        <v>768.28</v>
      </c>
      <c r="T169" s="4"/>
      <c r="U169" s="1" t="str">
        <f t="shared" si="6"/>
        <v>Normal</v>
      </c>
    </row>
    <row r="170" spans="1:21" x14ac:dyDescent="0.25">
      <c r="A170" s="1" t="s">
        <v>182</v>
      </c>
      <c r="B170" s="4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6" t="str">
        <f t="shared" si="5"/>
        <v>Jan</v>
      </c>
      <c r="O170" s="1">
        <v>594.96</v>
      </c>
      <c r="T170" s="4"/>
      <c r="U170" s="1" t="str">
        <f t="shared" si="6"/>
        <v>Normal</v>
      </c>
    </row>
    <row r="171" spans="1:21" x14ac:dyDescent="0.25">
      <c r="A171" s="1" t="s">
        <v>183</v>
      </c>
      <c r="B171" s="4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6" t="str">
        <f t="shared" si="5"/>
        <v>Apr</v>
      </c>
      <c r="O171" s="1">
        <v>427.82</v>
      </c>
      <c r="T171" s="4"/>
      <c r="U171" s="1" t="str">
        <f t="shared" si="6"/>
        <v>Normal</v>
      </c>
    </row>
    <row r="172" spans="1:21" x14ac:dyDescent="0.25">
      <c r="A172" s="1" t="s">
        <v>184</v>
      </c>
      <c r="B172" s="4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6" t="str">
        <f t="shared" si="5"/>
        <v>Apr</v>
      </c>
      <c r="O172" s="1">
        <v>2651.76</v>
      </c>
      <c r="T172" s="4"/>
      <c r="U172" s="1" t="str">
        <f t="shared" si="6"/>
        <v>Normal</v>
      </c>
    </row>
    <row r="173" spans="1:21" x14ac:dyDescent="0.25">
      <c r="A173" s="1" t="s">
        <v>185</v>
      </c>
      <c r="B173" s="4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6" t="str">
        <f t="shared" si="5"/>
        <v>Aug</v>
      </c>
      <c r="O173" s="1">
        <v>296.44</v>
      </c>
      <c r="T173" s="4"/>
      <c r="U173" s="1" t="str">
        <f t="shared" si="6"/>
        <v>Normal</v>
      </c>
    </row>
    <row r="174" spans="1:21" x14ac:dyDescent="0.25">
      <c r="A174" s="1" t="s">
        <v>186</v>
      </c>
      <c r="B174" s="4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6" t="str">
        <f t="shared" si="5"/>
        <v>Apr</v>
      </c>
      <c r="O174" s="1">
        <v>254.12</v>
      </c>
      <c r="T174" s="4"/>
      <c r="U174" s="1" t="str">
        <f t="shared" si="6"/>
        <v>Normal</v>
      </c>
    </row>
    <row r="175" spans="1:21" x14ac:dyDescent="0.25">
      <c r="A175" s="1" t="s">
        <v>187</v>
      </c>
      <c r="B175" s="4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6" t="str">
        <f t="shared" si="5"/>
        <v>Mar</v>
      </c>
      <c r="O175" s="1">
        <v>1993.38</v>
      </c>
      <c r="T175" s="4"/>
      <c r="U175" s="1" t="str">
        <f t="shared" si="6"/>
        <v>Normal</v>
      </c>
    </row>
    <row r="176" spans="1:21" x14ac:dyDescent="0.25">
      <c r="A176" s="1" t="s">
        <v>188</v>
      </c>
      <c r="B176" s="4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6" t="str">
        <f t="shared" si="5"/>
        <v>Apr</v>
      </c>
      <c r="O176" s="1">
        <v>2403.2399999999998</v>
      </c>
      <c r="T176" s="4"/>
      <c r="U176" s="1" t="str">
        <f t="shared" si="6"/>
        <v>Normal</v>
      </c>
    </row>
    <row r="177" spans="1:21" x14ac:dyDescent="0.25">
      <c r="A177" s="1" t="s">
        <v>189</v>
      </c>
      <c r="B177" s="4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6" t="str">
        <f t="shared" si="5"/>
        <v>Feb</v>
      </c>
      <c r="O177" s="1">
        <v>341.7</v>
      </c>
      <c r="T177" s="4"/>
      <c r="U177" s="1" t="str">
        <f t="shared" si="6"/>
        <v>Normal</v>
      </c>
    </row>
    <row r="178" spans="1:21" x14ac:dyDescent="0.25">
      <c r="A178" s="1" t="s">
        <v>190</v>
      </c>
      <c r="B178" s="4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6" t="str">
        <f t="shared" si="5"/>
        <v>Jun</v>
      </c>
      <c r="O178" s="1">
        <v>1723.32</v>
      </c>
      <c r="T178" s="4"/>
      <c r="U178" s="1" t="str">
        <f t="shared" si="6"/>
        <v>Normal</v>
      </c>
    </row>
    <row r="179" spans="1:21" x14ac:dyDescent="0.25">
      <c r="A179" s="1" t="s">
        <v>191</v>
      </c>
      <c r="B179" s="4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6" t="str">
        <f t="shared" si="5"/>
        <v>Aug</v>
      </c>
      <c r="O179" s="1">
        <v>2158.4499999999998</v>
      </c>
      <c r="T179" s="4"/>
      <c r="U179" s="1" t="str">
        <f t="shared" si="6"/>
        <v>Normal</v>
      </c>
    </row>
    <row r="180" spans="1:21" x14ac:dyDescent="0.25">
      <c r="A180" s="1" t="s">
        <v>192</v>
      </c>
      <c r="B180" s="4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6" t="str">
        <f t="shared" si="5"/>
        <v>Apr</v>
      </c>
      <c r="O180" s="1">
        <v>2048.2399999999998</v>
      </c>
      <c r="T180" s="4"/>
      <c r="U180" s="1" t="str">
        <f t="shared" si="6"/>
        <v>Normal</v>
      </c>
    </row>
    <row r="181" spans="1:21" x14ac:dyDescent="0.25">
      <c r="A181" s="1" t="s">
        <v>193</v>
      </c>
      <c r="B181" s="4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6" t="str">
        <f t="shared" si="5"/>
        <v>Nov</v>
      </c>
      <c r="O181" s="1">
        <v>1619.73</v>
      </c>
      <c r="T181" s="4"/>
      <c r="U181" s="1" t="str">
        <f t="shared" si="6"/>
        <v>Normal</v>
      </c>
    </row>
    <row r="182" spans="1:21" x14ac:dyDescent="0.25">
      <c r="A182" s="1" t="s">
        <v>194</v>
      </c>
      <c r="B182" s="4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6" t="str">
        <f t="shared" si="5"/>
        <v>Mar</v>
      </c>
      <c r="O182" s="1">
        <v>1580.35</v>
      </c>
      <c r="T182" s="4"/>
      <c r="U182" s="1" t="str">
        <f t="shared" si="6"/>
        <v>Normal</v>
      </c>
    </row>
    <row r="183" spans="1:21" x14ac:dyDescent="0.25">
      <c r="A183" s="1" t="s">
        <v>195</v>
      </c>
      <c r="B183" s="4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6" t="str">
        <f t="shared" si="5"/>
        <v>Aug</v>
      </c>
      <c r="O183" s="1">
        <v>2021.95</v>
      </c>
      <c r="T183" s="4"/>
      <c r="U183" s="1" t="str">
        <f t="shared" si="6"/>
        <v>Normal</v>
      </c>
    </row>
    <row r="184" spans="1:21" x14ac:dyDescent="0.25">
      <c r="A184" s="1" t="s">
        <v>196</v>
      </c>
      <c r="B184" s="4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6" t="str">
        <f t="shared" si="5"/>
        <v>Mar</v>
      </c>
      <c r="O184" s="1">
        <v>600.54</v>
      </c>
      <c r="T184" s="4"/>
      <c r="U184" s="1" t="str">
        <f t="shared" si="6"/>
        <v>Normal</v>
      </c>
    </row>
    <row r="185" spans="1:21" x14ac:dyDescent="0.25">
      <c r="A185" s="1" t="s">
        <v>197</v>
      </c>
      <c r="B185" s="4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6" t="str">
        <f t="shared" si="5"/>
        <v>Apr</v>
      </c>
      <c r="O185" s="1">
        <v>931.4</v>
      </c>
      <c r="T185" s="4"/>
      <c r="U185" s="1" t="str">
        <f t="shared" si="6"/>
        <v>Normal</v>
      </c>
    </row>
    <row r="186" spans="1:21" x14ac:dyDescent="0.25">
      <c r="A186" s="1" t="s">
        <v>198</v>
      </c>
      <c r="B186" s="4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6" t="str">
        <f t="shared" si="5"/>
        <v>Apr</v>
      </c>
      <c r="O186" s="1">
        <v>858.16</v>
      </c>
      <c r="T186" s="4"/>
      <c r="U186" s="1" t="str">
        <f t="shared" si="6"/>
        <v>Normal</v>
      </c>
    </row>
    <row r="187" spans="1:21" x14ac:dyDescent="0.25">
      <c r="A187" s="1" t="s">
        <v>199</v>
      </c>
      <c r="B187" s="4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6" t="str">
        <f t="shared" si="5"/>
        <v>Feb</v>
      </c>
      <c r="O187" s="1">
        <v>210.7</v>
      </c>
      <c r="T187" s="4"/>
      <c r="U187" s="1" t="str">
        <f t="shared" si="6"/>
        <v>Normal</v>
      </c>
    </row>
    <row r="188" spans="1:21" x14ac:dyDescent="0.25">
      <c r="A188" s="1" t="s">
        <v>200</v>
      </c>
      <c r="B188" s="4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6" t="str">
        <f t="shared" si="5"/>
        <v>Dec</v>
      </c>
      <c r="O188" s="1">
        <v>267.10000000000002</v>
      </c>
      <c r="T188" s="4"/>
      <c r="U188" s="1" t="str">
        <f t="shared" si="6"/>
        <v>Normal</v>
      </c>
    </row>
    <row r="189" spans="1:21" x14ac:dyDescent="0.25">
      <c r="A189" s="1" t="s">
        <v>201</v>
      </c>
      <c r="B189" s="4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6" t="str">
        <f t="shared" si="5"/>
        <v>Feb</v>
      </c>
      <c r="O189" s="1">
        <v>590.87</v>
      </c>
      <c r="T189" s="4"/>
      <c r="U189" s="1" t="str">
        <f t="shared" si="6"/>
        <v>Normal</v>
      </c>
    </row>
    <row r="190" spans="1:21" x14ac:dyDescent="0.25">
      <c r="A190" s="1" t="s">
        <v>202</v>
      </c>
      <c r="B190" s="4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6" t="str">
        <f t="shared" si="5"/>
        <v>Mar</v>
      </c>
      <c r="O190" s="1">
        <v>727.82</v>
      </c>
      <c r="T190" s="4"/>
      <c r="U190" s="1" t="str">
        <f t="shared" si="6"/>
        <v>Normal</v>
      </c>
    </row>
    <row r="191" spans="1:21" x14ac:dyDescent="0.25">
      <c r="A191" s="1" t="s">
        <v>203</v>
      </c>
      <c r="B191" s="4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6" t="str">
        <f t="shared" si="5"/>
        <v>Jul</v>
      </c>
      <c r="O191" s="1">
        <v>2147.25</v>
      </c>
      <c r="T191" s="4"/>
      <c r="U191" s="1" t="str">
        <f t="shared" si="6"/>
        <v>Normal</v>
      </c>
    </row>
    <row r="192" spans="1:21" x14ac:dyDescent="0.25">
      <c r="A192" s="1" t="s">
        <v>204</v>
      </c>
      <c r="B192" s="4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6" t="str">
        <f t="shared" si="5"/>
        <v>Aug</v>
      </c>
      <c r="O192" s="1">
        <v>671.09999999999991</v>
      </c>
      <c r="T192" s="4"/>
      <c r="U192" s="1" t="str">
        <f t="shared" si="6"/>
        <v>Normal</v>
      </c>
    </row>
    <row r="193" spans="1:21" x14ac:dyDescent="0.25">
      <c r="A193" s="1" t="s">
        <v>205</v>
      </c>
      <c r="B193" s="4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6" t="str">
        <f t="shared" si="5"/>
        <v>Mar</v>
      </c>
      <c r="O193" s="1">
        <v>977.74</v>
      </c>
      <c r="T193" s="4"/>
      <c r="U193" s="1" t="str">
        <f t="shared" si="6"/>
        <v>Normal</v>
      </c>
    </row>
    <row r="194" spans="1:21" x14ac:dyDescent="0.25">
      <c r="A194" s="1" t="s">
        <v>206</v>
      </c>
      <c r="B194" s="4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6" t="str">
        <f t="shared" ref="N194:N257" si="7">TEXT(B194,"MMM")</f>
        <v>Aug</v>
      </c>
      <c r="O194" s="1">
        <v>645.46</v>
      </c>
      <c r="T194" s="4"/>
      <c r="U194" s="1" t="str">
        <f t="shared" si="6"/>
        <v>Normal</v>
      </c>
    </row>
    <row r="195" spans="1:21" x14ac:dyDescent="0.25">
      <c r="A195" s="1" t="s">
        <v>207</v>
      </c>
      <c r="B195" s="4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6" t="str">
        <f t="shared" si="7"/>
        <v>Jul</v>
      </c>
      <c r="O195" s="1">
        <v>46.66</v>
      </c>
      <c r="T195" s="4"/>
      <c r="U195" s="1" t="str">
        <f t="shared" ref="U195:U258" si="8">IF(O195&gt;$S$2,"Outlier","Normal")</f>
        <v>Normal</v>
      </c>
    </row>
    <row r="196" spans="1:21" x14ac:dyDescent="0.25">
      <c r="A196" s="1" t="s">
        <v>208</v>
      </c>
      <c r="B196" s="4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6" t="str">
        <f t="shared" si="7"/>
        <v>Jun</v>
      </c>
      <c r="O196" s="1">
        <v>249.57</v>
      </c>
      <c r="T196" s="4"/>
      <c r="U196" s="1" t="str">
        <f t="shared" si="8"/>
        <v>Normal</v>
      </c>
    </row>
    <row r="197" spans="1:21" x14ac:dyDescent="0.25">
      <c r="A197" s="1" t="s">
        <v>209</v>
      </c>
      <c r="B197" s="4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6" t="str">
        <f t="shared" si="7"/>
        <v>Apr</v>
      </c>
      <c r="O197" s="1">
        <v>1857.63</v>
      </c>
      <c r="T197" s="4"/>
      <c r="U197" s="1" t="str">
        <f t="shared" si="8"/>
        <v>Normal</v>
      </c>
    </row>
    <row r="198" spans="1:21" x14ac:dyDescent="0.25">
      <c r="A198" s="1" t="s">
        <v>210</v>
      </c>
      <c r="B198" s="4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6" t="str">
        <f t="shared" si="7"/>
        <v>Jan</v>
      </c>
      <c r="O198" s="1">
        <v>868.52</v>
      </c>
      <c r="T198" s="4"/>
      <c r="U198" s="1" t="str">
        <f t="shared" si="8"/>
        <v>Normal</v>
      </c>
    </row>
    <row r="199" spans="1:21" x14ac:dyDescent="0.25">
      <c r="A199" s="1" t="s">
        <v>211</v>
      </c>
      <c r="B199" s="4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6" t="str">
        <f t="shared" si="7"/>
        <v>Aug</v>
      </c>
      <c r="O199" s="1">
        <v>1107.55</v>
      </c>
      <c r="T199" s="4"/>
      <c r="U199" s="1" t="str">
        <f t="shared" si="8"/>
        <v>Normal</v>
      </c>
    </row>
    <row r="200" spans="1:21" x14ac:dyDescent="0.25">
      <c r="A200" s="1" t="s">
        <v>212</v>
      </c>
      <c r="B200" s="4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6" t="str">
        <f t="shared" si="7"/>
        <v>Jun</v>
      </c>
      <c r="O200" s="1">
        <v>1361.2</v>
      </c>
      <c r="T200" s="4"/>
      <c r="U200" s="1" t="str">
        <f t="shared" si="8"/>
        <v>Normal</v>
      </c>
    </row>
    <row r="201" spans="1:21" x14ac:dyDescent="0.25">
      <c r="A201" s="1" t="s">
        <v>213</v>
      </c>
      <c r="B201" s="4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6" t="str">
        <f t="shared" si="7"/>
        <v>Jan</v>
      </c>
      <c r="O201" s="1">
        <v>625</v>
      </c>
      <c r="T201" s="4"/>
      <c r="U201" s="1" t="str">
        <f t="shared" si="8"/>
        <v>Normal</v>
      </c>
    </row>
    <row r="202" spans="1:21" x14ac:dyDescent="0.25">
      <c r="A202" s="1" t="s">
        <v>214</v>
      </c>
      <c r="B202" s="4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6" t="str">
        <f t="shared" si="7"/>
        <v>Jun</v>
      </c>
      <c r="O202" s="1">
        <v>2166.3000000000002</v>
      </c>
      <c r="T202" s="4"/>
      <c r="U202" s="1" t="str">
        <f t="shared" si="8"/>
        <v>Normal</v>
      </c>
    </row>
    <row r="203" spans="1:21" x14ac:dyDescent="0.25">
      <c r="A203" s="1" t="s">
        <v>215</v>
      </c>
      <c r="B203" s="4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6" t="str">
        <f t="shared" si="7"/>
        <v>Jun</v>
      </c>
      <c r="O203" s="1">
        <v>1349.8</v>
      </c>
      <c r="T203" s="4"/>
      <c r="U203" s="1" t="str">
        <f t="shared" si="8"/>
        <v>Normal</v>
      </c>
    </row>
    <row r="204" spans="1:21" x14ac:dyDescent="0.25">
      <c r="A204" s="1" t="s">
        <v>216</v>
      </c>
      <c r="B204" s="4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6" t="str">
        <f t="shared" si="7"/>
        <v>Feb</v>
      </c>
      <c r="O204" s="1">
        <v>761.93999999999994</v>
      </c>
      <c r="T204" s="4"/>
      <c r="U204" s="1" t="str">
        <f t="shared" si="8"/>
        <v>Normal</v>
      </c>
    </row>
    <row r="205" spans="1:21" x14ac:dyDescent="0.25">
      <c r="A205" s="1" t="s">
        <v>217</v>
      </c>
      <c r="B205" s="4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6" t="str">
        <f t="shared" si="7"/>
        <v>Jan</v>
      </c>
      <c r="O205" s="1">
        <v>1070.52</v>
      </c>
      <c r="T205" s="4"/>
      <c r="U205" s="1" t="str">
        <f t="shared" si="8"/>
        <v>Normal</v>
      </c>
    </row>
    <row r="206" spans="1:21" x14ac:dyDescent="0.25">
      <c r="A206" s="1" t="s">
        <v>218</v>
      </c>
      <c r="B206" s="4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6" t="str">
        <f t="shared" si="7"/>
        <v>Sep</v>
      </c>
      <c r="O206" s="1">
        <v>1654.84</v>
      </c>
      <c r="T206" s="4"/>
      <c r="U206" s="1" t="str">
        <f t="shared" si="8"/>
        <v>Normal</v>
      </c>
    </row>
    <row r="207" spans="1:21" x14ac:dyDescent="0.25">
      <c r="A207" s="1" t="s">
        <v>219</v>
      </c>
      <c r="B207" s="4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6" t="str">
        <f t="shared" si="7"/>
        <v>Mar</v>
      </c>
      <c r="O207" s="1">
        <v>442.17</v>
      </c>
      <c r="T207" s="4"/>
      <c r="U207" s="1" t="str">
        <f t="shared" si="8"/>
        <v>Normal</v>
      </c>
    </row>
    <row r="208" spans="1:21" x14ac:dyDescent="0.25">
      <c r="A208" s="1" t="s">
        <v>220</v>
      </c>
      <c r="B208" s="4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6" t="str">
        <f t="shared" si="7"/>
        <v>Apr</v>
      </c>
      <c r="O208" s="1">
        <v>916.4</v>
      </c>
      <c r="T208" s="4"/>
      <c r="U208" s="1" t="str">
        <f t="shared" si="8"/>
        <v>Normal</v>
      </c>
    </row>
    <row r="209" spans="1:21" x14ac:dyDescent="0.25">
      <c r="A209" s="1" t="s">
        <v>221</v>
      </c>
      <c r="B209" s="4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6" t="str">
        <f t="shared" si="7"/>
        <v>Mar</v>
      </c>
      <c r="O209" s="1">
        <v>121.96</v>
      </c>
      <c r="T209" s="4"/>
      <c r="U209" s="1" t="str">
        <f t="shared" si="8"/>
        <v>Normal</v>
      </c>
    </row>
    <row r="210" spans="1:21" x14ac:dyDescent="0.25">
      <c r="A210" s="1" t="s">
        <v>222</v>
      </c>
      <c r="B210" s="4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6" t="str">
        <f t="shared" si="7"/>
        <v>Oct</v>
      </c>
      <c r="O210" s="1">
        <v>816.64</v>
      </c>
      <c r="T210" s="4"/>
      <c r="U210" s="1" t="str">
        <f t="shared" si="8"/>
        <v>Normal</v>
      </c>
    </row>
    <row r="211" spans="1:21" x14ac:dyDescent="0.25">
      <c r="A211" s="1" t="s">
        <v>223</v>
      </c>
      <c r="B211" s="4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6" t="str">
        <f t="shared" si="7"/>
        <v>Aug</v>
      </c>
      <c r="O211" s="1">
        <v>939.85</v>
      </c>
      <c r="T211" s="4"/>
      <c r="U211" s="1" t="str">
        <f t="shared" si="8"/>
        <v>Normal</v>
      </c>
    </row>
    <row r="212" spans="1:21" x14ac:dyDescent="0.25">
      <c r="A212" s="1" t="s">
        <v>224</v>
      </c>
      <c r="B212" s="4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6" t="str">
        <f t="shared" si="7"/>
        <v>Dec</v>
      </c>
      <c r="O212" s="1">
        <v>1075.44</v>
      </c>
      <c r="T212" s="4"/>
      <c r="U212" s="1" t="str">
        <f t="shared" si="8"/>
        <v>Normal</v>
      </c>
    </row>
    <row r="213" spans="1:21" x14ac:dyDescent="0.25">
      <c r="A213" s="1" t="s">
        <v>225</v>
      </c>
      <c r="B213" s="4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6" t="str">
        <f t="shared" si="7"/>
        <v>Jan</v>
      </c>
      <c r="O213" s="1">
        <v>580.74</v>
      </c>
      <c r="T213" s="4"/>
      <c r="U213" s="1" t="str">
        <f t="shared" si="8"/>
        <v>Normal</v>
      </c>
    </row>
    <row r="214" spans="1:21" x14ac:dyDescent="0.25">
      <c r="A214" s="1" t="s">
        <v>226</v>
      </c>
      <c r="B214" s="4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6" t="str">
        <f t="shared" si="7"/>
        <v>Jun</v>
      </c>
      <c r="O214" s="1">
        <v>265.38</v>
      </c>
      <c r="T214" s="4"/>
      <c r="U214" s="1" t="str">
        <f t="shared" si="8"/>
        <v>Normal</v>
      </c>
    </row>
    <row r="215" spans="1:21" x14ac:dyDescent="0.25">
      <c r="A215" s="1" t="s">
        <v>227</v>
      </c>
      <c r="B215" s="4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6" t="str">
        <f t="shared" si="7"/>
        <v>Apr</v>
      </c>
      <c r="O215" s="1">
        <v>634.4</v>
      </c>
      <c r="T215" s="4"/>
      <c r="U215" s="1" t="str">
        <f t="shared" si="8"/>
        <v>Normal</v>
      </c>
    </row>
    <row r="216" spans="1:21" x14ac:dyDescent="0.25">
      <c r="A216" s="1" t="s">
        <v>228</v>
      </c>
      <c r="B216" s="4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6" t="str">
        <f t="shared" si="7"/>
        <v>Aug</v>
      </c>
      <c r="O216" s="1">
        <v>1222.8800000000001</v>
      </c>
      <c r="T216" s="4"/>
      <c r="U216" s="1" t="str">
        <f t="shared" si="8"/>
        <v>Normal</v>
      </c>
    </row>
    <row r="217" spans="1:21" x14ac:dyDescent="0.25">
      <c r="A217" s="1" t="s">
        <v>229</v>
      </c>
      <c r="B217" s="4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6" t="str">
        <f t="shared" si="7"/>
        <v>Aug</v>
      </c>
      <c r="O217" s="1">
        <v>303.60000000000002</v>
      </c>
      <c r="T217" s="4"/>
      <c r="U217" s="1" t="str">
        <f t="shared" si="8"/>
        <v>Normal</v>
      </c>
    </row>
    <row r="218" spans="1:21" x14ac:dyDescent="0.25">
      <c r="A218" s="1" t="s">
        <v>230</v>
      </c>
      <c r="B218" s="4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6" t="str">
        <f t="shared" si="7"/>
        <v>Apr</v>
      </c>
      <c r="O218" s="1">
        <v>1984</v>
      </c>
      <c r="T218" s="4"/>
      <c r="U218" s="1" t="str">
        <f t="shared" si="8"/>
        <v>Normal</v>
      </c>
    </row>
    <row r="219" spans="1:21" x14ac:dyDescent="0.25">
      <c r="A219" s="1" t="s">
        <v>231</v>
      </c>
      <c r="B219" s="4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6" t="str">
        <f t="shared" si="7"/>
        <v>May</v>
      </c>
      <c r="O219" s="1">
        <v>1286.04</v>
      </c>
      <c r="T219" s="4"/>
      <c r="U219" s="1" t="str">
        <f t="shared" si="8"/>
        <v>Normal</v>
      </c>
    </row>
    <row r="220" spans="1:21" x14ac:dyDescent="0.25">
      <c r="A220" s="1" t="s">
        <v>232</v>
      </c>
      <c r="B220" s="4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6" t="str">
        <f t="shared" si="7"/>
        <v>Apr</v>
      </c>
      <c r="O220" s="1">
        <v>337.38</v>
      </c>
      <c r="T220" s="4"/>
      <c r="U220" s="1" t="str">
        <f t="shared" si="8"/>
        <v>Normal</v>
      </c>
    </row>
    <row r="221" spans="1:21" x14ac:dyDescent="0.25">
      <c r="A221" s="1" t="s">
        <v>233</v>
      </c>
      <c r="B221" s="4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6" t="str">
        <f t="shared" si="7"/>
        <v>May</v>
      </c>
      <c r="O221" s="1">
        <v>309.85000000000002</v>
      </c>
      <c r="T221" s="4"/>
      <c r="U221" s="1" t="str">
        <f t="shared" si="8"/>
        <v>Normal</v>
      </c>
    </row>
    <row r="222" spans="1:21" x14ac:dyDescent="0.25">
      <c r="A222" s="1" t="s">
        <v>234</v>
      </c>
      <c r="B222" s="4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6" t="str">
        <f t="shared" si="7"/>
        <v>Jul</v>
      </c>
      <c r="O222" s="1">
        <v>746.34</v>
      </c>
      <c r="T222" s="4"/>
      <c r="U222" s="1" t="str">
        <f t="shared" si="8"/>
        <v>Normal</v>
      </c>
    </row>
    <row r="223" spans="1:21" x14ac:dyDescent="0.25">
      <c r="A223" s="1" t="s">
        <v>235</v>
      </c>
      <c r="B223" s="4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6" t="str">
        <f t="shared" si="7"/>
        <v>Feb</v>
      </c>
      <c r="O223" s="1">
        <v>3196.85</v>
      </c>
      <c r="T223" s="4"/>
      <c r="U223" s="1" t="str">
        <f t="shared" si="8"/>
        <v>Normal</v>
      </c>
    </row>
    <row r="224" spans="1:21" x14ac:dyDescent="0.25">
      <c r="A224" s="1" t="s">
        <v>236</v>
      </c>
      <c r="B224" s="4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6" t="str">
        <f t="shared" si="7"/>
        <v>May</v>
      </c>
      <c r="O224" s="1">
        <v>2773.44</v>
      </c>
      <c r="T224" s="4"/>
      <c r="U224" s="1" t="str">
        <f t="shared" si="8"/>
        <v>Normal</v>
      </c>
    </row>
    <row r="225" spans="1:21" x14ac:dyDescent="0.25">
      <c r="A225" s="1" t="s">
        <v>237</v>
      </c>
      <c r="B225" s="4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6" t="str">
        <f t="shared" si="7"/>
        <v>Sep</v>
      </c>
      <c r="O225" s="1">
        <v>2771.64</v>
      </c>
      <c r="T225" s="4"/>
      <c r="U225" s="1" t="str">
        <f t="shared" si="8"/>
        <v>Normal</v>
      </c>
    </row>
    <row r="226" spans="1:21" x14ac:dyDescent="0.25">
      <c r="A226" s="1" t="s">
        <v>238</v>
      </c>
      <c r="B226" s="4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6" t="str">
        <f t="shared" si="7"/>
        <v>Sep</v>
      </c>
      <c r="O226" s="1">
        <v>365.84</v>
      </c>
      <c r="T226" s="4"/>
      <c r="U226" s="1" t="str">
        <f t="shared" si="8"/>
        <v>Normal</v>
      </c>
    </row>
    <row r="227" spans="1:21" x14ac:dyDescent="0.25">
      <c r="A227" s="1" t="s">
        <v>239</v>
      </c>
      <c r="B227" s="4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6" t="str">
        <f t="shared" si="7"/>
        <v>Mar</v>
      </c>
      <c r="O227" s="1">
        <v>821.87999999999988</v>
      </c>
      <c r="T227" s="4"/>
      <c r="U227" s="1" t="str">
        <f t="shared" si="8"/>
        <v>Normal</v>
      </c>
    </row>
    <row r="228" spans="1:21" x14ac:dyDescent="0.25">
      <c r="A228" s="1" t="s">
        <v>240</v>
      </c>
      <c r="B228" s="4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6" t="str">
        <f t="shared" si="7"/>
        <v>Jun</v>
      </c>
      <c r="O228" s="1">
        <v>1764.15</v>
      </c>
      <c r="T228" s="4"/>
      <c r="U228" s="1" t="str">
        <f t="shared" si="8"/>
        <v>Normal</v>
      </c>
    </row>
    <row r="229" spans="1:21" x14ac:dyDescent="0.25">
      <c r="A229" s="1" t="s">
        <v>241</v>
      </c>
      <c r="B229" s="4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6" t="str">
        <f t="shared" si="7"/>
        <v>Nov</v>
      </c>
      <c r="O229" s="1">
        <v>730.34</v>
      </c>
      <c r="T229" s="4"/>
      <c r="U229" s="1" t="str">
        <f t="shared" si="8"/>
        <v>Normal</v>
      </c>
    </row>
    <row r="230" spans="1:21" x14ac:dyDescent="0.25">
      <c r="A230" s="1" t="s">
        <v>242</v>
      </c>
      <c r="B230" s="4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6" t="str">
        <f t="shared" si="7"/>
        <v>May</v>
      </c>
      <c r="O230" s="1">
        <v>1543.68</v>
      </c>
      <c r="T230" s="4"/>
      <c r="U230" s="1" t="str">
        <f t="shared" si="8"/>
        <v>Normal</v>
      </c>
    </row>
    <row r="231" spans="1:21" x14ac:dyDescent="0.25">
      <c r="A231" s="1" t="s">
        <v>243</v>
      </c>
      <c r="B231" s="4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6" t="str">
        <f t="shared" si="7"/>
        <v>Mar</v>
      </c>
      <c r="O231" s="1">
        <v>562.61</v>
      </c>
      <c r="T231" s="4"/>
      <c r="U231" s="1" t="str">
        <f t="shared" si="8"/>
        <v>Normal</v>
      </c>
    </row>
    <row r="232" spans="1:21" x14ac:dyDescent="0.25">
      <c r="A232" s="1" t="s">
        <v>244</v>
      </c>
      <c r="B232" s="4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6" t="str">
        <f t="shared" si="7"/>
        <v>Dec</v>
      </c>
      <c r="O232" s="1">
        <v>247.64</v>
      </c>
      <c r="T232" s="4"/>
      <c r="U232" s="1" t="str">
        <f t="shared" si="8"/>
        <v>Normal</v>
      </c>
    </row>
    <row r="233" spans="1:21" x14ac:dyDescent="0.25">
      <c r="A233" s="1" t="s">
        <v>245</v>
      </c>
      <c r="B233" s="4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6" t="str">
        <f t="shared" si="7"/>
        <v>Nov</v>
      </c>
      <c r="O233" s="1">
        <v>167.6</v>
      </c>
      <c r="T233" s="4"/>
      <c r="U233" s="1" t="str">
        <f t="shared" si="8"/>
        <v>Normal</v>
      </c>
    </row>
    <row r="234" spans="1:21" x14ac:dyDescent="0.25">
      <c r="A234" s="1" t="s">
        <v>246</v>
      </c>
      <c r="B234" s="4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6" t="str">
        <f t="shared" si="7"/>
        <v>May</v>
      </c>
      <c r="O234" s="1">
        <v>1777.76</v>
      </c>
      <c r="T234" s="4"/>
      <c r="U234" s="1" t="str">
        <f t="shared" si="8"/>
        <v>Normal</v>
      </c>
    </row>
    <row r="235" spans="1:21" x14ac:dyDescent="0.25">
      <c r="A235" s="1" t="s">
        <v>247</v>
      </c>
      <c r="B235" s="4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6" t="str">
        <f t="shared" si="7"/>
        <v>Aug</v>
      </c>
      <c r="O235" s="1">
        <v>933.99</v>
      </c>
      <c r="T235" s="4"/>
      <c r="U235" s="1" t="str">
        <f t="shared" si="8"/>
        <v>Normal</v>
      </c>
    </row>
    <row r="236" spans="1:21" x14ac:dyDescent="0.25">
      <c r="A236" s="1" t="s">
        <v>248</v>
      </c>
      <c r="B236" s="4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6" t="str">
        <f t="shared" si="7"/>
        <v>Nov</v>
      </c>
      <c r="O236" s="1">
        <v>945.64</v>
      </c>
      <c r="T236" s="4"/>
      <c r="U236" s="1" t="str">
        <f t="shared" si="8"/>
        <v>Normal</v>
      </c>
    </row>
    <row r="237" spans="1:21" x14ac:dyDescent="0.25">
      <c r="A237" s="1" t="s">
        <v>249</v>
      </c>
      <c r="B237" s="4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6" t="str">
        <f t="shared" si="7"/>
        <v>Feb</v>
      </c>
      <c r="O237" s="1">
        <v>65.45</v>
      </c>
      <c r="T237" s="4"/>
      <c r="U237" s="1" t="str">
        <f t="shared" si="8"/>
        <v>Normal</v>
      </c>
    </row>
    <row r="238" spans="1:21" x14ac:dyDescent="0.25">
      <c r="A238" s="1" t="s">
        <v>250</v>
      </c>
      <c r="B238" s="4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6" t="str">
        <f t="shared" si="7"/>
        <v>Jan</v>
      </c>
      <c r="O238" s="1">
        <v>318.81</v>
      </c>
      <c r="T238" s="4"/>
      <c r="U238" s="1" t="str">
        <f t="shared" si="8"/>
        <v>Normal</v>
      </c>
    </row>
    <row r="239" spans="1:21" x14ac:dyDescent="0.25">
      <c r="A239" s="1" t="s">
        <v>251</v>
      </c>
      <c r="B239" s="4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6" t="str">
        <f t="shared" si="7"/>
        <v>Mar</v>
      </c>
      <c r="O239" s="1">
        <v>1751.16</v>
      </c>
      <c r="T239" s="4"/>
      <c r="U239" s="1" t="str">
        <f t="shared" si="8"/>
        <v>Normal</v>
      </c>
    </row>
    <row r="240" spans="1:21" x14ac:dyDescent="0.25">
      <c r="A240" s="1" t="s">
        <v>252</v>
      </c>
      <c r="B240" s="4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6" t="str">
        <f t="shared" si="7"/>
        <v>Dec</v>
      </c>
      <c r="O240" s="1">
        <v>1537.28</v>
      </c>
      <c r="T240" s="4"/>
      <c r="U240" s="1" t="str">
        <f t="shared" si="8"/>
        <v>Normal</v>
      </c>
    </row>
    <row r="241" spans="1:21" x14ac:dyDescent="0.25">
      <c r="A241" s="1" t="s">
        <v>253</v>
      </c>
      <c r="B241" s="4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6" t="str">
        <f t="shared" si="7"/>
        <v>Dec</v>
      </c>
      <c r="O241" s="1">
        <v>1616.22</v>
      </c>
      <c r="T241" s="4"/>
      <c r="U241" s="1" t="str">
        <f t="shared" si="8"/>
        <v>Normal</v>
      </c>
    </row>
    <row r="242" spans="1:21" x14ac:dyDescent="0.25">
      <c r="A242" s="1" t="s">
        <v>254</v>
      </c>
      <c r="B242" s="4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6" t="str">
        <f t="shared" si="7"/>
        <v>Jul</v>
      </c>
      <c r="O242" s="1">
        <v>17.239999999999998</v>
      </c>
      <c r="T242" s="4"/>
      <c r="U242" s="1" t="str">
        <f t="shared" si="8"/>
        <v>Normal</v>
      </c>
    </row>
    <row r="243" spans="1:21" x14ac:dyDescent="0.25">
      <c r="A243" s="1" t="s">
        <v>255</v>
      </c>
      <c r="B243" s="4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6" t="str">
        <f t="shared" si="7"/>
        <v>May</v>
      </c>
      <c r="O243" s="1">
        <v>3078.35</v>
      </c>
      <c r="T243" s="4"/>
      <c r="U243" s="1" t="str">
        <f t="shared" si="8"/>
        <v>Normal</v>
      </c>
    </row>
    <row r="244" spans="1:21" x14ac:dyDescent="0.25">
      <c r="A244" s="1" t="s">
        <v>256</v>
      </c>
      <c r="B244" s="4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6" t="str">
        <f t="shared" si="7"/>
        <v>May</v>
      </c>
      <c r="O244" s="1">
        <v>438.2</v>
      </c>
      <c r="T244" s="4"/>
      <c r="U244" s="1" t="str">
        <f t="shared" si="8"/>
        <v>Normal</v>
      </c>
    </row>
    <row r="245" spans="1:21" x14ac:dyDescent="0.25">
      <c r="A245" s="1" t="s">
        <v>257</v>
      </c>
      <c r="B245" s="4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6" t="str">
        <f t="shared" si="7"/>
        <v>May</v>
      </c>
      <c r="O245" s="1">
        <v>289.32</v>
      </c>
      <c r="T245" s="4"/>
      <c r="U245" s="1" t="str">
        <f t="shared" si="8"/>
        <v>Normal</v>
      </c>
    </row>
    <row r="246" spans="1:21" x14ac:dyDescent="0.25">
      <c r="A246" s="1" t="s">
        <v>258</v>
      </c>
      <c r="B246" s="4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6" t="str">
        <f t="shared" si="7"/>
        <v>Feb</v>
      </c>
      <c r="O246" s="1">
        <v>635.54</v>
      </c>
      <c r="T246" s="4"/>
      <c r="U246" s="1" t="str">
        <f t="shared" si="8"/>
        <v>Normal</v>
      </c>
    </row>
    <row r="247" spans="1:21" x14ac:dyDescent="0.25">
      <c r="A247" s="1" t="s">
        <v>259</v>
      </c>
      <c r="B247" s="4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6" t="str">
        <f t="shared" si="7"/>
        <v>Apr</v>
      </c>
      <c r="O247" s="1">
        <v>223.3</v>
      </c>
      <c r="T247" s="4"/>
      <c r="U247" s="1" t="str">
        <f t="shared" si="8"/>
        <v>Normal</v>
      </c>
    </row>
    <row r="248" spans="1:21" x14ac:dyDescent="0.25">
      <c r="A248" s="1" t="s">
        <v>260</v>
      </c>
      <c r="B248" s="4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6" t="str">
        <f t="shared" si="7"/>
        <v>Aug</v>
      </c>
      <c r="O248" s="1">
        <v>684.22</v>
      </c>
      <c r="T248" s="4"/>
      <c r="U248" s="1" t="str">
        <f t="shared" si="8"/>
        <v>Normal</v>
      </c>
    </row>
    <row r="249" spans="1:21" x14ac:dyDescent="0.25">
      <c r="A249" s="1" t="s">
        <v>261</v>
      </c>
      <c r="B249" s="4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6" t="str">
        <f t="shared" si="7"/>
        <v>Jul</v>
      </c>
      <c r="O249" s="1">
        <v>441.8</v>
      </c>
      <c r="T249" s="4"/>
      <c r="U249" s="1" t="str">
        <f t="shared" si="8"/>
        <v>Normal</v>
      </c>
    </row>
    <row r="250" spans="1:21" x14ac:dyDescent="0.25">
      <c r="A250" s="1" t="s">
        <v>262</v>
      </c>
      <c r="B250" s="4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6" t="str">
        <f t="shared" si="7"/>
        <v>Jul</v>
      </c>
      <c r="O250" s="1">
        <v>670.54</v>
      </c>
      <c r="T250" s="4"/>
      <c r="U250" s="1" t="str">
        <f t="shared" si="8"/>
        <v>Normal</v>
      </c>
    </row>
    <row r="251" spans="1:21" x14ac:dyDescent="0.25">
      <c r="A251" s="1" t="s">
        <v>263</v>
      </c>
      <c r="B251" s="4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6" t="str">
        <f t="shared" si="7"/>
        <v>Feb</v>
      </c>
      <c r="O251" s="1">
        <v>546.19000000000005</v>
      </c>
      <c r="T251" s="4"/>
      <c r="U251" s="1" t="str">
        <f t="shared" si="8"/>
        <v>Normal</v>
      </c>
    </row>
    <row r="252" spans="1:21" x14ac:dyDescent="0.25">
      <c r="A252" s="1" t="s">
        <v>264</v>
      </c>
      <c r="B252" s="4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6" t="str">
        <f t="shared" si="7"/>
        <v>Apr</v>
      </c>
      <c r="O252" s="1">
        <v>128.85</v>
      </c>
      <c r="T252" s="4"/>
      <c r="U252" s="1" t="str">
        <f t="shared" si="8"/>
        <v>Normal</v>
      </c>
    </row>
    <row r="253" spans="1:21" x14ac:dyDescent="0.25">
      <c r="A253" s="1" t="s">
        <v>265</v>
      </c>
      <c r="B253" s="4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6" t="str">
        <f t="shared" si="7"/>
        <v>May</v>
      </c>
      <c r="O253" s="1">
        <v>58.76</v>
      </c>
      <c r="T253" s="4"/>
      <c r="U253" s="1" t="str">
        <f t="shared" si="8"/>
        <v>Normal</v>
      </c>
    </row>
    <row r="254" spans="1:21" x14ac:dyDescent="0.25">
      <c r="A254" s="1" t="s">
        <v>266</v>
      </c>
      <c r="B254" s="4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6" t="str">
        <f t="shared" si="7"/>
        <v>Sep</v>
      </c>
      <c r="O254" s="1">
        <v>2673.44</v>
      </c>
      <c r="T254" s="4"/>
      <c r="U254" s="1" t="str">
        <f t="shared" si="8"/>
        <v>Normal</v>
      </c>
    </row>
    <row r="255" spans="1:21" x14ac:dyDescent="0.25">
      <c r="A255" s="1" t="s">
        <v>267</v>
      </c>
      <c r="B255" s="4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6" t="str">
        <f t="shared" si="7"/>
        <v>Mar</v>
      </c>
      <c r="O255" s="1">
        <v>1654.96</v>
      </c>
      <c r="T255" s="4"/>
      <c r="U255" s="1" t="str">
        <f t="shared" si="8"/>
        <v>Normal</v>
      </c>
    </row>
    <row r="256" spans="1:21" x14ac:dyDescent="0.25">
      <c r="A256" s="1" t="s">
        <v>268</v>
      </c>
      <c r="B256" s="4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6" t="str">
        <f t="shared" si="7"/>
        <v>Dec</v>
      </c>
      <c r="O256" s="1">
        <v>789.56999999999994</v>
      </c>
      <c r="T256" s="4"/>
      <c r="U256" s="1" t="str">
        <f t="shared" si="8"/>
        <v>Normal</v>
      </c>
    </row>
    <row r="257" spans="1:21" x14ac:dyDescent="0.25">
      <c r="A257" s="1" t="s">
        <v>269</v>
      </c>
      <c r="B257" s="4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6" t="str">
        <f t="shared" si="7"/>
        <v>May</v>
      </c>
      <c r="O257" s="1">
        <v>263.95999999999998</v>
      </c>
      <c r="T257" s="4"/>
      <c r="U257" s="1" t="str">
        <f t="shared" si="8"/>
        <v>Normal</v>
      </c>
    </row>
    <row r="258" spans="1:21" x14ac:dyDescent="0.25">
      <c r="A258" s="1" t="s">
        <v>270</v>
      </c>
      <c r="B258" s="4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6" t="str">
        <f t="shared" ref="N258:N321" si="9">TEXT(B258,"MMM")</f>
        <v>Jun</v>
      </c>
      <c r="O258" s="1">
        <v>379.05</v>
      </c>
      <c r="T258" s="4"/>
      <c r="U258" s="1" t="str">
        <f t="shared" si="8"/>
        <v>Normal</v>
      </c>
    </row>
    <row r="259" spans="1:21" x14ac:dyDescent="0.25">
      <c r="A259" s="1" t="s">
        <v>271</v>
      </c>
      <c r="B259" s="4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6" t="str">
        <f t="shared" si="9"/>
        <v>Apr</v>
      </c>
      <c r="O259" s="1">
        <v>406.22</v>
      </c>
      <c r="T259" s="4"/>
      <c r="U259" s="1" t="str">
        <f t="shared" ref="U259:U322" si="10">IF(O259&gt;$S$2,"Outlier","Normal")</f>
        <v>Normal</v>
      </c>
    </row>
    <row r="260" spans="1:21" x14ac:dyDescent="0.25">
      <c r="A260" s="1" t="s">
        <v>272</v>
      </c>
      <c r="B260" s="4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6" t="str">
        <f t="shared" si="9"/>
        <v>Feb</v>
      </c>
      <c r="O260" s="1">
        <v>206.82</v>
      </c>
      <c r="T260" s="4"/>
      <c r="U260" s="1" t="str">
        <f t="shared" si="10"/>
        <v>Normal</v>
      </c>
    </row>
    <row r="261" spans="1:21" x14ac:dyDescent="0.25">
      <c r="A261" s="1" t="s">
        <v>273</v>
      </c>
      <c r="B261" s="4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6" t="str">
        <f t="shared" si="9"/>
        <v>Jun</v>
      </c>
      <c r="O261" s="1">
        <v>1740.48</v>
      </c>
      <c r="T261" s="4"/>
      <c r="U261" s="1" t="str">
        <f t="shared" si="10"/>
        <v>Normal</v>
      </c>
    </row>
    <row r="262" spans="1:21" x14ac:dyDescent="0.25">
      <c r="A262" s="1" t="s">
        <v>274</v>
      </c>
      <c r="B262" s="4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6" t="str">
        <f t="shared" si="9"/>
        <v>May</v>
      </c>
      <c r="O262" s="1">
        <v>815.58</v>
      </c>
      <c r="T262" s="4"/>
      <c r="U262" s="1" t="str">
        <f t="shared" si="10"/>
        <v>Normal</v>
      </c>
    </row>
    <row r="263" spans="1:21" x14ac:dyDescent="0.25">
      <c r="A263" s="1" t="s">
        <v>275</v>
      </c>
      <c r="B263" s="4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6" t="str">
        <f t="shared" si="9"/>
        <v>May</v>
      </c>
      <c r="O263" s="1">
        <v>868.25</v>
      </c>
      <c r="T263" s="4"/>
      <c r="U263" s="1" t="str">
        <f t="shared" si="10"/>
        <v>Normal</v>
      </c>
    </row>
    <row r="264" spans="1:21" x14ac:dyDescent="0.25">
      <c r="A264" s="1" t="s">
        <v>276</v>
      </c>
      <c r="B264" s="4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6" t="str">
        <f t="shared" si="9"/>
        <v>Jan</v>
      </c>
      <c r="O264" s="1">
        <v>996.28</v>
      </c>
      <c r="T264" s="4"/>
      <c r="U264" s="1" t="str">
        <f t="shared" si="10"/>
        <v>Normal</v>
      </c>
    </row>
    <row r="265" spans="1:21" x14ac:dyDescent="0.25">
      <c r="A265" s="1" t="s">
        <v>277</v>
      </c>
      <c r="B265" s="4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6" t="str">
        <f t="shared" si="9"/>
        <v>Mar</v>
      </c>
      <c r="O265" s="1">
        <v>1739.4</v>
      </c>
      <c r="T265" s="4"/>
      <c r="U265" s="1" t="str">
        <f t="shared" si="10"/>
        <v>Normal</v>
      </c>
    </row>
    <row r="266" spans="1:21" x14ac:dyDescent="0.25">
      <c r="A266" s="1" t="s">
        <v>278</v>
      </c>
      <c r="B266" s="4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6" t="str">
        <f t="shared" si="9"/>
        <v>Aug</v>
      </c>
      <c r="O266" s="1">
        <v>436.77</v>
      </c>
      <c r="T266" s="4"/>
      <c r="U266" s="1" t="str">
        <f t="shared" si="10"/>
        <v>Normal</v>
      </c>
    </row>
    <row r="267" spans="1:21" x14ac:dyDescent="0.25">
      <c r="A267" s="1" t="s">
        <v>279</v>
      </c>
      <c r="B267" s="4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6" t="str">
        <f t="shared" si="9"/>
        <v>Dec</v>
      </c>
      <c r="O267" s="1">
        <v>572.13</v>
      </c>
      <c r="T267" s="4"/>
      <c r="U267" s="1" t="str">
        <f t="shared" si="10"/>
        <v>Normal</v>
      </c>
    </row>
    <row r="268" spans="1:21" x14ac:dyDescent="0.25">
      <c r="A268" s="1" t="s">
        <v>280</v>
      </c>
      <c r="B268" s="4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6" t="str">
        <f t="shared" si="9"/>
        <v>Jun</v>
      </c>
      <c r="O268" s="1">
        <v>2332.2800000000002</v>
      </c>
      <c r="T268" s="4"/>
      <c r="U268" s="1" t="str">
        <f t="shared" si="10"/>
        <v>Normal</v>
      </c>
    </row>
    <row r="269" spans="1:21" x14ac:dyDescent="0.25">
      <c r="A269" s="1" t="s">
        <v>281</v>
      </c>
      <c r="B269" s="4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6" t="str">
        <f t="shared" si="9"/>
        <v>Apr</v>
      </c>
      <c r="O269" s="1">
        <v>2342.5500000000002</v>
      </c>
      <c r="T269" s="4"/>
      <c r="U269" s="1" t="str">
        <f t="shared" si="10"/>
        <v>Normal</v>
      </c>
    </row>
    <row r="270" spans="1:21" x14ac:dyDescent="0.25">
      <c r="A270" s="1" t="s">
        <v>282</v>
      </c>
      <c r="B270" s="4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6" t="str">
        <f t="shared" si="9"/>
        <v>Aug</v>
      </c>
      <c r="O270" s="1">
        <v>847.76</v>
      </c>
      <c r="T270" s="4"/>
      <c r="U270" s="1" t="str">
        <f t="shared" si="10"/>
        <v>Normal</v>
      </c>
    </row>
    <row r="271" spans="1:21" x14ac:dyDescent="0.25">
      <c r="A271" s="1" t="s">
        <v>283</v>
      </c>
      <c r="B271" s="4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6" t="str">
        <f t="shared" si="9"/>
        <v>Nov</v>
      </c>
      <c r="O271" s="1">
        <v>2654.68</v>
      </c>
      <c r="T271" s="4"/>
      <c r="U271" s="1" t="str">
        <f t="shared" si="10"/>
        <v>Normal</v>
      </c>
    </row>
    <row r="272" spans="1:21" x14ac:dyDescent="0.25">
      <c r="A272" s="1" t="s">
        <v>284</v>
      </c>
      <c r="B272" s="4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6" t="str">
        <f t="shared" si="9"/>
        <v>Jun</v>
      </c>
      <c r="O272" s="1">
        <v>1239.6400000000001</v>
      </c>
      <c r="T272" s="4"/>
      <c r="U272" s="1" t="str">
        <f t="shared" si="10"/>
        <v>Normal</v>
      </c>
    </row>
    <row r="273" spans="1:21" x14ac:dyDescent="0.25">
      <c r="A273" s="1" t="s">
        <v>285</v>
      </c>
      <c r="B273" s="4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6" t="str">
        <f t="shared" si="9"/>
        <v>Mar</v>
      </c>
      <c r="O273" s="1">
        <v>542.07000000000005</v>
      </c>
      <c r="T273" s="4"/>
      <c r="U273" s="1" t="str">
        <f t="shared" si="10"/>
        <v>Normal</v>
      </c>
    </row>
    <row r="274" spans="1:21" x14ac:dyDescent="0.25">
      <c r="A274" s="1" t="s">
        <v>286</v>
      </c>
      <c r="B274" s="4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6" t="str">
        <f t="shared" si="9"/>
        <v>Sep</v>
      </c>
      <c r="O274" s="1">
        <v>798.64</v>
      </c>
      <c r="T274" s="4"/>
      <c r="U274" s="1" t="str">
        <f t="shared" si="10"/>
        <v>Normal</v>
      </c>
    </row>
    <row r="275" spans="1:21" x14ac:dyDescent="0.25">
      <c r="A275" s="1" t="s">
        <v>287</v>
      </c>
      <c r="B275" s="4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6" t="str">
        <f t="shared" si="9"/>
        <v>Oct</v>
      </c>
      <c r="O275" s="1">
        <v>476.5</v>
      </c>
      <c r="T275" s="4"/>
      <c r="U275" s="1" t="str">
        <f t="shared" si="10"/>
        <v>Normal</v>
      </c>
    </row>
    <row r="276" spans="1:21" x14ac:dyDescent="0.25">
      <c r="A276" s="1" t="s">
        <v>288</v>
      </c>
      <c r="B276" s="4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6" t="str">
        <f t="shared" si="9"/>
        <v>Feb</v>
      </c>
      <c r="O276" s="1">
        <v>364.8</v>
      </c>
      <c r="T276" s="4"/>
      <c r="U276" s="1" t="str">
        <f t="shared" si="10"/>
        <v>Normal</v>
      </c>
    </row>
    <row r="277" spans="1:21" x14ac:dyDescent="0.25">
      <c r="A277" s="1" t="s">
        <v>289</v>
      </c>
      <c r="B277" s="4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6" t="str">
        <f t="shared" si="9"/>
        <v>Nov</v>
      </c>
      <c r="O277" s="1">
        <v>130.13999999999999</v>
      </c>
      <c r="T277" s="4"/>
      <c r="U277" s="1" t="str">
        <f t="shared" si="10"/>
        <v>Normal</v>
      </c>
    </row>
    <row r="278" spans="1:21" x14ac:dyDescent="0.25">
      <c r="A278" s="1" t="s">
        <v>290</v>
      </c>
      <c r="B278" s="4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6" t="str">
        <f t="shared" si="9"/>
        <v>Mar</v>
      </c>
      <c r="O278" s="1">
        <v>1201.1400000000001</v>
      </c>
      <c r="T278" s="4"/>
      <c r="U278" s="1" t="str">
        <f t="shared" si="10"/>
        <v>Normal</v>
      </c>
    </row>
    <row r="279" spans="1:21" x14ac:dyDescent="0.25">
      <c r="A279" s="1" t="s">
        <v>291</v>
      </c>
      <c r="B279" s="4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6" t="str">
        <f t="shared" si="9"/>
        <v>Sep</v>
      </c>
      <c r="O279" s="1">
        <v>454.6</v>
      </c>
      <c r="T279" s="4"/>
      <c r="U279" s="1" t="str">
        <f t="shared" si="10"/>
        <v>Normal</v>
      </c>
    </row>
    <row r="280" spans="1:21" x14ac:dyDescent="0.25">
      <c r="A280" s="1" t="s">
        <v>292</v>
      </c>
      <c r="B280" s="4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6" t="str">
        <f t="shared" si="9"/>
        <v>Nov</v>
      </c>
      <c r="O280" s="1">
        <v>1812.3</v>
      </c>
      <c r="T280" s="4"/>
      <c r="U280" s="1" t="str">
        <f t="shared" si="10"/>
        <v>Normal</v>
      </c>
    </row>
    <row r="281" spans="1:21" x14ac:dyDescent="0.25">
      <c r="A281" s="1" t="s">
        <v>293</v>
      </c>
      <c r="B281" s="4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6" t="str">
        <f t="shared" si="9"/>
        <v>Oct</v>
      </c>
      <c r="O281" s="1">
        <v>165.03</v>
      </c>
      <c r="T281" s="4"/>
      <c r="U281" s="1" t="str">
        <f t="shared" si="10"/>
        <v>Normal</v>
      </c>
    </row>
    <row r="282" spans="1:21" x14ac:dyDescent="0.25">
      <c r="A282" s="1" t="s">
        <v>294</v>
      </c>
      <c r="B282" s="4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6" t="str">
        <f t="shared" si="9"/>
        <v>Mar</v>
      </c>
      <c r="O282" s="1">
        <v>1213.8599999999999</v>
      </c>
      <c r="T282" s="4"/>
      <c r="U282" s="1" t="str">
        <f t="shared" si="10"/>
        <v>Normal</v>
      </c>
    </row>
    <row r="283" spans="1:21" x14ac:dyDescent="0.25">
      <c r="A283" s="1" t="s">
        <v>295</v>
      </c>
      <c r="B283" s="4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6" t="str">
        <f t="shared" si="9"/>
        <v>Jul</v>
      </c>
      <c r="O283" s="1">
        <v>2619.16</v>
      </c>
      <c r="T283" s="4"/>
      <c r="U283" s="1" t="str">
        <f t="shared" si="10"/>
        <v>Normal</v>
      </c>
    </row>
    <row r="284" spans="1:21" x14ac:dyDescent="0.25">
      <c r="A284" s="1" t="s">
        <v>296</v>
      </c>
      <c r="B284" s="4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6" t="str">
        <f t="shared" si="9"/>
        <v>Apr</v>
      </c>
      <c r="O284" s="1">
        <v>2551.16</v>
      </c>
      <c r="T284" s="4"/>
      <c r="U284" s="1" t="str">
        <f t="shared" si="10"/>
        <v>Normal</v>
      </c>
    </row>
    <row r="285" spans="1:21" x14ac:dyDescent="0.25">
      <c r="A285" s="1" t="s">
        <v>297</v>
      </c>
      <c r="B285" s="4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6" t="str">
        <f t="shared" si="9"/>
        <v>Feb</v>
      </c>
      <c r="O285" s="1">
        <v>2161.3200000000002</v>
      </c>
      <c r="T285" s="4"/>
      <c r="U285" s="1" t="str">
        <f t="shared" si="10"/>
        <v>Normal</v>
      </c>
    </row>
    <row r="286" spans="1:21" x14ac:dyDescent="0.25">
      <c r="A286" s="1" t="s">
        <v>298</v>
      </c>
      <c r="B286" s="4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6" t="str">
        <f t="shared" si="9"/>
        <v>Feb</v>
      </c>
      <c r="O286" s="1">
        <v>1040.8499999999999</v>
      </c>
      <c r="T286" s="4"/>
      <c r="U286" s="1" t="str">
        <f t="shared" si="10"/>
        <v>Normal</v>
      </c>
    </row>
    <row r="287" spans="1:21" x14ac:dyDescent="0.25">
      <c r="A287" s="1" t="s">
        <v>299</v>
      </c>
      <c r="B287" s="4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6" t="str">
        <f t="shared" si="9"/>
        <v>Jun</v>
      </c>
      <c r="O287" s="1">
        <v>338.31</v>
      </c>
      <c r="T287" s="4"/>
      <c r="U287" s="1" t="str">
        <f t="shared" si="10"/>
        <v>Normal</v>
      </c>
    </row>
    <row r="288" spans="1:21" x14ac:dyDescent="0.25">
      <c r="A288" s="1" t="s">
        <v>300</v>
      </c>
      <c r="B288" s="4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6" t="str">
        <f t="shared" si="9"/>
        <v>Apr</v>
      </c>
      <c r="O288" s="1">
        <v>418.35</v>
      </c>
      <c r="T288" s="4"/>
      <c r="U288" s="1" t="str">
        <f t="shared" si="10"/>
        <v>Normal</v>
      </c>
    </row>
    <row r="289" spans="1:21" x14ac:dyDescent="0.25">
      <c r="A289" s="1" t="s">
        <v>301</v>
      </c>
      <c r="B289" s="4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6" t="str">
        <f t="shared" si="9"/>
        <v>Nov</v>
      </c>
      <c r="O289" s="1">
        <v>2620.7199999999998</v>
      </c>
      <c r="T289" s="4"/>
      <c r="U289" s="1" t="str">
        <f t="shared" si="10"/>
        <v>Normal</v>
      </c>
    </row>
    <row r="290" spans="1:21" x14ac:dyDescent="0.25">
      <c r="A290" s="1" t="s">
        <v>302</v>
      </c>
      <c r="B290" s="4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6" t="str">
        <f t="shared" si="9"/>
        <v>Mar</v>
      </c>
      <c r="O290" s="1">
        <v>2051</v>
      </c>
      <c r="T290" s="4"/>
      <c r="U290" s="1" t="str">
        <f t="shared" si="10"/>
        <v>Normal</v>
      </c>
    </row>
    <row r="291" spans="1:21" x14ac:dyDescent="0.25">
      <c r="A291" s="1" t="s">
        <v>303</v>
      </c>
      <c r="B291" s="4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6" t="str">
        <f t="shared" si="9"/>
        <v>Jul</v>
      </c>
      <c r="O291" s="1">
        <v>641.96</v>
      </c>
      <c r="T291" s="4"/>
      <c r="U291" s="1" t="str">
        <f t="shared" si="10"/>
        <v>Normal</v>
      </c>
    </row>
    <row r="292" spans="1:21" x14ac:dyDescent="0.25">
      <c r="A292" s="1" t="s">
        <v>304</v>
      </c>
      <c r="B292" s="4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6" t="str">
        <f t="shared" si="9"/>
        <v>May</v>
      </c>
      <c r="O292" s="1">
        <v>299.7</v>
      </c>
      <c r="T292" s="4"/>
      <c r="U292" s="1" t="str">
        <f t="shared" si="10"/>
        <v>Normal</v>
      </c>
    </row>
    <row r="293" spans="1:21" x14ac:dyDescent="0.25">
      <c r="A293" s="1" t="s">
        <v>305</v>
      </c>
      <c r="B293" s="4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6" t="str">
        <f t="shared" si="9"/>
        <v>May</v>
      </c>
      <c r="O293" s="1">
        <v>690.02</v>
      </c>
      <c r="T293" s="4"/>
      <c r="U293" s="1" t="str">
        <f t="shared" si="10"/>
        <v>Normal</v>
      </c>
    </row>
    <row r="294" spans="1:21" x14ac:dyDescent="0.25">
      <c r="A294" s="1" t="s">
        <v>306</v>
      </c>
      <c r="B294" s="4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6" t="str">
        <f t="shared" si="9"/>
        <v>Jan</v>
      </c>
      <c r="O294" s="1">
        <v>65.95</v>
      </c>
      <c r="T294" s="4"/>
      <c r="U294" s="1" t="str">
        <f t="shared" si="10"/>
        <v>Normal</v>
      </c>
    </row>
    <row r="295" spans="1:21" x14ac:dyDescent="0.25">
      <c r="A295" s="1" t="s">
        <v>307</v>
      </c>
      <c r="B295" s="4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6" t="str">
        <f t="shared" si="9"/>
        <v>Feb</v>
      </c>
      <c r="O295" s="1">
        <v>1852.16</v>
      </c>
      <c r="T295" s="4"/>
      <c r="U295" s="1" t="str">
        <f t="shared" si="10"/>
        <v>Normal</v>
      </c>
    </row>
    <row r="296" spans="1:21" x14ac:dyDescent="0.25">
      <c r="A296" s="1" t="s">
        <v>308</v>
      </c>
      <c r="B296" s="4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6" t="str">
        <f t="shared" si="9"/>
        <v>Apr</v>
      </c>
      <c r="O296" s="1">
        <v>595.41999999999996</v>
      </c>
      <c r="T296" s="4"/>
      <c r="U296" s="1" t="str">
        <f t="shared" si="10"/>
        <v>Normal</v>
      </c>
    </row>
    <row r="297" spans="1:21" x14ac:dyDescent="0.25">
      <c r="A297" s="1" t="s">
        <v>309</v>
      </c>
      <c r="B297" s="4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6" t="str">
        <f t="shared" si="9"/>
        <v>Jan</v>
      </c>
      <c r="O297" s="1">
        <v>537.4</v>
      </c>
      <c r="T297" s="4"/>
      <c r="U297" s="1" t="str">
        <f t="shared" si="10"/>
        <v>Normal</v>
      </c>
    </row>
    <row r="298" spans="1:21" x14ac:dyDescent="0.25">
      <c r="A298" s="1" t="s">
        <v>310</v>
      </c>
      <c r="B298" s="4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6" t="str">
        <f t="shared" si="9"/>
        <v>Jun</v>
      </c>
      <c r="O298" s="1">
        <v>3194</v>
      </c>
      <c r="T298" s="4"/>
      <c r="U298" s="1" t="str">
        <f t="shared" si="10"/>
        <v>Normal</v>
      </c>
    </row>
    <row r="299" spans="1:21" x14ac:dyDescent="0.25">
      <c r="A299" s="1" t="s">
        <v>311</v>
      </c>
      <c r="B299" s="4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6" t="str">
        <f t="shared" si="9"/>
        <v>Feb</v>
      </c>
      <c r="O299" s="1">
        <v>987.76</v>
      </c>
      <c r="T299" s="4"/>
      <c r="U299" s="1" t="str">
        <f t="shared" si="10"/>
        <v>Normal</v>
      </c>
    </row>
    <row r="300" spans="1:21" x14ac:dyDescent="0.25">
      <c r="A300" s="1" t="s">
        <v>312</v>
      </c>
      <c r="B300" s="4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6" t="str">
        <f t="shared" si="9"/>
        <v>Dec</v>
      </c>
      <c r="O300" s="1">
        <v>1204.68</v>
      </c>
      <c r="T300" s="4"/>
      <c r="U300" s="1" t="str">
        <f t="shared" si="10"/>
        <v>Normal</v>
      </c>
    </row>
    <row r="301" spans="1:21" x14ac:dyDescent="0.25">
      <c r="A301" s="1" t="s">
        <v>313</v>
      </c>
      <c r="B301" s="4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6" t="str">
        <f t="shared" si="9"/>
        <v>Jan</v>
      </c>
      <c r="O301" s="1">
        <v>278.66000000000003</v>
      </c>
      <c r="T301" s="4"/>
      <c r="U301" s="1" t="str">
        <f t="shared" si="10"/>
        <v>Normal</v>
      </c>
    </row>
    <row r="302" spans="1:21" x14ac:dyDescent="0.25">
      <c r="A302" s="1" t="s">
        <v>314</v>
      </c>
      <c r="B302" s="4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6" t="str">
        <f t="shared" si="9"/>
        <v>Sep</v>
      </c>
      <c r="O302" s="1">
        <v>287.45999999999998</v>
      </c>
      <c r="T302" s="4"/>
      <c r="U302" s="1" t="str">
        <f t="shared" si="10"/>
        <v>Normal</v>
      </c>
    </row>
    <row r="303" spans="1:21" x14ac:dyDescent="0.25">
      <c r="A303" s="1" t="s">
        <v>315</v>
      </c>
      <c r="B303" s="4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6" t="str">
        <f t="shared" si="9"/>
        <v>May</v>
      </c>
      <c r="O303" s="1">
        <v>583.99</v>
      </c>
      <c r="T303" s="4"/>
      <c r="U303" s="1" t="str">
        <f t="shared" si="10"/>
        <v>Normal</v>
      </c>
    </row>
    <row r="304" spans="1:21" x14ac:dyDescent="0.25">
      <c r="A304" s="1" t="s">
        <v>316</v>
      </c>
      <c r="B304" s="4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6" t="str">
        <f t="shared" si="9"/>
        <v>May</v>
      </c>
      <c r="O304" s="1">
        <v>1406.22</v>
      </c>
      <c r="T304" s="4"/>
      <c r="U304" s="1" t="str">
        <f t="shared" si="10"/>
        <v>Normal</v>
      </c>
    </row>
    <row r="305" spans="1:21" x14ac:dyDescent="0.25">
      <c r="A305" s="1" t="s">
        <v>317</v>
      </c>
      <c r="B305" s="4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6" t="str">
        <f t="shared" si="9"/>
        <v>Dec</v>
      </c>
      <c r="O305" s="1">
        <v>30.54</v>
      </c>
      <c r="T305" s="4"/>
      <c r="U305" s="1" t="str">
        <f t="shared" si="10"/>
        <v>Normal</v>
      </c>
    </row>
    <row r="306" spans="1:21" x14ac:dyDescent="0.25">
      <c r="A306" s="1" t="s">
        <v>318</v>
      </c>
      <c r="B306" s="4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6" t="str">
        <f t="shared" si="9"/>
        <v>Oct</v>
      </c>
      <c r="O306" s="1">
        <v>2043.65</v>
      </c>
      <c r="T306" s="4"/>
      <c r="U306" s="1" t="str">
        <f t="shared" si="10"/>
        <v>Normal</v>
      </c>
    </row>
    <row r="307" spans="1:21" x14ac:dyDescent="0.25">
      <c r="A307" s="1" t="s">
        <v>319</v>
      </c>
      <c r="B307" s="4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6" t="str">
        <f t="shared" si="9"/>
        <v>Nov</v>
      </c>
      <c r="O307" s="1">
        <v>507.56</v>
      </c>
      <c r="T307" s="4"/>
      <c r="U307" s="1" t="str">
        <f t="shared" si="10"/>
        <v>Normal</v>
      </c>
    </row>
    <row r="308" spans="1:21" x14ac:dyDescent="0.25">
      <c r="A308" s="1" t="s">
        <v>320</v>
      </c>
      <c r="B308" s="4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6" t="str">
        <f t="shared" si="9"/>
        <v>Jun</v>
      </c>
      <c r="O308" s="1">
        <v>114.14</v>
      </c>
      <c r="T308" s="4"/>
      <c r="U308" s="1" t="str">
        <f t="shared" si="10"/>
        <v>Normal</v>
      </c>
    </row>
    <row r="309" spans="1:21" x14ac:dyDescent="0.25">
      <c r="A309" s="1" t="s">
        <v>321</v>
      </c>
      <c r="B309" s="4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6" t="str">
        <f t="shared" si="9"/>
        <v>Jul</v>
      </c>
      <c r="O309" s="1">
        <v>1672.23</v>
      </c>
      <c r="T309" s="4"/>
      <c r="U309" s="1" t="str">
        <f t="shared" si="10"/>
        <v>Normal</v>
      </c>
    </row>
    <row r="310" spans="1:21" x14ac:dyDescent="0.25">
      <c r="A310" s="1" t="s">
        <v>322</v>
      </c>
      <c r="B310" s="4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6" t="str">
        <f t="shared" si="9"/>
        <v>Dec</v>
      </c>
      <c r="O310" s="1">
        <v>1346.7</v>
      </c>
      <c r="T310" s="4"/>
      <c r="U310" s="1" t="str">
        <f t="shared" si="10"/>
        <v>Normal</v>
      </c>
    </row>
    <row r="311" spans="1:21" x14ac:dyDescent="0.25">
      <c r="A311" s="1" t="s">
        <v>323</v>
      </c>
      <c r="B311" s="4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6" t="str">
        <f t="shared" si="9"/>
        <v>Oct</v>
      </c>
      <c r="O311" s="1">
        <v>2199.04</v>
      </c>
      <c r="T311" s="4"/>
      <c r="U311" s="1" t="str">
        <f t="shared" si="10"/>
        <v>Normal</v>
      </c>
    </row>
    <row r="312" spans="1:21" x14ac:dyDescent="0.25">
      <c r="A312" s="1" t="s">
        <v>324</v>
      </c>
      <c r="B312" s="4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6" t="str">
        <f t="shared" si="9"/>
        <v>Feb</v>
      </c>
      <c r="O312" s="1">
        <v>397.43999999999988</v>
      </c>
      <c r="T312" s="4"/>
      <c r="U312" s="1" t="str">
        <f t="shared" si="10"/>
        <v>Normal</v>
      </c>
    </row>
    <row r="313" spans="1:21" x14ac:dyDescent="0.25">
      <c r="A313" s="1" t="s">
        <v>325</v>
      </c>
      <c r="B313" s="4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6" t="str">
        <f t="shared" si="9"/>
        <v>May</v>
      </c>
      <c r="O313" s="1">
        <v>2446.85</v>
      </c>
      <c r="T313" s="4"/>
      <c r="U313" s="1" t="str">
        <f t="shared" si="10"/>
        <v>Normal</v>
      </c>
    </row>
    <row r="314" spans="1:21" x14ac:dyDescent="0.25">
      <c r="A314" s="1" t="s">
        <v>326</v>
      </c>
      <c r="B314" s="4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6" t="str">
        <f t="shared" si="9"/>
        <v>May</v>
      </c>
      <c r="O314" s="1">
        <v>331.55</v>
      </c>
      <c r="T314" s="4"/>
      <c r="U314" s="1" t="str">
        <f t="shared" si="10"/>
        <v>Normal</v>
      </c>
    </row>
    <row r="315" spans="1:21" x14ac:dyDescent="0.25">
      <c r="A315" s="1" t="s">
        <v>327</v>
      </c>
      <c r="B315" s="4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6" t="str">
        <f t="shared" si="9"/>
        <v>Jul</v>
      </c>
      <c r="O315" s="1">
        <v>868.6</v>
      </c>
      <c r="T315" s="4"/>
      <c r="U315" s="1" t="str">
        <f t="shared" si="10"/>
        <v>Normal</v>
      </c>
    </row>
    <row r="316" spans="1:21" x14ac:dyDescent="0.25">
      <c r="A316" s="1" t="s">
        <v>328</v>
      </c>
      <c r="B316" s="4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6" t="str">
        <f t="shared" si="9"/>
        <v>Oct</v>
      </c>
      <c r="O316" s="1">
        <v>612.36</v>
      </c>
      <c r="T316" s="4"/>
      <c r="U316" s="1" t="str">
        <f t="shared" si="10"/>
        <v>Normal</v>
      </c>
    </row>
    <row r="317" spans="1:21" x14ac:dyDescent="0.25">
      <c r="A317" s="1" t="s">
        <v>329</v>
      </c>
      <c r="B317" s="4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6" t="str">
        <f t="shared" si="9"/>
        <v>May</v>
      </c>
      <c r="O317" s="1">
        <v>458.35</v>
      </c>
      <c r="T317" s="4"/>
      <c r="U317" s="1" t="str">
        <f t="shared" si="10"/>
        <v>Normal</v>
      </c>
    </row>
    <row r="318" spans="1:21" x14ac:dyDescent="0.25">
      <c r="A318" s="1" t="s">
        <v>330</v>
      </c>
      <c r="B318" s="4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6" t="str">
        <f t="shared" si="9"/>
        <v>Oct</v>
      </c>
      <c r="O318" s="1">
        <v>1101.1199999999999</v>
      </c>
      <c r="T318" s="4"/>
      <c r="U318" s="1" t="str">
        <f t="shared" si="10"/>
        <v>Normal</v>
      </c>
    </row>
    <row r="319" spans="1:21" x14ac:dyDescent="0.25">
      <c r="A319" s="1" t="s">
        <v>331</v>
      </c>
      <c r="B319" s="4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6" t="str">
        <f t="shared" si="9"/>
        <v>Apr</v>
      </c>
      <c r="O319" s="1">
        <v>279.89999999999998</v>
      </c>
      <c r="T319" s="4"/>
      <c r="U319" s="1" t="str">
        <f t="shared" si="10"/>
        <v>Normal</v>
      </c>
    </row>
    <row r="320" spans="1:21" x14ac:dyDescent="0.25">
      <c r="A320" s="1" t="s">
        <v>332</v>
      </c>
      <c r="B320" s="4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6" t="str">
        <f t="shared" si="9"/>
        <v>Jul</v>
      </c>
      <c r="O320" s="1">
        <v>446.16</v>
      </c>
      <c r="T320" s="4"/>
      <c r="U320" s="1" t="str">
        <f t="shared" si="10"/>
        <v>Normal</v>
      </c>
    </row>
    <row r="321" spans="1:21" x14ac:dyDescent="0.25">
      <c r="A321" s="1" t="s">
        <v>333</v>
      </c>
      <c r="B321" s="4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6" t="str">
        <f t="shared" si="9"/>
        <v>Dec</v>
      </c>
      <c r="O321" s="1">
        <v>1126.1199999999999</v>
      </c>
      <c r="T321" s="4"/>
      <c r="U321" s="1" t="str">
        <f t="shared" si="10"/>
        <v>Normal</v>
      </c>
    </row>
    <row r="322" spans="1:21" x14ac:dyDescent="0.25">
      <c r="A322" s="1" t="s">
        <v>334</v>
      </c>
      <c r="B322" s="4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6" t="str">
        <f t="shared" ref="N322:N385" si="11">TEXT(B322,"MMM")</f>
        <v>Dec</v>
      </c>
      <c r="O322" s="1">
        <v>625.51</v>
      </c>
      <c r="T322" s="4"/>
      <c r="U322" s="1" t="str">
        <f t="shared" si="10"/>
        <v>Normal</v>
      </c>
    </row>
    <row r="323" spans="1:21" x14ac:dyDescent="0.25">
      <c r="A323" s="1" t="s">
        <v>335</v>
      </c>
      <c r="B323" s="4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6" t="str">
        <f t="shared" si="11"/>
        <v>Aug</v>
      </c>
      <c r="O323" s="1">
        <v>609.16</v>
      </c>
      <c r="T323" s="4"/>
      <c r="U323" s="1" t="str">
        <f t="shared" ref="U323:U386" si="12">IF(O323&gt;$S$2,"Outlier","Normal")</f>
        <v>Normal</v>
      </c>
    </row>
    <row r="324" spans="1:21" x14ac:dyDescent="0.25">
      <c r="A324" s="1" t="s">
        <v>336</v>
      </c>
      <c r="B324" s="4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6" t="str">
        <f t="shared" si="11"/>
        <v>Jun</v>
      </c>
      <c r="O324" s="1">
        <v>1159.0999999999999</v>
      </c>
      <c r="T324" s="4"/>
      <c r="U324" s="1" t="str">
        <f t="shared" si="12"/>
        <v>Normal</v>
      </c>
    </row>
    <row r="325" spans="1:21" x14ac:dyDescent="0.25">
      <c r="A325" s="1" t="s">
        <v>337</v>
      </c>
      <c r="B325" s="4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6" t="str">
        <f t="shared" si="11"/>
        <v>Jan</v>
      </c>
      <c r="O325" s="1">
        <v>150.16999999999999</v>
      </c>
      <c r="T325" s="4"/>
      <c r="U325" s="1" t="str">
        <f t="shared" si="12"/>
        <v>Normal</v>
      </c>
    </row>
    <row r="326" spans="1:21" x14ac:dyDescent="0.25">
      <c r="A326" s="1" t="s">
        <v>338</v>
      </c>
      <c r="B326" s="4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6" t="str">
        <f t="shared" si="11"/>
        <v>Jun</v>
      </c>
      <c r="O326" s="1">
        <v>212.79</v>
      </c>
      <c r="T326" s="4"/>
      <c r="U326" s="1" t="str">
        <f t="shared" si="12"/>
        <v>Normal</v>
      </c>
    </row>
    <row r="327" spans="1:21" x14ac:dyDescent="0.25">
      <c r="A327" s="1" t="s">
        <v>339</v>
      </c>
      <c r="B327" s="4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6" t="str">
        <f t="shared" si="11"/>
        <v>Jun</v>
      </c>
      <c r="O327" s="1">
        <v>1084.17</v>
      </c>
      <c r="T327" s="4"/>
      <c r="U327" s="1" t="str">
        <f t="shared" si="12"/>
        <v>Normal</v>
      </c>
    </row>
    <row r="328" spans="1:21" x14ac:dyDescent="0.25">
      <c r="A328" s="1" t="s">
        <v>340</v>
      </c>
      <c r="B328" s="4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6" t="str">
        <f t="shared" si="11"/>
        <v>Jul</v>
      </c>
      <c r="O328" s="1">
        <v>3352.4</v>
      </c>
      <c r="T328" s="4"/>
      <c r="U328" s="1" t="str">
        <f t="shared" si="12"/>
        <v>Outlier</v>
      </c>
    </row>
    <row r="329" spans="1:21" x14ac:dyDescent="0.25">
      <c r="A329" s="1" t="s">
        <v>341</v>
      </c>
      <c r="B329" s="4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6" t="str">
        <f t="shared" si="11"/>
        <v>Jul</v>
      </c>
      <c r="O329" s="1">
        <v>359.99</v>
      </c>
      <c r="T329" s="4"/>
      <c r="U329" s="1" t="str">
        <f t="shared" si="12"/>
        <v>Normal</v>
      </c>
    </row>
    <row r="330" spans="1:21" x14ac:dyDescent="0.25">
      <c r="A330" s="1" t="s">
        <v>342</v>
      </c>
      <c r="B330" s="4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6" t="str">
        <f t="shared" si="11"/>
        <v>Feb</v>
      </c>
      <c r="O330" s="1">
        <v>3370.2</v>
      </c>
      <c r="T330" s="4"/>
      <c r="U330" s="1" t="str">
        <f t="shared" si="12"/>
        <v>Outlier</v>
      </c>
    </row>
    <row r="331" spans="1:21" x14ac:dyDescent="0.25">
      <c r="A331" s="1" t="s">
        <v>343</v>
      </c>
      <c r="B331" s="4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6" t="str">
        <f t="shared" si="11"/>
        <v>Dec</v>
      </c>
      <c r="O331" s="1">
        <v>1132.6400000000001</v>
      </c>
      <c r="T331" s="4"/>
      <c r="U331" s="1" t="str">
        <f t="shared" si="12"/>
        <v>Normal</v>
      </c>
    </row>
    <row r="332" spans="1:21" x14ac:dyDescent="0.25">
      <c r="A332" s="1" t="s">
        <v>344</v>
      </c>
      <c r="B332" s="4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6" t="str">
        <f t="shared" si="11"/>
        <v>Jun</v>
      </c>
      <c r="O332" s="1">
        <v>1302.6500000000001</v>
      </c>
      <c r="T332" s="4"/>
      <c r="U332" s="1" t="str">
        <f t="shared" si="12"/>
        <v>Normal</v>
      </c>
    </row>
    <row r="333" spans="1:21" x14ac:dyDescent="0.25">
      <c r="A333" s="1" t="s">
        <v>345</v>
      </c>
      <c r="B333" s="4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6" t="str">
        <f t="shared" si="11"/>
        <v>Apr</v>
      </c>
      <c r="O333" s="1">
        <v>1266.3900000000001</v>
      </c>
      <c r="T333" s="4"/>
      <c r="U333" s="1" t="str">
        <f t="shared" si="12"/>
        <v>Normal</v>
      </c>
    </row>
    <row r="334" spans="1:21" x14ac:dyDescent="0.25">
      <c r="A334" s="1" t="s">
        <v>346</v>
      </c>
      <c r="B334" s="4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6" t="str">
        <f t="shared" si="11"/>
        <v>Jul</v>
      </c>
      <c r="O334" s="1">
        <v>625.1</v>
      </c>
      <c r="T334" s="4"/>
      <c r="U334" s="1" t="str">
        <f t="shared" si="12"/>
        <v>Normal</v>
      </c>
    </row>
    <row r="335" spans="1:21" x14ac:dyDescent="0.25">
      <c r="A335" s="1" t="s">
        <v>347</v>
      </c>
      <c r="B335" s="4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6" t="str">
        <f t="shared" si="11"/>
        <v>Apr</v>
      </c>
      <c r="O335" s="1">
        <v>198.51</v>
      </c>
      <c r="T335" s="4"/>
      <c r="U335" s="1" t="str">
        <f t="shared" si="12"/>
        <v>Normal</v>
      </c>
    </row>
    <row r="336" spans="1:21" x14ac:dyDescent="0.25">
      <c r="A336" s="1" t="s">
        <v>348</v>
      </c>
      <c r="B336" s="4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6" t="str">
        <f t="shared" si="11"/>
        <v>Mar</v>
      </c>
      <c r="O336" s="1">
        <v>899</v>
      </c>
      <c r="T336" s="4"/>
      <c r="U336" s="1" t="str">
        <f t="shared" si="12"/>
        <v>Normal</v>
      </c>
    </row>
    <row r="337" spans="1:21" x14ac:dyDescent="0.25">
      <c r="A337" s="1" t="s">
        <v>349</v>
      </c>
      <c r="B337" s="4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6" t="str">
        <f t="shared" si="11"/>
        <v>Mar</v>
      </c>
      <c r="O337" s="1">
        <v>617.58000000000004</v>
      </c>
      <c r="T337" s="4"/>
      <c r="U337" s="1" t="str">
        <f t="shared" si="12"/>
        <v>Normal</v>
      </c>
    </row>
    <row r="338" spans="1:21" x14ac:dyDescent="0.25">
      <c r="A338" s="1" t="s">
        <v>350</v>
      </c>
      <c r="B338" s="4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6" t="str">
        <f t="shared" si="11"/>
        <v>Dec</v>
      </c>
      <c r="O338" s="1">
        <v>18.2</v>
      </c>
      <c r="T338" s="4"/>
      <c r="U338" s="1" t="str">
        <f t="shared" si="12"/>
        <v>Normal</v>
      </c>
    </row>
    <row r="339" spans="1:21" x14ac:dyDescent="0.25">
      <c r="A339" s="1" t="s">
        <v>351</v>
      </c>
      <c r="B339" s="4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6" t="str">
        <f t="shared" si="11"/>
        <v>May</v>
      </c>
      <c r="O339" s="1">
        <v>1508.31</v>
      </c>
      <c r="T339" s="4"/>
      <c r="U339" s="1" t="str">
        <f t="shared" si="12"/>
        <v>Normal</v>
      </c>
    </row>
    <row r="340" spans="1:21" x14ac:dyDescent="0.25">
      <c r="A340" s="1" t="s">
        <v>352</v>
      </c>
      <c r="B340" s="4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6" t="str">
        <f t="shared" si="11"/>
        <v>Nov</v>
      </c>
      <c r="O340" s="1">
        <v>1527.45</v>
      </c>
      <c r="T340" s="4"/>
      <c r="U340" s="1" t="str">
        <f t="shared" si="12"/>
        <v>Normal</v>
      </c>
    </row>
    <row r="341" spans="1:21" x14ac:dyDescent="0.25">
      <c r="A341" s="1" t="s">
        <v>353</v>
      </c>
      <c r="B341" s="4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6" t="str">
        <f t="shared" si="11"/>
        <v>Apr</v>
      </c>
      <c r="O341" s="1">
        <v>472.66</v>
      </c>
      <c r="T341" s="4"/>
      <c r="U341" s="1" t="str">
        <f t="shared" si="12"/>
        <v>Normal</v>
      </c>
    </row>
    <row r="342" spans="1:21" x14ac:dyDescent="0.25">
      <c r="A342" s="1" t="s">
        <v>354</v>
      </c>
      <c r="B342" s="4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6" t="str">
        <f t="shared" si="11"/>
        <v>Apr</v>
      </c>
      <c r="O342" s="1">
        <v>2606.25</v>
      </c>
      <c r="T342" s="4"/>
      <c r="U342" s="1" t="str">
        <f t="shared" si="12"/>
        <v>Normal</v>
      </c>
    </row>
    <row r="343" spans="1:21" x14ac:dyDescent="0.25">
      <c r="A343" s="1" t="s">
        <v>355</v>
      </c>
      <c r="B343" s="4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6" t="str">
        <f t="shared" si="11"/>
        <v>Sep</v>
      </c>
      <c r="O343" s="1">
        <v>167.15</v>
      </c>
      <c r="T343" s="4"/>
      <c r="U343" s="1" t="str">
        <f t="shared" si="12"/>
        <v>Normal</v>
      </c>
    </row>
    <row r="344" spans="1:21" x14ac:dyDescent="0.25">
      <c r="A344" s="1" t="s">
        <v>356</v>
      </c>
      <c r="B344" s="4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6" t="str">
        <f t="shared" si="11"/>
        <v>Jun</v>
      </c>
      <c r="O344" s="1">
        <v>2332.1</v>
      </c>
      <c r="T344" s="4"/>
      <c r="U344" s="1" t="str">
        <f t="shared" si="12"/>
        <v>Normal</v>
      </c>
    </row>
    <row r="345" spans="1:21" x14ac:dyDescent="0.25">
      <c r="A345" s="1" t="s">
        <v>357</v>
      </c>
      <c r="B345" s="4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6" t="str">
        <f t="shared" si="11"/>
        <v>Feb</v>
      </c>
      <c r="O345" s="1">
        <v>527.57000000000005</v>
      </c>
      <c r="T345" s="4"/>
      <c r="U345" s="1" t="str">
        <f t="shared" si="12"/>
        <v>Normal</v>
      </c>
    </row>
    <row r="346" spans="1:21" x14ac:dyDescent="0.25">
      <c r="A346" s="1" t="s">
        <v>358</v>
      </c>
      <c r="B346" s="4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6" t="str">
        <f t="shared" si="11"/>
        <v>Mar</v>
      </c>
      <c r="O346" s="1">
        <v>1870.02</v>
      </c>
      <c r="T346" s="4"/>
      <c r="U346" s="1" t="str">
        <f t="shared" si="12"/>
        <v>Normal</v>
      </c>
    </row>
    <row r="347" spans="1:21" x14ac:dyDescent="0.25">
      <c r="A347" s="1" t="s">
        <v>359</v>
      </c>
      <c r="B347" s="4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6" t="str">
        <f t="shared" si="11"/>
        <v>Dec</v>
      </c>
      <c r="O347" s="1">
        <v>2506.3000000000002</v>
      </c>
      <c r="T347" s="4"/>
      <c r="U347" s="1" t="str">
        <f t="shared" si="12"/>
        <v>Normal</v>
      </c>
    </row>
    <row r="348" spans="1:21" x14ac:dyDescent="0.25">
      <c r="A348" s="1" t="s">
        <v>360</v>
      </c>
      <c r="B348" s="4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6" t="str">
        <f t="shared" si="11"/>
        <v>Dec</v>
      </c>
      <c r="O348" s="1">
        <v>655.09</v>
      </c>
      <c r="T348" s="4"/>
      <c r="U348" s="1" t="str">
        <f t="shared" si="12"/>
        <v>Normal</v>
      </c>
    </row>
    <row r="349" spans="1:21" x14ac:dyDescent="0.25">
      <c r="A349" s="1" t="s">
        <v>361</v>
      </c>
      <c r="B349" s="4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6" t="str">
        <f t="shared" si="11"/>
        <v>Feb</v>
      </c>
      <c r="O349" s="1">
        <v>1059.1600000000001</v>
      </c>
      <c r="T349" s="4"/>
      <c r="U349" s="1" t="str">
        <f t="shared" si="12"/>
        <v>Normal</v>
      </c>
    </row>
    <row r="350" spans="1:21" x14ac:dyDescent="0.25">
      <c r="A350" s="1" t="s">
        <v>362</v>
      </c>
      <c r="B350" s="4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6" t="str">
        <f t="shared" si="11"/>
        <v>Mar</v>
      </c>
      <c r="O350" s="1">
        <v>1079.19</v>
      </c>
      <c r="T350" s="4"/>
      <c r="U350" s="1" t="str">
        <f t="shared" si="12"/>
        <v>Normal</v>
      </c>
    </row>
    <row r="351" spans="1:21" x14ac:dyDescent="0.25">
      <c r="A351" s="1" t="s">
        <v>363</v>
      </c>
      <c r="B351" s="4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6" t="str">
        <f t="shared" si="11"/>
        <v>Nov</v>
      </c>
      <c r="O351" s="1">
        <v>465.33</v>
      </c>
      <c r="T351" s="4"/>
      <c r="U351" s="1" t="str">
        <f t="shared" si="12"/>
        <v>Normal</v>
      </c>
    </row>
    <row r="352" spans="1:21" x14ac:dyDescent="0.25">
      <c r="A352" s="1" t="s">
        <v>364</v>
      </c>
      <c r="B352" s="4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6" t="str">
        <f t="shared" si="11"/>
        <v>Jun</v>
      </c>
      <c r="O352" s="1">
        <v>108.82</v>
      </c>
      <c r="T352" s="4"/>
      <c r="U352" s="1" t="str">
        <f t="shared" si="12"/>
        <v>Normal</v>
      </c>
    </row>
    <row r="353" spans="1:21" x14ac:dyDescent="0.25">
      <c r="A353" s="1" t="s">
        <v>365</v>
      </c>
      <c r="B353" s="4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6" t="str">
        <f t="shared" si="11"/>
        <v>Feb</v>
      </c>
      <c r="O353" s="1">
        <v>64.66</v>
      </c>
      <c r="T353" s="4"/>
      <c r="U353" s="1" t="str">
        <f t="shared" si="12"/>
        <v>Normal</v>
      </c>
    </row>
    <row r="354" spans="1:21" x14ac:dyDescent="0.25">
      <c r="A354" s="1" t="s">
        <v>366</v>
      </c>
      <c r="B354" s="4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6" t="str">
        <f t="shared" si="11"/>
        <v>Aug</v>
      </c>
      <c r="O354" s="1">
        <v>869.80000000000007</v>
      </c>
      <c r="T354" s="4"/>
      <c r="U354" s="1" t="str">
        <f t="shared" si="12"/>
        <v>Normal</v>
      </c>
    </row>
    <row r="355" spans="1:21" x14ac:dyDescent="0.25">
      <c r="A355" s="1" t="s">
        <v>367</v>
      </c>
      <c r="B355" s="4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6" t="str">
        <f t="shared" si="11"/>
        <v>Mar</v>
      </c>
      <c r="O355" s="1">
        <v>630.82000000000005</v>
      </c>
      <c r="T355" s="4"/>
      <c r="U355" s="1" t="str">
        <f t="shared" si="12"/>
        <v>Normal</v>
      </c>
    </row>
    <row r="356" spans="1:21" x14ac:dyDescent="0.25">
      <c r="A356" s="1" t="s">
        <v>368</v>
      </c>
      <c r="B356" s="4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6" t="str">
        <f t="shared" si="11"/>
        <v>Jul</v>
      </c>
      <c r="O356" s="1">
        <v>693.41</v>
      </c>
      <c r="T356" s="4"/>
      <c r="U356" s="1" t="str">
        <f t="shared" si="12"/>
        <v>Normal</v>
      </c>
    </row>
    <row r="357" spans="1:21" x14ac:dyDescent="0.25">
      <c r="A357" s="1" t="s">
        <v>369</v>
      </c>
      <c r="B357" s="4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6" t="str">
        <f t="shared" si="11"/>
        <v>Jun</v>
      </c>
      <c r="O357" s="1">
        <v>1299.99</v>
      </c>
      <c r="T357" s="4"/>
      <c r="U357" s="1" t="str">
        <f t="shared" si="12"/>
        <v>Normal</v>
      </c>
    </row>
    <row r="358" spans="1:21" x14ac:dyDescent="0.25">
      <c r="A358" s="1" t="s">
        <v>370</v>
      </c>
      <c r="B358" s="4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6" t="str">
        <f t="shared" si="11"/>
        <v>May</v>
      </c>
      <c r="O358" s="1">
        <v>1872.9</v>
      </c>
      <c r="T358" s="4"/>
      <c r="U358" s="1" t="str">
        <f t="shared" si="12"/>
        <v>Normal</v>
      </c>
    </row>
    <row r="359" spans="1:21" x14ac:dyDescent="0.25">
      <c r="A359" s="1" t="s">
        <v>371</v>
      </c>
      <c r="B359" s="4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6" t="str">
        <f t="shared" si="11"/>
        <v>Jul</v>
      </c>
      <c r="O359" s="1">
        <v>2042.8</v>
      </c>
      <c r="T359" s="4"/>
      <c r="U359" s="1" t="str">
        <f t="shared" si="12"/>
        <v>Normal</v>
      </c>
    </row>
    <row r="360" spans="1:21" x14ac:dyDescent="0.25">
      <c r="A360" s="1" t="s">
        <v>372</v>
      </c>
      <c r="B360" s="4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6" t="str">
        <f t="shared" si="11"/>
        <v>Apr</v>
      </c>
      <c r="O360" s="1">
        <v>367.34</v>
      </c>
      <c r="T360" s="4"/>
      <c r="U360" s="1" t="str">
        <f t="shared" si="12"/>
        <v>Normal</v>
      </c>
    </row>
    <row r="361" spans="1:21" x14ac:dyDescent="0.25">
      <c r="A361" s="1" t="s">
        <v>373</v>
      </c>
      <c r="B361" s="4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6" t="str">
        <f t="shared" si="11"/>
        <v>Jun</v>
      </c>
      <c r="O361" s="1">
        <v>2426.2800000000002</v>
      </c>
      <c r="T361" s="4"/>
      <c r="U361" s="1" t="str">
        <f t="shared" si="12"/>
        <v>Normal</v>
      </c>
    </row>
    <row r="362" spans="1:21" x14ac:dyDescent="0.25">
      <c r="A362" s="1" t="s">
        <v>374</v>
      </c>
      <c r="B362" s="4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6" t="str">
        <f t="shared" si="11"/>
        <v>Jun</v>
      </c>
      <c r="O362" s="1">
        <v>2358.2800000000002</v>
      </c>
      <c r="T362" s="4"/>
      <c r="U362" s="1" t="str">
        <f t="shared" si="12"/>
        <v>Normal</v>
      </c>
    </row>
    <row r="363" spans="1:21" x14ac:dyDescent="0.25">
      <c r="A363" s="1" t="s">
        <v>375</v>
      </c>
      <c r="B363" s="4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6" t="str">
        <f t="shared" si="11"/>
        <v>Jun</v>
      </c>
      <c r="O363" s="1">
        <v>3299.25</v>
      </c>
      <c r="T363" s="4"/>
      <c r="U363" s="1" t="str">
        <f t="shared" si="12"/>
        <v>Normal</v>
      </c>
    </row>
    <row r="364" spans="1:21" x14ac:dyDescent="0.25">
      <c r="A364" s="1" t="s">
        <v>376</v>
      </c>
      <c r="B364" s="4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6" t="str">
        <f t="shared" si="11"/>
        <v>Jun</v>
      </c>
      <c r="O364" s="1">
        <v>827.36</v>
      </c>
      <c r="T364" s="4"/>
      <c r="U364" s="1" t="str">
        <f t="shared" si="12"/>
        <v>Normal</v>
      </c>
    </row>
    <row r="365" spans="1:21" x14ac:dyDescent="0.25">
      <c r="A365" s="1" t="s">
        <v>377</v>
      </c>
      <c r="B365" s="4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6" t="str">
        <f t="shared" si="11"/>
        <v>May</v>
      </c>
      <c r="O365" s="1">
        <v>569.35</v>
      </c>
      <c r="T365" s="4"/>
      <c r="U365" s="1" t="str">
        <f t="shared" si="12"/>
        <v>Normal</v>
      </c>
    </row>
    <row r="366" spans="1:21" x14ac:dyDescent="0.25">
      <c r="A366" s="1" t="s">
        <v>378</v>
      </c>
      <c r="B366" s="4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6" t="str">
        <f t="shared" si="11"/>
        <v>Nov</v>
      </c>
      <c r="O366" s="1">
        <v>3143.7</v>
      </c>
      <c r="T366" s="4"/>
      <c r="U366" s="1" t="str">
        <f t="shared" si="12"/>
        <v>Normal</v>
      </c>
    </row>
    <row r="367" spans="1:21" x14ac:dyDescent="0.25">
      <c r="A367" s="1" t="s">
        <v>379</v>
      </c>
      <c r="B367" s="4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6" t="str">
        <f t="shared" si="11"/>
        <v>Feb</v>
      </c>
      <c r="O367" s="1">
        <v>678.38</v>
      </c>
      <c r="T367" s="4"/>
      <c r="U367" s="1" t="str">
        <f t="shared" si="12"/>
        <v>Normal</v>
      </c>
    </row>
    <row r="368" spans="1:21" x14ac:dyDescent="0.25">
      <c r="A368" s="1" t="s">
        <v>380</v>
      </c>
      <c r="B368" s="4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6" t="str">
        <f t="shared" si="11"/>
        <v>Feb</v>
      </c>
      <c r="O368" s="1">
        <v>1806.72</v>
      </c>
      <c r="T368" s="4"/>
      <c r="U368" s="1" t="str">
        <f t="shared" si="12"/>
        <v>Normal</v>
      </c>
    </row>
    <row r="369" spans="1:21" x14ac:dyDescent="0.25">
      <c r="A369" s="1" t="s">
        <v>381</v>
      </c>
      <c r="B369" s="4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6" t="str">
        <f t="shared" si="11"/>
        <v>Apr</v>
      </c>
      <c r="O369" s="1">
        <v>3293.85</v>
      </c>
      <c r="T369" s="4"/>
      <c r="U369" s="1" t="str">
        <f t="shared" si="12"/>
        <v>Normal</v>
      </c>
    </row>
    <row r="370" spans="1:21" x14ac:dyDescent="0.25">
      <c r="A370" s="1" t="s">
        <v>382</v>
      </c>
      <c r="B370" s="4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6" t="str">
        <f t="shared" si="11"/>
        <v>May</v>
      </c>
      <c r="O370" s="1">
        <v>813.06</v>
      </c>
      <c r="T370" s="4"/>
      <c r="U370" s="1" t="str">
        <f t="shared" si="12"/>
        <v>Normal</v>
      </c>
    </row>
    <row r="371" spans="1:21" x14ac:dyDescent="0.25">
      <c r="A371" s="1" t="s">
        <v>383</v>
      </c>
      <c r="B371" s="4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6" t="str">
        <f t="shared" si="11"/>
        <v>Dec</v>
      </c>
      <c r="O371" s="1">
        <v>1876.25</v>
      </c>
      <c r="T371" s="4"/>
      <c r="U371" s="1" t="str">
        <f t="shared" si="12"/>
        <v>Normal</v>
      </c>
    </row>
    <row r="372" spans="1:21" x14ac:dyDescent="0.25">
      <c r="A372" s="1" t="s">
        <v>384</v>
      </c>
      <c r="B372" s="4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6" t="str">
        <f t="shared" si="11"/>
        <v>May</v>
      </c>
      <c r="O372" s="1">
        <v>312.11</v>
      </c>
      <c r="T372" s="4"/>
      <c r="U372" s="1" t="str">
        <f t="shared" si="12"/>
        <v>Normal</v>
      </c>
    </row>
    <row r="373" spans="1:21" x14ac:dyDescent="0.25">
      <c r="A373" s="1" t="s">
        <v>385</v>
      </c>
      <c r="B373" s="4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6" t="str">
        <f t="shared" si="11"/>
        <v>Jan</v>
      </c>
      <c r="O373" s="1">
        <v>1538.8</v>
      </c>
      <c r="T373" s="4"/>
      <c r="U373" s="1" t="str">
        <f t="shared" si="12"/>
        <v>Normal</v>
      </c>
    </row>
    <row r="374" spans="1:21" x14ac:dyDescent="0.25">
      <c r="A374" s="1" t="s">
        <v>386</v>
      </c>
      <c r="B374" s="4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6" t="str">
        <f t="shared" si="11"/>
        <v>Feb</v>
      </c>
      <c r="O374" s="1">
        <v>1450.59</v>
      </c>
      <c r="T374" s="4"/>
      <c r="U374" s="1" t="str">
        <f t="shared" si="12"/>
        <v>Normal</v>
      </c>
    </row>
    <row r="375" spans="1:21" x14ac:dyDescent="0.25">
      <c r="A375" s="1" t="s">
        <v>387</v>
      </c>
      <c r="B375" s="4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6" t="str">
        <f t="shared" si="11"/>
        <v>Jan</v>
      </c>
      <c r="O375" s="1">
        <v>1023.45</v>
      </c>
      <c r="T375" s="4"/>
      <c r="U375" s="1" t="str">
        <f t="shared" si="12"/>
        <v>Normal</v>
      </c>
    </row>
    <row r="376" spans="1:21" x14ac:dyDescent="0.25">
      <c r="A376" s="1" t="s">
        <v>388</v>
      </c>
      <c r="B376" s="4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6" t="str">
        <f t="shared" si="11"/>
        <v>Sep</v>
      </c>
      <c r="O376" s="1">
        <v>571.9</v>
      </c>
      <c r="T376" s="4"/>
      <c r="U376" s="1" t="str">
        <f t="shared" si="12"/>
        <v>Normal</v>
      </c>
    </row>
    <row r="377" spans="1:21" x14ac:dyDescent="0.25">
      <c r="A377" s="1" t="s">
        <v>389</v>
      </c>
      <c r="B377" s="4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6" t="str">
        <f t="shared" si="11"/>
        <v>Jan</v>
      </c>
      <c r="O377" s="1">
        <v>380.12</v>
      </c>
      <c r="T377" s="4"/>
      <c r="U377" s="1" t="str">
        <f t="shared" si="12"/>
        <v>Normal</v>
      </c>
    </row>
    <row r="378" spans="1:21" x14ac:dyDescent="0.25">
      <c r="A378" s="1" t="s">
        <v>390</v>
      </c>
      <c r="B378" s="4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6" t="str">
        <f t="shared" si="11"/>
        <v>Aug</v>
      </c>
      <c r="O378" s="1">
        <v>1006.1</v>
      </c>
      <c r="T378" s="4"/>
      <c r="U378" s="1" t="str">
        <f t="shared" si="12"/>
        <v>Normal</v>
      </c>
    </row>
    <row r="379" spans="1:21" x14ac:dyDescent="0.25">
      <c r="A379" s="1" t="s">
        <v>391</v>
      </c>
      <c r="B379" s="4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6" t="str">
        <f t="shared" si="11"/>
        <v>Jul</v>
      </c>
      <c r="O379" s="1">
        <v>260.26</v>
      </c>
      <c r="T379" s="4"/>
      <c r="U379" s="1" t="str">
        <f t="shared" si="12"/>
        <v>Normal</v>
      </c>
    </row>
    <row r="380" spans="1:21" x14ac:dyDescent="0.25">
      <c r="A380" s="1" t="s">
        <v>392</v>
      </c>
      <c r="B380" s="4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6" t="str">
        <f t="shared" si="11"/>
        <v>Feb</v>
      </c>
      <c r="O380" s="1">
        <v>322.5</v>
      </c>
      <c r="T380" s="4"/>
      <c r="U380" s="1" t="str">
        <f t="shared" si="12"/>
        <v>Normal</v>
      </c>
    </row>
    <row r="381" spans="1:21" x14ac:dyDescent="0.25">
      <c r="A381" s="1" t="s">
        <v>393</v>
      </c>
      <c r="B381" s="4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6" t="str">
        <f t="shared" si="11"/>
        <v>Sep</v>
      </c>
      <c r="O381" s="1">
        <v>893.01</v>
      </c>
      <c r="T381" s="4"/>
      <c r="U381" s="1" t="str">
        <f t="shared" si="12"/>
        <v>Normal</v>
      </c>
    </row>
    <row r="382" spans="1:21" x14ac:dyDescent="0.25">
      <c r="A382" s="1" t="s">
        <v>394</v>
      </c>
      <c r="B382" s="4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6" t="str">
        <f t="shared" si="11"/>
        <v>Apr</v>
      </c>
      <c r="O382" s="1">
        <v>1327.6</v>
      </c>
      <c r="T382" s="4"/>
      <c r="U382" s="1" t="str">
        <f t="shared" si="12"/>
        <v>Normal</v>
      </c>
    </row>
    <row r="383" spans="1:21" x14ac:dyDescent="0.25">
      <c r="A383" s="1" t="s">
        <v>395</v>
      </c>
      <c r="B383" s="4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6" t="str">
        <f t="shared" si="11"/>
        <v>Jun</v>
      </c>
      <c r="O383" s="1">
        <v>191.76</v>
      </c>
      <c r="T383" s="4"/>
      <c r="U383" s="1" t="str">
        <f t="shared" si="12"/>
        <v>Normal</v>
      </c>
    </row>
    <row r="384" spans="1:21" x14ac:dyDescent="0.25">
      <c r="A384" s="1" t="s">
        <v>396</v>
      </c>
      <c r="B384" s="4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6" t="str">
        <f t="shared" si="11"/>
        <v>Jan</v>
      </c>
      <c r="O384" s="1">
        <v>1052.3599999999999</v>
      </c>
      <c r="T384" s="4"/>
      <c r="U384" s="1" t="str">
        <f t="shared" si="12"/>
        <v>Normal</v>
      </c>
    </row>
    <row r="385" spans="1:21" x14ac:dyDescent="0.25">
      <c r="A385" s="1" t="s">
        <v>397</v>
      </c>
      <c r="B385" s="4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6" t="str">
        <f t="shared" si="11"/>
        <v>Jan</v>
      </c>
      <c r="O385" s="1">
        <v>1575.2</v>
      </c>
      <c r="T385" s="4"/>
      <c r="U385" s="1" t="str">
        <f t="shared" si="12"/>
        <v>Normal</v>
      </c>
    </row>
    <row r="386" spans="1:21" x14ac:dyDescent="0.25">
      <c r="A386" s="1" t="s">
        <v>398</v>
      </c>
      <c r="B386" s="4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6" t="str">
        <f t="shared" ref="N386:N449" si="13">TEXT(B386,"MMM")</f>
        <v>Nov</v>
      </c>
      <c r="O386" s="1">
        <v>1660.71</v>
      </c>
      <c r="T386" s="4"/>
      <c r="U386" s="1" t="str">
        <f t="shared" si="12"/>
        <v>Normal</v>
      </c>
    </row>
    <row r="387" spans="1:21" x14ac:dyDescent="0.25">
      <c r="A387" s="1" t="s">
        <v>399</v>
      </c>
      <c r="B387" s="4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6" t="str">
        <f t="shared" si="13"/>
        <v>Oct</v>
      </c>
      <c r="O387" s="1">
        <v>958.15</v>
      </c>
      <c r="T387" s="4"/>
      <c r="U387" s="1" t="str">
        <f t="shared" ref="U387:U450" si="14">IF(O387&gt;$S$2,"Outlier","Normal")</f>
        <v>Normal</v>
      </c>
    </row>
    <row r="388" spans="1:21" x14ac:dyDescent="0.25">
      <c r="A388" s="1" t="s">
        <v>400</v>
      </c>
      <c r="B388" s="4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6" t="str">
        <f t="shared" si="13"/>
        <v>Apr</v>
      </c>
      <c r="O388" s="1">
        <v>93.02</v>
      </c>
      <c r="T388" s="4"/>
      <c r="U388" s="1" t="str">
        <f t="shared" si="14"/>
        <v>Normal</v>
      </c>
    </row>
    <row r="389" spans="1:21" x14ac:dyDescent="0.25">
      <c r="A389" s="1" t="s">
        <v>401</v>
      </c>
      <c r="B389" s="4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6" t="str">
        <f t="shared" si="13"/>
        <v>Jun</v>
      </c>
      <c r="O389" s="1">
        <v>79.06</v>
      </c>
      <c r="T389" s="4"/>
      <c r="U389" s="1" t="str">
        <f t="shared" si="14"/>
        <v>Normal</v>
      </c>
    </row>
    <row r="390" spans="1:21" x14ac:dyDescent="0.25">
      <c r="A390" s="1" t="s">
        <v>402</v>
      </c>
      <c r="B390" s="4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6" t="str">
        <f t="shared" si="13"/>
        <v>Dec</v>
      </c>
      <c r="O390" s="1">
        <v>1901.91</v>
      </c>
      <c r="T390" s="4"/>
      <c r="U390" s="1" t="str">
        <f t="shared" si="14"/>
        <v>Normal</v>
      </c>
    </row>
    <row r="391" spans="1:21" x14ac:dyDescent="0.25">
      <c r="A391" s="1" t="s">
        <v>403</v>
      </c>
      <c r="B391" s="4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6" t="str">
        <f t="shared" si="13"/>
        <v>Dec</v>
      </c>
      <c r="O391" s="1">
        <v>2790</v>
      </c>
      <c r="T391" s="4"/>
      <c r="U391" s="1" t="str">
        <f t="shared" si="14"/>
        <v>Normal</v>
      </c>
    </row>
    <row r="392" spans="1:21" x14ac:dyDescent="0.25">
      <c r="A392" s="1" t="s">
        <v>404</v>
      </c>
      <c r="B392" s="4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6" t="str">
        <f t="shared" si="13"/>
        <v>Jul</v>
      </c>
      <c r="O392" s="1">
        <v>2543.4499999999998</v>
      </c>
      <c r="T392" s="4"/>
      <c r="U392" s="1" t="str">
        <f t="shared" si="14"/>
        <v>Normal</v>
      </c>
    </row>
    <row r="393" spans="1:21" x14ac:dyDescent="0.25">
      <c r="A393" s="1" t="s">
        <v>405</v>
      </c>
      <c r="B393" s="4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6" t="str">
        <f t="shared" si="13"/>
        <v>Jan</v>
      </c>
      <c r="O393" s="1">
        <v>1054.92</v>
      </c>
      <c r="T393" s="4"/>
      <c r="U393" s="1" t="str">
        <f t="shared" si="14"/>
        <v>Normal</v>
      </c>
    </row>
    <row r="394" spans="1:21" x14ac:dyDescent="0.25">
      <c r="A394" s="1" t="s">
        <v>406</v>
      </c>
      <c r="B394" s="4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6" t="str">
        <f t="shared" si="13"/>
        <v>Feb</v>
      </c>
      <c r="O394" s="1">
        <v>627.20000000000005</v>
      </c>
      <c r="T394" s="4"/>
      <c r="U394" s="1" t="str">
        <f t="shared" si="14"/>
        <v>Normal</v>
      </c>
    </row>
    <row r="395" spans="1:21" x14ac:dyDescent="0.25">
      <c r="A395" s="1" t="s">
        <v>407</v>
      </c>
      <c r="B395" s="4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6" t="str">
        <f t="shared" si="13"/>
        <v>Jul</v>
      </c>
      <c r="O395" s="1">
        <v>75.010000000000005</v>
      </c>
      <c r="T395" s="4"/>
      <c r="U395" s="1" t="str">
        <f t="shared" si="14"/>
        <v>Normal</v>
      </c>
    </row>
    <row r="396" spans="1:21" x14ac:dyDescent="0.25">
      <c r="A396" s="1" t="s">
        <v>408</v>
      </c>
      <c r="B396" s="4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6" t="str">
        <f t="shared" si="13"/>
        <v>Jul</v>
      </c>
      <c r="O396" s="1">
        <v>2647.75</v>
      </c>
      <c r="T396" s="4"/>
      <c r="U396" s="1" t="str">
        <f t="shared" si="14"/>
        <v>Normal</v>
      </c>
    </row>
    <row r="397" spans="1:21" x14ac:dyDescent="0.25">
      <c r="A397" s="1" t="s">
        <v>409</v>
      </c>
      <c r="B397" s="4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6" t="str">
        <f t="shared" si="13"/>
        <v>Apr</v>
      </c>
      <c r="O397" s="1">
        <v>382.23</v>
      </c>
      <c r="T397" s="4"/>
      <c r="U397" s="1" t="str">
        <f t="shared" si="14"/>
        <v>Normal</v>
      </c>
    </row>
    <row r="398" spans="1:21" x14ac:dyDescent="0.25">
      <c r="A398" s="1" t="s">
        <v>410</v>
      </c>
      <c r="B398" s="4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6" t="str">
        <f t="shared" si="13"/>
        <v>Dec</v>
      </c>
      <c r="O398" s="1">
        <v>1435.65</v>
      </c>
      <c r="T398" s="4"/>
      <c r="U398" s="1" t="str">
        <f t="shared" si="14"/>
        <v>Normal</v>
      </c>
    </row>
    <row r="399" spans="1:21" x14ac:dyDescent="0.25">
      <c r="A399" s="1" t="s">
        <v>411</v>
      </c>
      <c r="B399" s="4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6" t="str">
        <f t="shared" si="13"/>
        <v>Sep</v>
      </c>
      <c r="O399" s="1">
        <v>427.06</v>
      </c>
      <c r="T399" s="4"/>
      <c r="U399" s="1" t="str">
        <f t="shared" si="14"/>
        <v>Normal</v>
      </c>
    </row>
    <row r="400" spans="1:21" x14ac:dyDescent="0.25">
      <c r="A400" s="1" t="s">
        <v>412</v>
      </c>
      <c r="B400" s="4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6" t="str">
        <f t="shared" si="13"/>
        <v>Sep</v>
      </c>
      <c r="O400" s="1">
        <v>269.64999999999998</v>
      </c>
      <c r="T400" s="4"/>
      <c r="U400" s="1" t="str">
        <f t="shared" si="14"/>
        <v>Normal</v>
      </c>
    </row>
    <row r="401" spans="1:21" x14ac:dyDescent="0.25">
      <c r="A401" s="1" t="s">
        <v>413</v>
      </c>
      <c r="B401" s="4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6" t="str">
        <f t="shared" si="13"/>
        <v>Jan</v>
      </c>
      <c r="O401" s="1">
        <v>2119.65</v>
      </c>
      <c r="T401" s="4"/>
      <c r="U401" s="1" t="str">
        <f t="shared" si="14"/>
        <v>Normal</v>
      </c>
    </row>
    <row r="402" spans="1:21" x14ac:dyDescent="0.25">
      <c r="A402" s="1" t="s">
        <v>414</v>
      </c>
      <c r="B402" s="4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6" t="str">
        <f t="shared" si="13"/>
        <v>Sep</v>
      </c>
      <c r="O402" s="1">
        <v>640.88</v>
      </c>
      <c r="T402" s="4"/>
      <c r="U402" s="1" t="str">
        <f t="shared" si="14"/>
        <v>Normal</v>
      </c>
    </row>
    <row r="403" spans="1:21" x14ac:dyDescent="0.25">
      <c r="A403" s="1" t="s">
        <v>415</v>
      </c>
      <c r="B403" s="4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6" t="str">
        <f t="shared" si="13"/>
        <v>Apr</v>
      </c>
      <c r="O403" s="1">
        <v>538.67999999999995</v>
      </c>
      <c r="T403" s="4"/>
      <c r="U403" s="1" t="str">
        <f t="shared" si="14"/>
        <v>Normal</v>
      </c>
    </row>
    <row r="404" spans="1:21" x14ac:dyDescent="0.25">
      <c r="A404" s="1" t="s">
        <v>416</v>
      </c>
      <c r="B404" s="4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6" t="str">
        <f t="shared" si="13"/>
        <v>Apr</v>
      </c>
      <c r="O404" s="1">
        <v>1686.9</v>
      </c>
      <c r="T404" s="4"/>
      <c r="U404" s="1" t="str">
        <f t="shared" si="14"/>
        <v>Normal</v>
      </c>
    </row>
    <row r="405" spans="1:21" x14ac:dyDescent="0.25">
      <c r="A405" s="1" t="s">
        <v>417</v>
      </c>
      <c r="B405" s="4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6" t="str">
        <f t="shared" si="13"/>
        <v>Nov</v>
      </c>
      <c r="O405" s="1">
        <v>620.21</v>
      </c>
      <c r="T405" s="4"/>
      <c r="U405" s="1" t="str">
        <f t="shared" si="14"/>
        <v>Normal</v>
      </c>
    </row>
    <row r="406" spans="1:21" x14ac:dyDescent="0.25">
      <c r="A406" s="1" t="s">
        <v>418</v>
      </c>
      <c r="B406" s="4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6" t="str">
        <f t="shared" si="13"/>
        <v>Mar</v>
      </c>
      <c r="O406" s="1">
        <v>198.2</v>
      </c>
      <c r="T406" s="4"/>
      <c r="U406" s="1" t="str">
        <f t="shared" si="14"/>
        <v>Normal</v>
      </c>
    </row>
    <row r="407" spans="1:21" x14ac:dyDescent="0.25">
      <c r="A407" s="1" t="s">
        <v>419</v>
      </c>
      <c r="B407" s="4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6" t="str">
        <f t="shared" si="13"/>
        <v>Jan</v>
      </c>
      <c r="O407" s="1">
        <v>1807.88</v>
      </c>
      <c r="T407" s="4"/>
      <c r="U407" s="1" t="str">
        <f t="shared" si="14"/>
        <v>Normal</v>
      </c>
    </row>
    <row r="408" spans="1:21" x14ac:dyDescent="0.25">
      <c r="A408" s="1" t="s">
        <v>420</v>
      </c>
      <c r="B408" s="4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6" t="str">
        <f t="shared" si="13"/>
        <v>Dec</v>
      </c>
      <c r="O408" s="1">
        <v>264.39999999999998</v>
      </c>
      <c r="T408" s="4"/>
      <c r="U408" s="1" t="str">
        <f t="shared" si="14"/>
        <v>Normal</v>
      </c>
    </row>
    <row r="409" spans="1:21" x14ac:dyDescent="0.25">
      <c r="A409" s="1" t="s">
        <v>421</v>
      </c>
      <c r="B409" s="4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6" t="str">
        <f t="shared" si="13"/>
        <v>Aug</v>
      </c>
      <c r="O409" s="1">
        <v>2189.2800000000002</v>
      </c>
      <c r="T409" s="4"/>
      <c r="U409" s="1" t="str">
        <f t="shared" si="14"/>
        <v>Normal</v>
      </c>
    </row>
    <row r="410" spans="1:21" x14ac:dyDescent="0.25">
      <c r="A410" s="1" t="s">
        <v>422</v>
      </c>
      <c r="B410" s="4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6" t="str">
        <f t="shared" si="13"/>
        <v>Jan</v>
      </c>
      <c r="O410" s="1">
        <v>1237.5899999999999</v>
      </c>
      <c r="T410" s="4"/>
      <c r="U410" s="1" t="str">
        <f t="shared" si="14"/>
        <v>Normal</v>
      </c>
    </row>
    <row r="411" spans="1:21" x14ac:dyDescent="0.25">
      <c r="A411" s="1" t="s">
        <v>423</v>
      </c>
      <c r="B411" s="4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6" t="str">
        <f t="shared" si="13"/>
        <v>Jun</v>
      </c>
      <c r="O411" s="1">
        <v>420.65</v>
      </c>
      <c r="T411" s="4"/>
      <c r="U411" s="1" t="str">
        <f t="shared" si="14"/>
        <v>Normal</v>
      </c>
    </row>
    <row r="412" spans="1:21" x14ac:dyDescent="0.25">
      <c r="A412" s="1" t="s">
        <v>424</v>
      </c>
      <c r="B412" s="4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6" t="str">
        <f t="shared" si="13"/>
        <v>Jan</v>
      </c>
      <c r="O412" s="1">
        <v>1036.46</v>
      </c>
      <c r="T412" s="4"/>
      <c r="U412" s="1" t="str">
        <f t="shared" si="14"/>
        <v>Normal</v>
      </c>
    </row>
    <row r="413" spans="1:21" x14ac:dyDescent="0.25">
      <c r="A413" s="1" t="s">
        <v>425</v>
      </c>
      <c r="B413" s="4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6" t="str">
        <f t="shared" si="13"/>
        <v>Jun</v>
      </c>
      <c r="O413" s="1">
        <v>79.02</v>
      </c>
      <c r="T413" s="4"/>
      <c r="U413" s="1" t="str">
        <f t="shared" si="14"/>
        <v>Normal</v>
      </c>
    </row>
    <row r="414" spans="1:21" x14ac:dyDescent="0.25">
      <c r="A414" s="1" t="s">
        <v>426</v>
      </c>
      <c r="B414" s="4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6" t="str">
        <f t="shared" si="13"/>
        <v>Apr</v>
      </c>
      <c r="O414" s="1">
        <v>665.05</v>
      </c>
      <c r="T414" s="4"/>
      <c r="U414" s="1" t="str">
        <f t="shared" si="14"/>
        <v>Normal</v>
      </c>
    </row>
    <row r="415" spans="1:21" x14ac:dyDescent="0.25">
      <c r="A415" s="1" t="s">
        <v>427</v>
      </c>
      <c r="B415" s="4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6" t="str">
        <f t="shared" si="13"/>
        <v>Oct</v>
      </c>
      <c r="O415" s="1">
        <v>118.8</v>
      </c>
      <c r="T415" s="4"/>
      <c r="U415" s="1" t="str">
        <f t="shared" si="14"/>
        <v>Normal</v>
      </c>
    </row>
    <row r="416" spans="1:21" x14ac:dyDescent="0.25">
      <c r="A416" s="1" t="s">
        <v>428</v>
      </c>
      <c r="B416" s="4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6" t="str">
        <f t="shared" si="13"/>
        <v>May</v>
      </c>
      <c r="O416" s="1">
        <v>279.14</v>
      </c>
      <c r="T416" s="4"/>
      <c r="U416" s="1" t="str">
        <f t="shared" si="14"/>
        <v>Normal</v>
      </c>
    </row>
    <row r="417" spans="1:21" x14ac:dyDescent="0.25">
      <c r="A417" s="1" t="s">
        <v>429</v>
      </c>
      <c r="B417" s="4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6" t="str">
        <f t="shared" si="13"/>
        <v>Apr</v>
      </c>
      <c r="O417" s="1">
        <v>184.15</v>
      </c>
      <c r="T417" s="4"/>
      <c r="U417" s="1" t="str">
        <f t="shared" si="14"/>
        <v>Normal</v>
      </c>
    </row>
    <row r="418" spans="1:21" x14ac:dyDescent="0.25">
      <c r="A418" s="1" t="s">
        <v>430</v>
      </c>
      <c r="B418" s="4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6" t="str">
        <f t="shared" si="13"/>
        <v>Jul</v>
      </c>
      <c r="O418" s="1">
        <v>1288.0999999999999</v>
      </c>
      <c r="T418" s="4"/>
      <c r="U418" s="1" t="str">
        <f t="shared" si="14"/>
        <v>Normal</v>
      </c>
    </row>
    <row r="419" spans="1:21" x14ac:dyDescent="0.25">
      <c r="A419" s="1" t="s">
        <v>431</v>
      </c>
      <c r="B419" s="4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6" t="str">
        <f t="shared" si="13"/>
        <v>Oct</v>
      </c>
      <c r="O419" s="1">
        <v>277.05</v>
      </c>
      <c r="T419" s="4"/>
      <c r="U419" s="1" t="str">
        <f t="shared" si="14"/>
        <v>Normal</v>
      </c>
    </row>
    <row r="420" spans="1:21" x14ac:dyDescent="0.25">
      <c r="A420" s="1" t="s">
        <v>432</v>
      </c>
      <c r="B420" s="4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6" t="str">
        <f t="shared" si="13"/>
        <v>Jan</v>
      </c>
      <c r="O420" s="1">
        <v>310.93</v>
      </c>
      <c r="T420" s="4"/>
      <c r="U420" s="1" t="str">
        <f t="shared" si="14"/>
        <v>Normal</v>
      </c>
    </row>
    <row r="421" spans="1:21" x14ac:dyDescent="0.25">
      <c r="A421" s="1" t="s">
        <v>433</v>
      </c>
      <c r="B421" s="4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6" t="str">
        <f t="shared" si="13"/>
        <v>Apr</v>
      </c>
      <c r="O421" s="1">
        <v>433.32</v>
      </c>
      <c r="T421" s="4"/>
      <c r="U421" s="1" t="str">
        <f t="shared" si="14"/>
        <v>Normal</v>
      </c>
    </row>
    <row r="422" spans="1:21" x14ac:dyDescent="0.25">
      <c r="A422" s="1" t="s">
        <v>434</v>
      </c>
      <c r="B422" s="4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6" t="str">
        <f t="shared" si="13"/>
        <v>Nov</v>
      </c>
      <c r="O422" s="1">
        <v>452.7</v>
      </c>
      <c r="T422" s="4"/>
      <c r="U422" s="1" t="str">
        <f t="shared" si="14"/>
        <v>Normal</v>
      </c>
    </row>
    <row r="423" spans="1:21" x14ac:dyDescent="0.25">
      <c r="A423" s="1" t="s">
        <v>435</v>
      </c>
      <c r="B423" s="4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6" t="str">
        <f t="shared" si="13"/>
        <v>Oct</v>
      </c>
      <c r="O423" s="1">
        <v>576.41999999999996</v>
      </c>
      <c r="T423" s="4"/>
      <c r="U423" s="1" t="str">
        <f t="shared" si="14"/>
        <v>Normal</v>
      </c>
    </row>
    <row r="424" spans="1:21" x14ac:dyDescent="0.25">
      <c r="A424" s="1" t="s">
        <v>436</v>
      </c>
      <c r="B424" s="4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6" t="str">
        <f t="shared" si="13"/>
        <v>Jun</v>
      </c>
      <c r="O424" s="1">
        <v>826.4</v>
      </c>
      <c r="T424" s="4"/>
      <c r="U424" s="1" t="str">
        <f t="shared" si="14"/>
        <v>Normal</v>
      </c>
    </row>
    <row r="425" spans="1:21" x14ac:dyDescent="0.25">
      <c r="A425" s="1" t="s">
        <v>437</v>
      </c>
      <c r="B425" s="4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6" t="str">
        <f t="shared" si="13"/>
        <v>Jul</v>
      </c>
      <c r="O425" s="1">
        <v>2740.8</v>
      </c>
      <c r="T425" s="4"/>
      <c r="U425" s="1" t="str">
        <f t="shared" si="14"/>
        <v>Normal</v>
      </c>
    </row>
    <row r="426" spans="1:21" x14ac:dyDescent="0.25">
      <c r="A426" s="1" t="s">
        <v>438</v>
      </c>
      <c r="B426" s="4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6" t="str">
        <f t="shared" si="13"/>
        <v>Apr</v>
      </c>
      <c r="O426" s="1">
        <v>114.7</v>
      </c>
      <c r="T426" s="4"/>
      <c r="U426" s="1" t="str">
        <f t="shared" si="14"/>
        <v>Normal</v>
      </c>
    </row>
    <row r="427" spans="1:21" x14ac:dyDescent="0.25">
      <c r="A427" s="1" t="s">
        <v>439</v>
      </c>
      <c r="B427" s="4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6" t="str">
        <f t="shared" si="13"/>
        <v>Mar</v>
      </c>
      <c r="O427" s="1">
        <v>603.76</v>
      </c>
      <c r="T427" s="4"/>
      <c r="U427" s="1" t="str">
        <f t="shared" si="14"/>
        <v>Normal</v>
      </c>
    </row>
    <row r="428" spans="1:21" x14ac:dyDescent="0.25">
      <c r="A428" s="1" t="s">
        <v>440</v>
      </c>
      <c r="B428" s="4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6" t="str">
        <f t="shared" si="13"/>
        <v>Mar</v>
      </c>
      <c r="O428" s="1">
        <v>287.25</v>
      </c>
      <c r="T428" s="4"/>
      <c r="U428" s="1" t="str">
        <f t="shared" si="14"/>
        <v>Normal</v>
      </c>
    </row>
    <row r="429" spans="1:21" x14ac:dyDescent="0.25">
      <c r="A429" s="1" t="s">
        <v>441</v>
      </c>
      <c r="B429" s="4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6" t="str">
        <f t="shared" si="13"/>
        <v>Dec</v>
      </c>
      <c r="O429" s="1">
        <v>161.24</v>
      </c>
      <c r="T429" s="4"/>
      <c r="U429" s="1" t="str">
        <f t="shared" si="14"/>
        <v>Normal</v>
      </c>
    </row>
    <row r="430" spans="1:21" x14ac:dyDescent="0.25">
      <c r="A430" s="1" t="s">
        <v>442</v>
      </c>
      <c r="B430" s="4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6" t="str">
        <f t="shared" si="13"/>
        <v>Nov</v>
      </c>
      <c r="O430" s="1">
        <v>1050.32</v>
      </c>
      <c r="T430" s="4"/>
      <c r="U430" s="1" t="str">
        <f t="shared" si="14"/>
        <v>Normal</v>
      </c>
    </row>
    <row r="431" spans="1:21" x14ac:dyDescent="0.25">
      <c r="A431" s="1" t="s">
        <v>443</v>
      </c>
      <c r="B431" s="4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6" t="str">
        <f t="shared" si="13"/>
        <v>Dec</v>
      </c>
      <c r="O431" s="1">
        <v>2060.7600000000002</v>
      </c>
      <c r="T431" s="4"/>
      <c r="U431" s="1" t="str">
        <f t="shared" si="14"/>
        <v>Normal</v>
      </c>
    </row>
    <row r="432" spans="1:21" x14ac:dyDescent="0.25">
      <c r="A432" s="1" t="s">
        <v>444</v>
      </c>
      <c r="B432" s="4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6" t="str">
        <f t="shared" si="13"/>
        <v>Jun</v>
      </c>
      <c r="O432" s="1">
        <v>450.07</v>
      </c>
      <c r="T432" s="4"/>
      <c r="U432" s="1" t="str">
        <f t="shared" si="14"/>
        <v>Normal</v>
      </c>
    </row>
    <row r="433" spans="1:21" x14ac:dyDescent="0.25">
      <c r="A433" s="1" t="s">
        <v>445</v>
      </c>
      <c r="B433" s="4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6" t="str">
        <f t="shared" si="13"/>
        <v>Oct</v>
      </c>
      <c r="O433" s="1">
        <v>52.54</v>
      </c>
      <c r="T433" s="4"/>
      <c r="U433" s="1" t="str">
        <f t="shared" si="14"/>
        <v>Normal</v>
      </c>
    </row>
    <row r="434" spans="1:21" x14ac:dyDescent="0.25">
      <c r="A434" s="1" t="s">
        <v>446</v>
      </c>
      <c r="B434" s="4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6" t="str">
        <f t="shared" si="13"/>
        <v>Sep</v>
      </c>
      <c r="O434" s="1">
        <v>848.64</v>
      </c>
      <c r="T434" s="4"/>
      <c r="U434" s="1" t="str">
        <f t="shared" si="14"/>
        <v>Normal</v>
      </c>
    </row>
    <row r="435" spans="1:21" x14ac:dyDescent="0.25">
      <c r="A435" s="1" t="s">
        <v>447</v>
      </c>
      <c r="B435" s="4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6" t="str">
        <f t="shared" si="13"/>
        <v>Aug</v>
      </c>
      <c r="O435" s="1">
        <v>1894.92</v>
      </c>
      <c r="T435" s="4"/>
      <c r="U435" s="1" t="str">
        <f t="shared" si="14"/>
        <v>Normal</v>
      </c>
    </row>
    <row r="436" spans="1:21" x14ac:dyDescent="0.25">
      <c r="A436" s="1" t="s">
        <v>448</v>
      </c>
      <c r="B436" s="4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6" t="str">
        <f t="shared" si="13"/>
        <v>Oct</v>
      </c>
      <c r="O436" s="1">
        <v>1638.4</v>
      </c>
      <c r="T436" s="4"/>
      <c r="U436" s="1" t="str">
        <f t="shared" si="14"/>
        <v>Normal</v>
      </c>
    </row>
    <row r="437" spans="1:21" x14ac:dyDescent="0.25">
      <c r="A437" s="1" t="s">
        <v>449</v>
      </c>
      <c r="B437" s="4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6" t="str">
        <f t="shared" si="13"/>
        <v>May</v>
      </c>
      <c r="O437" s="1">
        <v>414.47</v>
      </c>
      <c r="T437" s="4"/>
      <c r="U437" s="1" t="str">
        <f t="shared" si="14"/>
        <v>Normal</v>
      </c>
    </row>
    <row r="438" spans="1:21" x14ac:dyDescent="0.25">
      <c r="A438" s="1" t="s">
        <v>450</v>
      </c>
      <c r="B438" s="4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6" t="str">
        <f t="shared" si="13"/>
        <v>Feb</v>
      </c>
      <c r="O438" s="1">
        <v>885.32</v>
      </c>
      <c r="T438" s="4"/>
      <c r="U438" s="1" t="str">
        <f t="shared" si="14"/>
        <v>Normal</v>
      </c>
    </row>
    <row r="439" spans="1:21" x14ac:dyDescent="0.25">
      <c r="A439" s="1" t="s">
        <v>451</v>
      </c>
      <c r="B439" s="4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6" t="str">
        <f t="shared" si="13"/>
        <v>Apr</v>
      </c>
      <c r="O439" s="1">
        <v>512.39</v>
      </c>
      <c r="T439" s="4"/>
      <c r="U439" s="1" t="str">
        <f t="shared" si="14"/>
        <v>Normal</v>
      </c>
    </row>
    <row r="440" spans="1:21" x14ac:dyDescent="0.25">
      <c r="A440" s="1" t="s">
        <v>452</v>
      </c>
      <c r="B440" s="4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6" t="str">
        <f t="shared" si="13"/>
        <v>Jan</v>
      </c>
      <c r="O440" s="1">
        <v>1378.02</v>
      </c>
      <c r="T440" s="4"/>
      <c r="U440" s="1" t="str">
        <f t="shared" si="14"/>
        <v>Normal</v>
      </c>
    </row>
    <row r="441" spans="1:21" x14ac:dyDescent="0.25">
      <c r="A441" s="1" t="s">
        <v>453</v>
      </c>
      <c r="B441" s="4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6" t="str">
        <f t="shared" si="13"/>
        <v>Sep</v>
      </c>
      <c r="O441" s="1">
        <v>146.32</v>
      </c>
      <c r="T441" s="4"/>
      <c r="U441" s="1" t="str">
        <f t="shared" si="14"/>
        <v>Normal</v>
      </c>
    </row>
    <row r="442" spans="1:21" x14ac:dyDescent="0.25">
      <c r="A442" s="1" t="s">
        <v>454</v>
      </c>
      <c r="B442" s="4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6" t="str">
        <f t="shared" si="13"/>
        <v>Nov</v>
      </c>
      <c r="O442" s="1">
        <v>334.4</v>
      </c>
      <c r="T442" s="4"/>
      <c r="U442" s="1" t="str">
        <f t="shared" si="14"/>
        <v>Normal</v>
      </c>
    </row>
    <row r="443" spans="1:21" x14ac:dyDescent="0.25">
      <c r="A443" s="1" t="s">
        <v>455</v>
      </c>
      <c r="B443" s="4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6" t="str">
        <f t="shared" si="13"/>
        <v>Dec</v>
      </c>
      <c r="O443" s="1">
        <v>657.08</v>
      </c>
      <c r="T443" s="4"/>
      <c r="U443" s="1" t="str">
        <f t="shared" si="14"/>
        <v>Normal</v>
      </c>
    </row>
    <row r="444" spans="1:21" x14ac:dyDescent="0.25">
      <c r="A444" s="1" t="s">
        <v>456</v>
      </c>
      <c r="B444" s="4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6" t="str">
        <f t="shared" si="13"/>
        <v>May</v>
      </c>
      <c r="O444" s="1">
        <v>1574.7</v>
      </c>
      <c r="T444" s="4"/>
      <c r="U444" s="1" t="str">
        <f t="shared" si="14"/>
        <v>Normal</v>
      </c>
    </row>
    <row r="445" spans="1:21" x14ac:dyDescent="0.25">
      <c r="A445" s="1" t="s">
        <v>457</v>
      </c>
      <c r="B445" s="4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6" t="str">
        <f t="shared" si="13"/>
        <v>May</v>
      </c>
      <c r="O445" s="1">
        <v>139.28</v>
      </c>
      <c r="T445" s="4"/>
      <c r="U445" s="1" t="str">
        <f t="shared" si="14"/>
        <v>Normal</v>
      </c>
    </row>
    <row r="446" spans="1:21" x14ac:dyDescent="0.25">
      <c r="A446" s="1" t="s">
        <v>458</v>
      </c>
      <c r="B446" s="4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6" t="str">
        <f t="shared" si="13"/>
        <v>Jun</v>
      </c>
      <c r="O446" s="1">
        <v>135.16999999999999</v>
      </c>
      <c r="T446" s="4"/>
      <c r="U446" s="1" t="str">
        <f t="shared" si="14"/>
        <v>Normal</v>
      </c>
    </row>
    <row r="447" spans="1:21" x14ac:dyDescent="0.25">
      <c r="A447" s="1" t="s">
        <v>459</v>
      </c>
      <c r="B447" s="4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6" t="str">
        <f t="shared" si="13"/>
        <v>Mar</v>
      </c>
      <c r="O447" s="1">
        <v>487.21</v>
      </c>
      <c r="T447" s="4"/>
      <c r="U447" s="1" t="str">
        <f t="shared" si="14"/>
        <v>Normal</v>
      </c>
    </row>
    <row r="448" spans="1:21" x14ac:dyDescent="0.25">
      <c r="A448" s="1" t="s">
        <v>460</v>
      </c>
      <c r="B448" s="4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6" t="str">
        <f t="shared" si="13"/>
        <v>Oct</v>
      </c>
      <c r="O448" s="1">
        <v>2547.9</v>
      </c>
      <c r="T448" s="4"/>
      <c r="U448" s="1" t="str">
        <f t="shared" si="14"/>
        <v>Normal</v>
      </c>
    </row>
    <row r="449" spans="1:21" x14ac:dyDescent="0.25">
      <c r="A449" s="1" t="s">
        <v>461</v>
      </c>
      <c r="B449" s="4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6" t="str">
        <f t="shared" si="13"/>
        <v>Apr</v>
      </c>
      <c r="O449" s="1">
        <v>833.62</v>
      </c>
      <c r="T449" s="4"/>
      <c r="U449" s="1" t="str">
        <f t="shared" si="14"/>
        <v>Normal</v>
      </c>
    </row>
    <row r="450" spans="1:21" x14ac:dyDescent="0.25">
      <c r="A450" s="1" t="s">
        <v>462</v>
      </c>
      <c r="B450" s="4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6" t="str">
        <f t="shared" ref="N450:N513" si="15">TEXT(B450,"MMM")</f>
        <v>Sep</v>
      </c>
      <c r="O450" s="1">
        <v>320</v>
      </c>
      <c r="T450" s="4"/>
      <c r="U450" s="1" t="str">
        <f t="shared" si="14"/>
        <v>Normal</v>
      </c>
    </row>
    <row r="451" spans="1:21" x14ac:dyDescent="0.25">
      <c r="A451" s="1" t="s">
        <v>463</v>
      </c>
      <c r="B451" s="4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6" t="str">
        <f t="shared" si="15"/>
        <v>Aug</v>
      </c>
      <c r="O451" s="1">
        <v>759.15000000000009</v>
      </c>
      <c r="T451" s="4"/>
      <c r="U451" s="1" t="str">
        <f t="shared" ref="U451:U514" si="16">IF(O451&gt;$S$2,"Outlier","Normal")</f>
        <v>Normal</v>
      </c>
    </row>
    <row r="452" spans="1:21" x14ac:dyDescent="0.25">
      <c r="A452" s="1" t="s">
        <v>464</v>
      </c>
      <c r="B452" s="4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6" t="str">
        <f t="shared" si="15"/>
        <v>Jan</v>
      </c>
      <c r="O452" s="1">
        <v>3075.5</v>
      </c>
      <c r="T452" s="4"/>
      <c r="U452" s="1" t="str">
        <f t="shared" si="16"/>
        <v>Normal</v>
      </c>
    </row>
    <row r="453" spans="1:21" x14ac:dyDescent="0.25">
      <c r="A453" s="1" t="s">
        <v>465</v>
      </c>
      <c r="B453" s="4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6" t="str">
        <f t="shared" si="15"/>
        <v>Apr</v>
      </c>
      <c r="O453" s="1">
        <v>183.18</v>
      </c>
      <c r="T453" s="4"/>
      <c r="U453" s="1" t="str">
        <f t="shared" si="16"/>
        <v>Normal</v>
      </c>
    </row>
    <row r="454" spans="1:21" x14ac:dyDescent="0.25">
      <c r="A454" s="1" t="s">
        <v>466</v>
      </c>
      <c r="B454" s="4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6" t="str">
        <f t="shared" si="15"/>
        <v>Jul</v>
      </c>
      <c r="O454" s="1">
        <v>75.78</v>
      </c>
      <c r="T454" s="4"/>
      <c r="U454" s="1" t="str">
        <f t="shared" si="16"/>
        <v>Normal</v>
      </c>
    </row>
    <row r="455" spans="1:21" x14ac:dyDescent="0.25">
      <c r="A455" s="1" t="s">
        <v>467</v>
      </c>
      <c r="B455" s="4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6" t="str">
        <f t="shared" si="15"/>
        <v>May</v>
      </c>
      <c r="O455" s="1">
        <v>675.57</v>
      </c>
      <c r="T455" s="4"/>
      <c r="U455" s="1" t="str">
        <f t="shared" si="16"/>
        <v>Normal</v>
      </c>
    </row>
    <row r="456" spans="1:21" x14ac:dyDescent="0.25">
      <c r="A456" s="1" t="s">
        <v>468</v>
      </c>
      <c r="B456" s="4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6" t="str">
        <f t="shared" si="15"/>
        <v>Nov</v>
      </c>
      <c r="O456" s="1">
        <v>109.29</v>
      </c>
      <c r="T456" s="4"/>
      <c r="U456" s="1" t="str">
        <f t="shared" si="16"/>
        <v>Normal</v>
      </c>
    </row>
    <row r="457" spans="1:21" x14ac:dyDescent="0.25">
      <c r="A457" s="1" t="s">
        <v>469</v>
      </c>
      <c r="B457" s="4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6" t="str">
        <f t="shared" si="15"/>
        <v>Mar</v>
      </c>
      <c r="O457" s="1">
        <v>639.83000000000004</v>
      </c>
      <c r="T457" s="4"/>
      <c r="U457" s="1" t="str">
        <f t="shared" si="16"/>
        <v>Normal</v>
      </c>
    </row>
    <row r="458" spans="1:21" x14ac:dyDescent="0.25">
      <c r="A458" s="1" t="s">
        <v>470</v>
      </c>
      <c r="B458" s="4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6" t="str">
        <f t="shared" si="15"/>
        <v>Jun</v>
      </c>
      <c r="O458" s="1">
        <v>314.05</v>
      </c>
      <c r="T458" s="4"/>
      <c r="U458" s="1" t="str">
        <f t="shared" si="16"/>
        <v>Normal</v>
      </c>
    </row>
    <row r="459" spans="1:21" x14ac:dyDescent="0.25">
      <c r="A459" s="1" t="s">
        <v>471</v>
      </c>
      <c r="B459" s="4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6" t="str">
        <f t="shared" si="15"/>
        <v>May</v>
      </c>
      <c r="O459" s="1">
        <v>2463.3200000000002</v>
      </c>
      <c r="T459" s="4"/>
      <c r="U459" s="1" t="str">
        <f t="shared" si="16"/>
        <v>Normal</v>
      </c>
    </row>
    <row r="460" spans="1:21" x14ac:dyDescent="0.25">
      <c r="A460" s="1" t="s">
        <v>472</v>
      </c>
      <c r="B460" s="4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6" t="str">
        <f t="shared" si="15"/>
        <v>Jul</v>
      </c>
      <c r="O460" s="1">
        <v>2042.32</v>
      </c>
      <c r="T460" s="4"/>
      <c r="U460" s="1" t="str">
        <f t="shared" si="16"/>
        <v>Normal</v>
      </c>
    </row>
    <row r="461" spans="1:21" x14ac:dyDescent="0.25">
      <c r="A461" s="1" t="s">
        <v>473</v>
      </c>
      <c r="B461" s="4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6" t="str">
        <f t="shared" si="15"/>
        <v>Jul</v>
      </c>
      <c r="O461" s="1">
        <v>334.39</v>
      </c>
      <c r="T461" s="4"/>
      <c r="U461" s="1" t="str">
        <f t="shared" si="16"/>
        <v>Normal</v>
      </c>
    </row>
    <row r="462" spans="1:21" x14ac:dyDescent="0.25">
      <c r="A462" s="1" t="s">
        <v>474</v>
      </c>
      <c r="B462" s="4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6" t="str">
        <f t="shared" si="15"/>
        <v>Oct</v>
      </c>
      <c r="O462" s="1">
        <v>144.25</v>
      </c>
      <c r="T462" s="4"/>
      <c r="U462" s="1" t="str">
        <f t="shared" si="16"/>
        <v>Normal</v>
      </c>
    </row>
    <row r="463" spans="1:21" x14ac:dyDescent="0.25">
      <c r="A463" s="1" t="s">
        <v>475</v>
      </c>
      <c r="B463" s="4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6" t="str">
        <f t="shared" si="15"/>
        <v>Jun</v>
      </c>
      <c r="O463" s="1">
        <v>401.82</v>
      </c>
      <c r="T463" s="4"/>
      <c r="U463" s="1" t="str">
        <f t="shared" si="16"/>
        <v>Normal</v>
      </c>
    </row>
    <row r="464" spans="1:21" x14ac:dyDescent="0.25">
      <c r="A464" s="1" t="s">
        <v>476</v>
      </c>
      <c r="B464" s="4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6" t="str">
        <f t="shared" si="15"/>
        <v>Mar</v>
      </c>
      <c r="O464" s="1">
        <v>252.68</v>
      </c>
      <c r="T464" s="4"/>
      <c r="U464" s="1" t="str">
        <f t="shared" si="16"/>
        <v>Normal</v>
      </c>
    </row>
    <row r="465" spans="1:21" x14ac:dyDescent="0.25">
      <c r="A465" s="1" t="s">
        <v>477</v>
      </c>
      <c r="B465" s="4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6" t="str">
        <f t="shared" si="15"/>
        <v>May</v>
      </c>
      <c r="O465" s="1">
        <v>3313.9</v>
      </c>
      <c r="T465" s="4"/>
      <c r="U465" s="1" t="str">
        <f t="shared" si="16"/>
        <v>Normal</v>
      </c>
    </row>
    <row r="466" spans="1:21" x14ac:dyDescent="0.25">
      <c r="A466" s="1" t="s">
        <v>478</v>
      </c>
      <c r="B466" s="4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6" t="str">
        <f t="shared" si="15"/>
        <v>Mar</v>
      </c>
      <c r="O466" s="1">
        <v>1737.68</v>
      </c>
      <c r="T466" s="4"/>
      <c r="U466" s="1" t="str">
        <f t="shared" si="16"/>
        <v>Normal</v>
      </c>
    </row>
    <row r="467" spans="1:21" x14ac:dyDescent="0.25">
      <c r="A467" s="1" t="s">
        <v>479</v>
      </c>
      <c r="B467" s="4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6" t="str">
        <f t="shared" si="15"/>
        <v>Feb</v>
      </c>
      <c r="O467" s="1">
        <v>2567.4499999999998</v>
      </c>
      <c r="T467" s="4"/>
      <c r="U467" s="1" t="str">
        <f t="shared" si="16"/>
        <v>Normal</v>
      </c>
    </row>
    <row r="468" spans="1:21" x14ac:dyDescent="0.25">
      <c r="A468" s="1" t="s">
        <v>480</v>
      </c>
      <c r="B468" s="4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6" t="str">
        <f t="shared" si="15"/>
        <v>Jul</v>
      </c>
      <c r="O468" s="1">
        <v>432.47</v>
      </c>
      <c r="T468" s="4"/>
      <c r="U468" s="1" t="str">
        <f t="shared" si="16"/>
        <v>Normal</v>
      </c>
    </row>
    <row r="469" spans="1:21" x14ac:dyDescent="0.25">
      <c r="A469" s="1" t="s">
        <v>481</v>
      </c>
      <c r="B469" s="4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6" t="str">
        <f t="shared" si="15"/>
        <v>Aug</v>
      </c>
      <c r="O469" s="1">
        <v>45.94</v>
      </c>
      <c r="T469" s="4"/>
      <c r="U469" s="1" t="str">
        <f t="shared" si="16"/>
        <v>Normal</v>
      </c>
    </row>
    <row r="470" spans="1:21" x14ac:dyDescent="0.25">
      <c r="A470" s="1" t="s">
        <v>482</v>
      </c>
      <c r="B470" s="4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6" t="str">
        <f t="shared" si="15"/>
        <v>Jun</v>
      </c>
      <c r="O470" s="1">
        <v>418.36</v>
      </c>
      <c r="T470" s="4"/>
      <c r="U470" s="1" t="str">
        <f t="shared" si="16"/>
        <v>Normal</v>
      </c>
    </row>
    <row r="471" spans="1:21" x14ac:dyDescent="0.25">
      <c r="A471" s="1" t="s">
        <v>483</v>
      </c>
      <c r="B471" s="4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6" t="str">
        <f t="shared" si="15"/>
        <v>Nov</v>
      </c>
      <c r="O471" s="1">
        <v>3384.9</v>
      </c>
      <c r="T471" s="4"/>
      <c r="U471" s="1" t="str">
        <f t="shared" si="16"/>
        <v>Outlier</v>
      </c>
    </row>
    <row r="472" spans="1:21" x14ac:dyDescent="0.25">
      <c r="A472" s="1" t="s">
        <v>484</v>
      </c>
      <c r="B472" s="4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6" t="str">
        <f t="shared" si="15"/>
        <v>Sep</v>
      </c>
      <c r="O472" s="1">
        <v>1054.48</v>
      </c>
      <c r="T472" s="4"/>
      <c r="U472" s="1" t="str">
        <f t="shared" si="16"/>
        <v>Normal</v>
      </c>
    </row>
    <row r="473" spans="1:21" x14ac:dyDescent="0.25">
      <c r="A473" s="1" t="s">
        <v>485</v>
      </c>
      <c r="B473" s="4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6" t="str">
        <f t="shared" si="15"/>
        <v>Apr</v>
      </c>
      <c r="O473" s="1">
        <v>2756.35</v>
      </c>
      <c r="T473" s="4"/>
      <c r="U473" s="1" t="str">
        <f t="shared" si="16"/>
        <v>Normal</v>
      </c>
    </row>
    <row r="474" spans="1:21" x14ac:dyDescent="0.25">
      <c r="A474" s="1" t="s">
        <v>486</v>
      </c>
      <c r="B474" s="4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6" t="str">
        <f t="shared" si="15"/>
        <v>Jan</v>
      </c>
      <c r="O474" s="1">
        <v>1524.36</v>
      </c>
      <c r="T474" s="4"/>
      <c r="U474" s="1" t="str">
        <f t="shared" si="16"/>
        <v>Normal</v>
      </c>
    </row>
    <row r="475" spans="1:21" x14ac:dyDescent="0.25">
      <c r="A475" s="1" t="s">
        <v>487</v>
      </c>
      <c r="B475" s="4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6" t="str">
        <f t="shared" si="15"/>
        <v>Feb</v>
      </c>
      <c r="O475" s="1">
        <v>29.86</v>
      </c>
      <c r="T475" s="4"/>
      <c r="U475" s="1" t="str">
        <f t="shared" si="16"/>
        <v>Normal</v>
      </c>
    </row>
    <row r="476" spans="1:21" x14ac:dyDescent="0.25">
      <c r="A476" s="1" t="s">
        <v>488</v>
      </c>
      <c r="B476" s="4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6" t="str">
        <f t="shared" si="15"/>
        <v>Nov</v>
      </c>
      <c r="O476" s="1">
        <v>688.02</v>
      </c>
      <c r="T476" s="4"/>
      <c r="U476" s="1" t="str">
        <f t="shared" si="16"/>
        <v>Normal</v>
      </c>
    </row>
    <row r="477" spans="1:21" x14ac:dyDescent="0.25">
      <c r="A477" s="1" t="s">
        <v>489</v>
      </c>
      <c r="B477" s="4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6" t="str">
        <f t="shared" si="15"/>
        <v>Apr</v>
      </c>
      <c r="O477" s="1">
        <v>877.24</v>
      </c>
      <c r="T477" s="4"/>
      <c r="U477" s="1" t="str">
        <f t="shared" si="16"/>
        <v>Normal</v>
      </c>
    </row>
    <row r="478" spans="1:21" x14ac:dyDescent="0.25">
      <c r="A478" s="1" t="s">
        <v>490</v>
      </c>
      <c r="B478" s="4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6" t="str">
        <f t="shared" si="15"/>
        <v>Jan</v>
      </c>
      <c r="O478" s="1">
        <v>1027.18</v>
      </c>
      <c r="T478" s="4"/>
      <c r="U478" s="1" t="str">
        <f t="shared" si="16"/>
        <v>Normal</v>
      </c>
    </row>
    <row r="479" spans="1:21" x14ac:dyDescent="0.25">
      <c r="A479" s="1" t="s">
        <v>491</v>
      </c>
      <c r="B479" s="4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6" t="str">
        <f t="shared" si="15"/>
        <v>Mar</v>
      </c>
      <c r="O479" s="1">
        <v>507.48</v>
      </c>
      <c r="T479" s="4"/>
      <c r="U479" s="1" t="str">
        <f t="shared" si="16"/>
        <v>Normal</v>
      </c>
    </row>
    <row r="480" spans="1:21" x14ac:dyDescent="0.25">
      <c r="A480" s="1" t="s">
        <v>492</v>
      </c>
      <c r="B480" s="4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6" t="str">
        <f t="shared" si="15"/>
        <v>Nov</v>
      </c>
      <c r="O480" s="1">
        <v>188.31</v>
      </c>
      <c r="T480" s="4"/>
      <c r="U480" s="1" t="str">
        <f t="shared" si="16"/>
        <v>Normal</v>
      </c>
    </row>
    <row r="481" spans="1:21" x14ac:dyDescent="0.25">
      <c r="A481" s="1" t="s">
        <v>493</v>
      </c>
      <c r="B481" s="4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6" t="str">
        <f t="shared" si="15"/>
        <v>Feb</v>
      </c>
      <c r="O481" s="1">
        <v>101.16</v>
      </c>
      <c r="T481" s="4"/>
      <c r="U481" s="1" t="str">
        <f t="shared" si="16"/>
        <v>Normal</v>
      </c>
    </row>
    <row r="482" spans="1:21" x14ac:dyDescent="0.25">
      <c r="A482" s="1" t="s">
        <v>494</v>
      </c>
      <c r="B482" s="4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6" t="str">
        <f t="shared" si="15"/>
        <v>Jun</v>
      </c>
      <c r="O482" s="1">
        <v>335.1</v>
      </c>
      <c r="T482" s="4"/>
      <c r="U482" s="1" t="str">
        <f t="shared" si="16"/>
        <v>Normal</v>
      </c>
    </row>
    <row r="483" spans="1:21" x14ac:dyDescent="0.25">
      <c r="A483" s="1" t="s">
        <v>495</v>
      </c>
      <c r="B483" s="4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6" t="str">
        <f t="shared" si="15"/>
        <v>Apr</v>
      </c>
      <c r="O483" s="1">
        <v>1939.4</v>
      </c>
      <c r="T483" s="4"/>
      <c r="U483" s="1" t="str">
        <f t="shared" si="16"/>
        <v>Normal</v>
      </c>
    </row>
    <row r="484" spans="1:21" x14ac:dyDescent="0.25">
      <c r="A484" s="1" t="s">
        <v>496</v>
      </c>
      <c r="B484" s="4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6" t="str">
        <f t="shared" si="15"/>
        <v>Mar</v>
      </c>
      <c r="O484" s="1">
        <v>1144.23</v>
      </c>
      <c r="T484" s="4"/>
      <c r="U484" s="1" t="str">
        <f t="shared" si="16"/>
        <v>Normal</v>
      </c>
    </row>
    <row r="485" spans="1:21" x14ac:dyDescent="0.25">
      <c r="A485" s="1" t="s">
        <v>497</v>
      </c>
      <c r="B485" s="4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6" t="str">
        <f t="shared" si="15"/>
        <v>Jan</v>
      </c>
      <c r="O485" s="1">
        <v>1739.6</v>
      </c>
      <c r="T485" s="4"/>
      <c r="U485" s="1" t="str">
        <f t="shared" si="16"/>
        <v>Normal</v>
      </c>
    </row>
    <row r="486" spans="1:21" x14ac:dyDescent="0.25">
      <c r="A486" s="1" t="s">
        <v>498</v>
      </c>
      <c r="B486" s="4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6" t="str">
        <f t="shared" si="15"/>
        <v>May</v>
      </c>
      <c r="O486" s="1">
        <v>60.04</v>
      </c>
      <c r="T486" s="4"/>
      <c r="U486" s="1" t="str">
        <f t="shared" si="16"/>
        <v>Normal</v>
      </c>
    </row>
    <row r="487" spans="1:21" x14ac:dyDescent="0.25">
      <c r="A487" s="1" t="s">
        <v>499</v>
      </c>
      <c r="B487" s="4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6" t="str">
        <f t="shared" si="15"/>
        <v>Aug</v>
      </c>
      <c r="O487" s="1">
        <v>1214.3699999999999</v>
      </c>
      <c r="T487" s="4"/>
      <c r="U487" s="1" t="str">
        <f t="shared" si="16"/>
        <v>Normal</v>
      </c>
    </row>
    <row r="488" spans="1:21" x14ac:dyDescent="0.25">
      <c r="A488" s="1" t="s">
        <v>500</v>
      </c>
      <c r="B488" s="4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6" t="str">
        <f t="shared" si="15"/>
        <v>Feb</v>
      </c>
      <c r="O488" s="1">
        <v>2445.04</v>
      </c>
      <c r="T488" s="4"/>
      <c r="U488" s="1" t="str">
        <f t="shared" si="16"/>
        <v>Normal</v>
      </c>
    </row>
    <row r="489" spans="1:21" x14ac:dyDescent="0.25">
      <c r="A489" s="1" t="s">
        <v>501</v>
      </c>
      <c r="B489" s="4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6" t="str">
        <f t="shared" si="15"/>
        <v>Mar</v>
      </c>
      <c r="O489" s="1">
        <v>1039.56</v>
      </c>
      <c r="T489" s="4"/>
      <c r="U489" s="1" t="str">
        <f t="shared" si="16"/>
        <v>Normal</v>
      </c>
    </row>
    <row r="490" spans="1:21" x14ac:dyDescent="0.25">
      <c r="A490" s="1" t="s">
        <v>502</v>
      </c>
      <c r="B490" s="4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6" t="str">
        <f t="shared" si="15"/>
        <v>Dec</v>
      </c>
      <c r="O490" s="1">
        <v>36.65</v>
      </c>
      <c r="T490" s="4"/>
      <c r="U490" s="1" t="str">
        <f t="shared" si="16"/>
        <v>Normal</v>
      </c>
    </row>
    <row r="491" spans="1:21" x14ac:dyDescent="0.25">
      <c r="A491" s="1" t="s">
        <v>503</v>
      </c>
      <c r="B491" s="4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6" t="str">
        <f t="shared" si="15"/>
        <v>Sep</v>
      </c>
      <c r="O491" s="1">
        <v>448.02</v>
      </c>
      <c r="T491" s="4"/>
      <c r="U491" s="1" t="str">
        <f t="shared" si="16"/>
        <v>Normal</v>
      </c>
    </row>
    <row r="492" spans="1:21" x14ac:dyDescent="0.25">
      <c r="A492" s="1" t="s">
        <v>504</v>
      </c>
      <c r="B492" s="4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6" t="str">
        <f t="shared" si="15"/>
        <v>Jul</v>
      </c>
      <c r="O492" s="1">
        <v>2339.0500000000002</v>
      </c>
      <c r="T492" s="4"/>
      <c r="U492" s="1" t="str">
        <f t="shared" si="16"/>
        <v>Normal</v>
      </c>
    </row>
    <row r="493" spans="1:21" x14ac:dyDescent="0.25">
      <c r="A493" s="1" t="s">
        <v>505</v>
      </c>
      <c r="B493" s="4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6" t="str">
        <f t="shared" si="15"/>
        <v>Jan</v>
      </c>
      <c r="O493" s="1">
        <v>2103.5</v>
      </c>
      <c r="T493" s="4"/>
      <c r="U493" s="1" t="str">
        <f t="shared" si="16"/>
        <v>Normal</v>
      </c>
    </row>
    <row r="494" spans="1:21" x14ac:dyDescent="0.25">
      <c r="A494" s="1" t="s">
        <v>506</v>
      </c>
      <c r="B494" s="4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6" t="str">
        <f t="shared" si="15"/>
        <v>Oct</v>
      </c>
      <c r="O494" s="1">
        <v>3032.6</v>
      </c>
      <c r="T494" s="4"/>
      <c r="U494" s="1" t="str">
        <f t="shared" si="16"/>
        <v>Normal</v>
      </c>
    </row>
    <row r="495" spans="1:21" x14ac:dyDescent="0.25">
      <c r="A495" s="1" t="s">
        <v>507</v>
      </c>
      <c r="B495" s="4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6" t="str">
        <f t="shared" si="15"/>
        <v>Jan</v>
      </c>
      <c r="O495" s="1">
        <v>420.26</v>
      </c>
      <c r="T495" s="4"/>
      <c r="U495" s="1" t="str">
        <f t="shared" si="16"/>
        <v>Normal</v>
      </c>
    </row>
    <row r="496" spans="1:21" x14ac:dyDescent="0.25">
      <c r="A496" s="1" t="s">
        <v>508</v>
      </c>
      <c r="B496" s="4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6" t="str">
        <f t="shared" si="15"/>
        <v>Jul</v>
      </c>
      <c r="O496" s="1">
        <v>1517.37</v>
      </c>
      <c r="T496" s="4"/>
      <c r="U496" s="1" t="str">
        <f t="shared" si="16"/>
        <v>Normal</v>
      </c>
    </row>
    <row r="497" spans="1:21" x14ac:dyDescent="0.25">
      <c r="A497" s="1" t="s">
        <v>509</v>
      </c>
      <c r="B497" s="4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6" t="str">
        <f t="shared" si="15"/>
        <v>Jun</v>
      </c>
      <c r="O497" s="1">
        <v>1974.92</v>
      </c>
      <c r="T497" s="4"/>
      <c r="U497" s="1" t="str">
        <f t="shared" si="16"/>
        <v>Normal</v>
      </c>
    </row>
    <row r="498" spans="1:21" x14ac:dyDescent="0.25">
      <c r="A498" s="1" t="s">
        <v>510</v>
      </c>
      <c r="B498" s="4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6" t="str">
        <f t="shared" si="15"/>
        <v>Mar</v>
      </c>
      <c r="O498" s="1">
        <v>603.63</v>
      </c>
      <c r="T498" s="4"/>
      <c r="U498" s="1" t="str">
        <f t="shared" si="16"/>
        <v>Normal</v>
      </c>
    </row>
    <row r="499" spans="1:21" x14ac:dyDescent="0.25">
      <c r="A499" s="1" t="s">
        <v>511</v>
      </c>
      <c r="B499" s="4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6" t="str">
        <f t="shared" si="15"/>
        <v>Oct</v>
      </c>
      <c r="O499" s="1">
        <v>336.87</v>
      </c>
      <c r="T499" s="4"/>
      <c r="U499" s="1" t="str">
        <f t="shared" si="16"/>
        <v>Normal</v>
      </c>
    </row>
    <row r="500" spans="1:21" x14ac:dyDescent="0.25">
      <c r="A500" s="1" t="s">
        <v>512</v>
      </c>
      <c r="B500" s="4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6" t="str">
        <f t="shared" si="15"/>
        <v>Jul</v>
      </c>
      <c r="O500" s="1">
        <v>530.24</v>
      </c>
      <c r="T500" s="4"/>
      <c r="U500" s="1" t="str">
        <f t="shared" si="16"/>
        <v>Normal</v>
      </c>
    </row>
    <row r="501" spans="1:21" x14ac:dyDescent="0.25">
      <c r="A501" s="1" t="s">
        <v>513</v>
      </c>
      <c r="B501" s="4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6" t="str">
        <f t="shared" si="15"/>
        <v>Apr</v>
      </c>
      <c r="O501" s="1">
        <v>1618.38</v>
      </c>
      <c r="T501" s="4"/>
      <c r="U501" s="1" t="str">
        <f t="shared" si="16"/>
        <v>Normal</v>
      </c>
    </row>
    <row r="502" spans="1:21" x14ac:dyDescent="0.25">
      <c r="A502" s="1" t="s">
        <v>514</v>
      </c>
      <c r="B502" s="4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6" t="str">
        <f t="shared" si="15"/>
        <v>Apr</v>
      </c>
      <c r="O502" s="1">
        <v>2542.9499999999998</v>
      </c>
      <c r="T502" s="4"/>
      <c r="U502" s="1" t="str">
        <f t="shared" si="16"/>
        <v>Normal</v>
      </c>
    </row>
    <row r="503" spans="1:21" x14ac:dyDescent="0.25">
      <c r="A503" s="1" t="s">
        <v>515</v>
      </c>
      <c r="B503" s="4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6" t="str">
        <f t="shared" si="15"/>
        <v>Feb</v>
      </c>
      <c r="O503" s="1">
        <v>813.84</v>
      </c>
      <c r="T503" s="4"/>
      <c r="U503" s="1" t="str">
        <f t="shared" si="16"/>
        <v>Normal</v>
      </c>
    </row>
    <row r="504" spans="1:21" x14ac:dyDescent="0.25">
      <c r="A504" s="1" t="s">
        <v>516</v>
      </c>
      <c r="B504" s="4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6" t="str">
        <f t="shared" si="15"/>
        <v>May</v>
      </c>
      <c r="O504" s="1">
        <v>1695.75</v>
      </c>
      <c r="T504" s="4"/>
      <c r="U504" s="1" t="str">
        <f t="shared" si="16"/>
        <v>Normal</v>
      </c>
    </row>
    <row r="505" spans="1:21" x14ac:dyDescent="0.25">
      <c r="A505" s="1" t="s">
        <v>517</v>
      </c>
      <c r="B505" s="4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6" t="str">
        <f t="shared" si="15"/>
        <v>Aug</v>
      </c>
      <c r="O505" s="1">
        <v>410.52</v>
      </c>
      <c r="T505" s="4"/>
      <c r="U505" s="1" t="str">
        <f t="shared" si="16"/>
        <v>Normal</v>
      </c>
    </row>
    <row r="506" spans="1:21" x14ac:dyDescent="0.25">
      <c r="A506" s="1" t="s">
        <v>518</v>
      </c>
      <c r="B506" s="4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6" t="str">
        <f t="shared" si="15"/>
        <v>Jun</v>
      </c>
      <c r="O506" s="1">
        <v>929</v>
      </c>
      <c r="T506" s="4"/>
      <c r="U506" s="1" t="str">
        <f t="shared" si="16"/>
        <v>Normal</v>
      </c>
    </row>
    <row r="507" spans="1:21" x14ac:dyDescent="0.25">
      <c r="A507" s="1" t="s">
        <v>519</v>
      </c>
      <c r="B507" s="4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6" t="str">
        <f t="shared" si="15"/>
        <v>Jun</v>
      </c>
      <c r="O507" s="1">
        <v>869.94</v>
      </c>
      <c r="T507" s="4"/>
      <c r="U507" s="1" t="str">
        <f t="shared" si="16"/>
        <v>Normal</v>
      </c>
    </row>
    <row r="508" spans="1:21" x14ac:dyDescent="0.25">
      <c r="A508" s="1" t="s">
        <v>520</v>
      </c>
      <c r="B508" s="4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6" t="str">
        <f t="shared" si="15"/>
        <v>Jul</v>
      </c>
      <c r="O508" s="1">
        <v>87.34</v>
      </c>
      <c r="T508" s="4"/>
      <c r="U508" s="1" t="str">
        <f t="shared" si="16"/>
        <v>Normal</v>
      </c>
    </row>
    <row r="509" spans="1:21" x14ac:dyDescent="0.25">
      <c r="A509" s="1" t="s">
        <v>521</v>
      </c>
      <c r="B509" s="4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6" t="str">
        <f t="shared" si="15"/>
        <v>Jul</v>
      </c>
      <c r="O509" s="1">
        <v>171.59</v>
      </c>
      <c r="T509" s="4"/>
      <c r="U509" s="1" t="str">
        <f t="shared" si="16"/>
        <v>Normal</v>
      </c>
    </row>
    <row r="510" spans="1:21" x14ac:dyDescent="0.25">
      <c r="A510" s="1" t="s">
        <v>522</v>
      </c>
      <c r="B510" s="4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6" t="str">
        <f t="shared" si="15"/>
        <v>May</v>
      </c>
      <c r="O510" s="1">
        <v>558.27</v>
      </c>
      <c r="T510" s="4"/>
      <c r="U510" s="1" t="str">
        <f t="shared" si="16"/>
        <v>Normal</v>
      </c>
    </row>
    <row r="511" spans="1:21" x14ac:dyDescent="0.25">
      <c r="A511" s="1" t="s">
        <v>523</v>
      </c>
      <c r="B511" s="4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6" t="str">
        <f t="shared" si="15"/>
        <v>Feb</v>
      </c>
      <c r="O511" s="1">
        <v>850.06</v>
      </c>
      <c r="T511" s="4"/>
      <c r="U511" s="1" t="str">
        <f t="shared" si="16"/>
        <v>Normal</v>
      </c>
    </row>
    <row r="512" spans="1:21" x14ac:dyDescent="0.25">
      <c r="A512" s="1" t="s">
        <v>524</v>
      </c>
      <c r="B512" s="4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6" t="str">
        <f t="shared" si="15"/>
        <v>Dec</v>
      </c>
      <c r="O512" s="1">
        <v>376.76</v>
      </c>
      <c r="T512" s="4"/>
      <c r="U512" s="1" t="str">
        <f t="shared" si="16"/>
        <v>Normal</v>
      </c>
    </row>
    <row r="513" spans="1:21" x14ac:dyDescent="0.25">
      <c r="A513" s="1" t="s">
        <v>525</v>
      </c>
      <c r="B513" s="4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6" t="str">
        <f t="shared" si="15"/>
        <v>Mar</v>
      </c>
      <c r="O513" s="1">
        <v>2876.2</v>
      </c>
      <c r="T513" s="4"/>
      <c r="U513" s="1" t="str">
        <f t="shared" si="16"/>
        <v>Normal</v>
      </c>
    </row>
    <row r="514" spans="1:21" x14ac:dyDescent="0.25">
      <c r="A514" s="1" t="s">
        <v>526</v>
      </c>
      <c r="B514" s="4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6" t="str">
        <f t="shared" ref="N514:N577" si="17">TEXT(B514,"MMM")</f>
        <v>Sep</v>
      </c>
      <c r="O514" s="1">
        <v>1704.06</v>
      </c>
      <c r="T514" s="4"/>
      <c r="U514" s="1" t="str">
        <f t="shared" si="16"/>
        <v>Normal</v>
      </c>
    </row>
    <row r="515" spans="1:21" x14ac:dyDescent="0.25">
      <c r="A515" s="1" t="s">
        <v>527</v>
      </c>
      <c r="B515" s="4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6" t="str">
        <f t="shared" si="17"/>
        <v>Feb</v>
      </c>
      <c r="O515" s="1">
        <v>284.64</v>
      </c>
      <c r="T515" s="4"/>
      <c r="U515" s="1" t="str">
        <f t="shared" ref="U515:U578" si="18">IF(O515&gt;$S$2,"Outlier","Normal")</f>
        <v>Normal</v>
      </c>
    </row>
    <row r="516" spans="1:21" x14ac:dyDescent="0.25">
      <c r="A516" s="1" t="s">
        <v>528</v>
      </c>
      <c r="B516" s="4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6" t="str">
        <f t="shared" si="17"/>
        <v>Apr</v>
      </c>
      <c r="O516" s="1">
        <v>912.44999999999993</v>
      </c>
      <c r="T516" s="4"/>
      <c r="U516" s="1" t="str">
        <f t="shared" si="18"/>
        <v>Normal</v>
      </c>
    </row>
    <row r="517" spans="1:21" x14ac:dyDescent="0.25">
      <c r="A517" s="1" t="s">
        <v>529</v>
      </c>
      <c r="B517" s="4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6" t="str">
        <f t="shared" si="17"/>
        <v>Mar</v>
      </c>
      <c r="O517" s="1">
        <v>1660.56</v>
      </c>
      <c r="T517" s="4"/>
      <c r="U517" s="1" t="str">
        <f t="shared" si="18"/>
        <v>Normal</v>
      </c>
    </row>
    <row r="518" spans="1:21" x14ac:dyDescent="0.25">
      <c r="A518" s="1" t="s">
        <v>530</v>
      </c>
      <c r="B518" s="4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6" t="str">
        <f t="shared" si="17"/>
        <v>Apr</v>
      </c>
      <c r="O518" s="1">
        <v>500.97</v>
      </c>
      <c r="T518" s="4"/>
      <c r="U518" s="1" t="str">
        <f t="shared" si="18"/>
        <v>Normal</v>
      </c>
    </row>
    <row r="519" spans="1:21" x14ac:dyDescent="0.25">
      <c r="A519" s="1" t="s">
        <v>531</v>
      </c>
      <c r="B519" s="4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6" t="str">
        <f t="shared" si="17"/>
        <v>Apr</v>
      </c>
      <c r="O519" s="1">
        <v>793.4</v>
      </c>
      <c r="T519" s="4"/>
      <c r="U519" s="1" t="str">
        <f t="shared" si="18"/>
        <v>Normal</v>
      </c>
    </row>
    <row r="520" spans="1:21" x14ac:dyDescent="0.25">
      <c r="A520" s="1" t="s">
        <v>532</v>
      </c>
      <c r="B520" s="4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6" t="str">
        <f t="shared" si="17"/>
        <v>Jun</v>
      </c>
      <c r="O520" s="1">
        <v>1614.32</v>
      </c>
      <c r="T520" s="4"/>
      <c r="U520" s="1" t="str">
        <f t="shared" si="18"/>
        <v>Normal</v>
      </c>
    </row>
    <row r="521" spans="1:21" x14ac:dyDescent="0.25">
      <c r="A521" s="1" t="s">
        <v>533</v>
      </c>
      <c r="B521" s="4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6" t="str">
        <f t="shared" si="17"/>
        <v>May</v>
      </c>
      <c r="O521" s="1">
        <v>1857.16</v>
      </c>
      <c r="T521" s="4"/>
      <c r="U521" s="1" t="str">
        <f t="shared" si="18"/>
        <v>Normal</v>
      </c>
    </row>
    <row r="522" spans="1:21" x14ac:dyDescent="0.25">
      <c r="A522" s="1" t="s">
        <v>534</v>
      </c>
      <c r="B522" s="4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6" t="str">
        <f t="shared" si="17"/>
        <v>Mar</v>
      </c>
      <c r="O522" s="1">
        <v>1907.94</v>
      </c>
      <c r="T522" s="4"/>
      <c r="U522" s="1" t="str">
        <f t="shared" si="18"/>
        <v>Normal</v>
      </c>
    </row>
    <row r="523" spans="1:21" x14ac:dyDescent="0.25">
      <c r="A523" s="1" t="s">
        <v>535</v>
      </c>
      <c r="B523" s="4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6" t="str">
        <f t="shared" si="17"/>
        <v>Feb</v>
      </c>
      <c r="O523" s="1">
        <v>528.05999999999995</v>
      </c>
      <c r="T523" s="4"/>
      <c r="U523" s="1" t="str">
        <f t="shared" si="18"/>
        <v>Normal</v>
      </c>
    </row>
    <row r="524" spans="1:21" x14ac:dyDescent="0.25">
      <c r="A524" s="1" t="s">
        <v>536</v>
      </c>
      <c r="B524" s="4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6" t="str">
        <f t="shared" si="17"/>
        <v>Apr</v>
      </c>
      <c r="O524" s="1">
        <v>515.32000000000005</v>
      </c>
      <c r="T524" s="4"/>
      <c r="U524" s="1" t="str">
        <f t="shared" si="18"/>
        <v>Normal</v>
      </c>
    </row>
    <row r="525" spans="1:21" x14ac:dyDescent="0.25">
      <c r="A525" s="1" t="s">
        <v>537</v>
      </c>
      <c r="B525" s="4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6" t="str">
        <f t="shared" si="17"/>
        <v>Feb</v>
      </c>
      <c r="O525" s="1">
        <v>2631.16</v>
      </c>
      <c r="T525" s="4"/>
      <c r="U525" s="1" t="str">
        <f t="shared" si="18"/>
        <v>Normal</v>
      </c>
    </row>
    <row r="526" spans="1:21" x14ac:dyDescent="0.25">
      <c r="A526" s="1" t="s">
        <v>538</v>
      </c>
      <c r="B526" s="4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6" t="str">
        <f t="shared" si="17"/>
        <v>Oct</v>
      </c>
      <c r="O526" s="1">
        <v>153</v>
      </c>
      <c r="T526" s="4"/>
      <c r="U526" s="1" t="str">
        <f t="shared" si="18"/>
        <v>Normal</v>
      </c>
    </row>
    <row r="527" spans="1:21" x14ac:dyDescent="0.25">
      <c r="A527" s="1" t="s">
        <v>539</v>
      </c>
      <c r="B527" s="4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6" t="str">
        <f t="shared" si="17"/>
        <v>Dec</v>
      </c>
      <c r="O527" s="1">
        <v>668.48</v>
      </c>
      <c r="T527" s="4"/>
      <c r="U527" s="1" t="str">
        <f t="shared" si="18"/>
        <v>Normal</v>
      </c>
    </row>
    <row r="528" spans="1:21" x14ac:dyDescent="0.25">
      <c r="A528" s="1" t="s">
        <v>540</v>
      </c>
      <c r="B528" s="4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6" t="str">
        <f t="shared" si="17"/>
        <v>Feb</v>
      </c>
      <c r="O528" s="1">
        <v>93</v>
      </c>
      <c r="T528" s="4"/>
      <c r="U528" s="1" t="str">
        <f t="shared" si="18"/>
        <v>Normal</v>
      </c>
    </row>
    <row r="529" spans="1:21" x14ac:dyDescent="0.25">
      <c r="A529" s="1" t="s">
        <v>541</v>
      </c>
      <c r="B529" s="4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6" t="str">
        <f t="shared" si="17"/>
        <v>Aug</v>
      </c>
      <c r="O529" s="1">
        <v>3267.35</v>
      </c>
      <c r="T529" s="4"/>
      <c r="U529" s="1" t="str">
        <f t="shared" si="18"/>
        <v>Normal</v>
      </c>
    </row>
    <row r="530" spans="1:21" x14ac:dyDescent="0.25">
      <c r="A530" s="1" t="s">
        <v>542</v>
      </c>
      <c r="B530" s="4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6" t="str">
        <f t="shared" si="17"/>
        <v>Feb</v>
      </c>
      <c r="O530" s="1">
        <v>628.89</v>
      </c>
      <c r="T530" s="4"/>
      <c r="U530" s="1" t="str">
        <f t="shared" si="18"/>
        <v>Normal</v>
      </c>
    </row>
    <row r="531" spans="1:21" x14ac:dyDescent="0.25">
      <c r="A531" s="1" t="s">
        <v>543</v>
      </c>
      <c r="B531" s="4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6" t="str">
        <f t="shared" si="17"/>
        <v>Apr</v>
      </c>
      <c r="O531" s="1">
        <v>1350.2</v>
      </c>
      <c r="T531" s="4"/>
      <c r="U531" s="1" t="str">
        <f t="shared" si="18"/>
        <v>Normal</v>
      </c>
    </row>
    <row r="532" spans="1:21" x14ac:dyDescent="0.25">
      <c r="A532" s="1" t="s">
        <v>544</v>
      </c>
      <c r="B532" s="4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6" t="str">
        <f t="shared" si="17"/>
        <v>Jul</v>
      </c>
      <c r="O532" s="1">
        <v>357.64</v>
      </c>
      <c r="T532" s="4"/>
      <c r="U532" s="1" t="str">
        <f t="shared" si="18"/>
        <v>Normal</v>
      </c>
    </row>
    <row r="533" spans="1:21" x14ac:dyDescent="0.25">
      <c r="A533" s="1" t="s">
        <v>545</v>
      </c>
      <c r="B533" s="4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6" t="str">
        <f t="shared" si="17"/>
        <v>Jul</v>
      </c>
      <c r="O533" s="1">
        <v>1600.05</v>
      </c>
      <c r="T533" s="4"/>
      <c r="U533" s="1" t="str">
        <f t="shared" si="18"/>
        <v>Normal</v>
      </c>
    </row>
    <row r="534" spans="1:21" x14ac:dyDescent="0.25">
      <c r="A534" s="1" t="s">
        <v>546</v>
      </c>
      <c r="B534" s="4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6" t="str">
        <f t="shared" si="17"/>
        <v>May</v>
      </c>
      <c r="O534" s="1">
        <v>82</v>
      </c>
      <c r="T534" s="4"/>
      <c r="U534" s="1" t="str">
        <f t="shared" si="18"/>
        <v>Normal</v>
      </c>
    </row>
    <row r="535" spans="1:21" x14ac:dyDescent="0.25">
      <c r="A535" s="1" t="s">
        <v>547</v>
      </c>
      <c r="B535" s="4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6" t="str">
        <f t="shared" si="17"/>
        <v>Mar</v>
      </c>
      <c r="O535" s="1">
        <v>565.85</v>
      </c>
      <c r="T535" s="4"/>
      <c r="U535" s="1" t="str">
        <f t="shared" si="18"/>
        <v>Normal</v>
      </c>
    </row>
    <row r="536" spans="1:21" x14ac:dyDescent="0.25">
      <c r="A536" s="1" t="s">
        <v>548</v>
      </c>
      <c r="B536" s="4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6" t="str">
        <f t="shared" si="17"/>
        <v>Jun</v>
      </c>
      <c r="O536" s="1">
        <v>1945.77</v>
      </c>
      <c r="T536" s="4"/>
      <c r="U536" s="1" t="str">
        <f t="shared" si="18"/>
        <v>Normal</v>
      </c>
    </row>
    <row r="537" spans="1:21" x14ac:dyDescent="0.25">
      <c r="A537" s="1" t="s">
        <v>549</v>
      </c>
      <c r="B537" s="4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6" t="str">
        <f t="shared" si="17"/>
        <v>Jul</v>
      </c>
      <c r="O537" s="1">
        <v>204.36</v>
      </c>
      <c r="T537" s="4"/>
      <c r="U537" s="1" t="str">
        <f t="shared" si="18"/>
        <v>Normal</v>
      </c>
    </row>
    <row r="538" spans="1:21" x14ac:dyDescent="0.25">
      <c r="A538" s="1" t="s">
        <v>550</v>
      </c>
      <c r="B538" s="4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6" t="str">
        <f t="shared" si="17"/>
        <v>Jun</v>
      </c>
      <c r="O538" s="1">
        <v>616.1</v>
      </c>
      <c r="T538" s="4"/>
      <c r="U538" s="1" t="str">
        <f t="shared" si="18"/>
        <v>Normal</v>
      </c>
    </row>
    <row r="539" spans="1:21" x14ac:dyDescent="0.25">
      <c r="A539" s="1" t="s">
        <v>551</v>
      </c>
      <c r="B539" s="4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6" t="str">
        <f t="shared" si="17"/>
        <v>Mar</v>
      </c>
      <c r="O539" s="1">
        <v>742.41</v>
      </c>
      <c r="T539" s="4"/>
      <c r="U539" s="1" t="str">
        <f t="shared" si="18"/>
        <v>Normal</v>
      </c>
    </row>
    <row r="540" spans="1:21" x14ac:dyDescent="0.25">
      <c r="A540" s="1" t="s">
        <v>552</v>
      </c>
      <c r="B540" s="4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6" t="str">
        <f t="shared" si="17"/>
        <v>May</v>
      </c>
      <c r="O540" s="1">
        <v>1472.22</v>
      </c>
      <c r="T540" s="4"/>
      <c r="U540" s="1" t="str">
        <f t="shared" si="18"/>
        <v>Normal</v>
      </c>
    </row>
    <row r="541" spans="1:21" x14ac:dyDescent="0.25">
      <c r="A541" s="1" t="s">
        <v>553</v>
      </c>
      <c r="B541" s="4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6" t="str">
        <f t="shared" si="17"/>
        <v>Feb</v>
      </c>
      <c r="O541" s="1">
        <v>1595.16</v>
      </c>
      <c r="T541" s="4"/>
      <c r="U541" s="1" t="str">
        <f t="shared" si="18"/>
        <v>Normal</v>
      </c>
    </row>
    <row r="542" spans="1:21" x14ac:dyDescent="0.25">
      <c r="A542" s="1" t="s">
        <v>554</v>
      </c>
      <c r="B542" s="4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6" t="str">
        <f t="shared" si="17"/>
        <v>Jan</v>
      </c>
      <c r="O542" s="1">
        <v>3243.25</v>
      </c>
      <c r="T542" s="4"/>
      <c r="U542" s="1" t="str">
        <f t="shared" si="18"/>
        <v>Normal</v>
      </c>
    </row>
    <row r="543" spans="1:21" x14ac:dyDescent="0.25">
      <c r="A543" s="1" t="s">
        <v>555</v>
      </c>
      <c r="B543" s="4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6" t="str">
        <f t="shared" si="17"/>
        <v>Aug</v>
      </c>
      <c r="O543" s="1">
        <v>2280.3000000000002</v>
      </c>
      <c r="T543" s="4"/>
      <c r="U543" s="1" t="str">
        <f t="shared" si="18"/>
        <v>Normal</v>
      </c>
    </row>
    <row r="544" spans="1:21" x14ac:dyDescent="0.25">
      <c r="A544" s="1" t="s">
        <v>556</v>
      </c>
      <c r="B544" s="4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6" t="str">
        <f t="shared" si="17"/>
        <v>Nov</v>
      </c>
      <c r="O544" s="1">
        <v>17.98</v>
      </c>
      <c r="T544" s="4"/>
      <c r="U544" s="1" t="str">
        <f t="shared" si="18"/>
        <v>Normal</v>
      </c>
    </row>
    <row r="545" spans="1:21" x14ac:dyDescent="0.25">
      <c r="A545" s="1" t="s">
        <v>557</v>
      </c>
      <c r="B545" s="4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6" t="str">
        <f t="shared" si="17"/>
        <v>Mar</v>
      </c>
      <c r="O545" s="1">
        <v>1349.3</v>
      </c>
      <c r="T545" s="4"/>
      <c r="U545" s="1" t="str">
        <f t="shared" si="18"/>
        <v>Normal</v>
      </c>
    </row>
    <row r="546" spans="1:21" x14ac:dyDescent="0.25">
      <c r="A546" s="1" t="s">
        <v>558</v>
      </c>
      <c r="B546" s="4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6" t="str">
        <f t="shared" si="17"/>
        <v>Mar</v>
      </c>
      <c r="O546" s="1">
        <v>159.80000000000001</v>
      </c>
      <c r="T546" s="4"/>
      <c r="U546" s="1" t="str">
        <f t="shared" si="18"/>
        <v>Normal</v>
      </c>
    </row>
    <row r="547" spans="1:21" x14ac:dyDescent="0.25">
      <c r="A547" s="1" t="s">
        <v>559</v>
      </c>
      <c r="B547" s="4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6" t="str">
        <f t="shared" si="17"/>
        <v>Dec</v>
      </c>
      <c r="O547" s="1">
        <v>196.94</v>
      </c>
      <c r="T547" s="4"/>
      <c r="U547" s="1" t="str">
        <f t="shared" si="18"/>
        <v>Normal</v>
      </c>
    </row>
    <row r="548" spans="1:21" x14ac:dyDescent="0.25">
      <c r="A548" s="1" t="s">
        <v>560</v>
      </c>
      <c r="B548" s="4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6" t="str">
        <f t="shared" si="17"/>
        <v>Mar</v>
      </c>
      <c r="O548" s="1">
        <v>158.68</v>
      </c>
      <c r="T548" s="4"/>
      <c r="U548" s="1" t="str">
        <f t="shared" si="18"/>
        <v>Normal</v>
      </c>
    </row>
    <row r="549" spans="1:21" x14ac:dyDescent="0.25">
      <c r="A549" s="1" t="s">
        <v>561</v>
      </c>
      <c r="B549" s="4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6" t="str">
        <f t="shared" si="17"/>
        <v>Aug</v>
      </c>
      <c r="O549" s="1">
        <v>613.98</v>
      </c>
      <c r="T549" s="4"/>
      <c r="U549" s="1" t="str">
        <f t="shared" si="18"/>
        <v>Normal</v>
      </c>
    </row>
    <row r="550" spans="1:21" x14ac:dyDescent="0.25">
      <c r="A550" s="1" t="s">
        <v>562</v>
      </c>
      <c r="B550" s="4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6" t="str">
        <f t="shared" si="17"/>
        <v>Jan</v>
      </c>
      <c r="O550" s="1">
        <v>1278.3599999999999</v>
      </c>
      <c r="T550" s="4"/>
      <c r="U550" s="1" t="str">
        <f t="shared" si="18"/>
        <v>Normal</v>
      </c>
    </row>
    <row r="551" spans="1:21" x14ac:dyDescent="0.25">
      <c r="A551" s="1" t="s">
        <v>563</v>
      </c>
      <c r="B551" s="4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6" t="str">
        <f t="shared" si="17"/>
        <v>Feb</v>
      </c>
      <c r="O551" s="1">
        <v>2519.52</v>
      </c>
      <c r="T551" s="4"/>
      <c r="U551" s="1" t="str">
        <f t="shared" si="18"/>
        <v>Normal</v>
      </c>
    </row>
    <row r="552" spans="1:21" x14ac:dyDescent="0.25">
      <c r="A552" s="1" t="s">
        <v>564</v>
      </c>
      <c r="B552" s="4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6" t="str">
        <f t="shared" si="17"/>
        <v>Oct</v>
      </c>
      <c r="O552" s="1">
        <v>915.64</v>
      </c>
      <c r="T552" s="4"/>
      <c r="U552" s="1" t="str">
        <f t="shared" si="18"/>
        <v>Normal</v>
      </c>
    </row>
    <row r="553" spans="1:21" x14ac:dyDescent="0.25">
      <c r="A553" s="1" t="s">
        <v>565</v>
      </c>
      <c r="B553" s="4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6" t="str">
        <f t="shared" si="17"/>
        <v>May</v>
      </c>
      <c r="O553" s="1">
        <v>120.98</v>
      </c>
      <c r="T553" s="4"/>
      <c r="U553" s="1" t="str">
        <f t="shared" si="18"/>
        <v>Normal</v>
      </c>
    </row>
    <row r="554" spans="1:21" x14ac:dyDescent="0.25">
      <c r="A554" s="1" t="s">
        <v>566</v>
      </c>
      <c r="B554" s="4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6" t="str">
        <f t="shared" si="17"/>
        <v>Sep</v>
      </c>
      <c r="O554" s="1">
        <v>1700.72</v>
      </c>
      <c r="T554" s="4"/>
      <c r="U554" s="1" t="str">
        <f t="shared" si="18"/>
        <v>Normal</v>
      </c>
    </row>
    <row r="555" spans="1:21" x14ac:dyDescent="0.25">
      <c r="A555" s="1" t="s">
        <v>567</v>
      </c>
      <c r="B555" s="4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6" t="str">
        <f t="shared" si="17"/>
        <v>Aug</v>
      </c>
      <c r="O555" s="1">
        <v>667.66</v>
      </c>
      <c r="T555" s="4"/>
      <c r="U555" s="1" t="str">
        <f t="shared" si="18"/>
        <v>Normal</v>
      </c>
    </row>
    <row r="556" spans="1:21" x14ac:dyDescent="0.25">
      <c r="A556" s="1" t="s">
        <v>568</v>
      </c>
      <c r="B556" s="4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6" t="str">
        <f t="shared" si="17"/>
        <v>May</v>
      </c>
      <c r="O556" s="1">
        <v>985.8</v>
      </c>
      <c r="T556" s="4"/>
      <c r="U556" s="1" t="str">
        <f t="shared" si="18"/>
        <v>Normal</v>
      </c>
    </row>
    <row r="557" spans="1:21" x14ac:dyDescent="0.25">
      <c r="A557" s="1" t="s">
        <v>569</v>
      </c>
      <c r="B557" s="4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6" t="str">
        <f t="shared" si="17"/>
        <v>Jan</v>
      </c>
      <c r="O557" s="1">
        <v>92.04</v>
      </c>
      <c r="T557" s="4"/>
      <c r="U557" s="1" t="str">
        <f t="shared" si="18"/>
        <v>Normal</v>
      </c>
    </row>
    <row r="558" spans="1:21" x14ac:dyDescent="0.25">
      <c r="A558" s="1" t="s">
        <v>570</v>
      </c>
      <c r="B558" s="4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6" t="str">
        <f t="shared" si="17"/>
        <v>Jan</v>
      </c>
      <c r="O558" s="1">
        <v>654.27</v>
      </c>
      <c r="T558" s="4"/>
      <c r="U558" s="1" t="str">
        <f t="shared" si="18"/>
        <v>Normal</v>
      </c>
    </row>
    <row r="559" spans="1:21" x14ac:dyDescent="0.25">
      <c r="A559" s="1" t="s">
        <v>571</v>
      </c>
      <c r="B559" s="4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6" t="str">
        <f t="shared" si="17"/>
        <v>Jun</v>
      </c>
      <c r="O559" s="1">
        <v>56.2</v>
      </c>
      <c r="T559" s="4"/>
      <c r="U559" s="1" t="str">
        <f t="shared" si="18"/>
        <v>Normal</v>
      </c>
    </row>
    <row r="560" spans="1:21" x14ac:dyDescent="0.25">
      <c r="A560" s="1" t="s">
        <v>572</v>
      </c>
      <c r="B560" s="4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6" t="str">
        <f t="shared" si="17"/>
        <v>Jul</v>
      </c>
      <c r="O560" s="1">
        <v>2512.48</v>
      </c>
      <c r="T560" s="4"/>
      <c r="U560" s="1" t="str">
        <f t="shared" si="18"/>
        <v>Normal</v>
      </c>
    </row>
    <row r="561" spans="1:21" x14ac:dyDescent="0.25">
      <c r="A561" s="1" t="s">
        <v>573</v>
      </c>
      <c r="B561" s="4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6" t="str">
        <f t="shared" si="17"/>
        <v>Apr</v>
      </c>
      <c r="O561" s="1">
        <v>472.2</v>
      </c>
      <c r="T561" s="4"/>
      <c r="U561" s="1" t="str">
        <f t="shared" si="18"/>
        <v>Normal</v>
      </c>
    </row>
    <row r="562" spans="1:21" x14ac:dyDescent="0.25">
      <c r="A562" s="1" t="s">
        <v>574</v>
      </c>
      <c r="B562" s="4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6" t="str">
        <f t="shared" si="17"/>
        <v>Jan</v>
      </c>
      <c r="O562" s="1">
        <v>2355.4</v>
      </c>
      <c r="T562" s="4"/>
      <c r="U562" s="1" t="str">
        <f t="shared" si="18"/>
        <v>Normal</v>
      </c>
    </row>
    <row r="563" spans="1:21" x14ac:dyDescent="0.25">
      <c r="A563" s="1" t="s">
        <v>575</v>
      </c>
      <c r="B563" s="4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6" t="str">
        <f t="shared" si="17"/>
        <v>Jan</v>
      </c>
      <c r="O563" s="1">
        <v>989.56</v>
      </c>
      <c r="T563" s="4"/>
      <c r="U563" s="1" t="str">
        <f t="shared" si="18"/>
        <v>Normal</v>
      </c>
    </row>
    <row r="564" spans="1:21" x14ac:dyDescent="0.25">
      <c r="A564" s="1" t="s">
        <v>576</v>
      </c>
      <c r="B564" s="4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6" t="str">
        <f t="shared" si="17"/>
        <v>Oct</v>
      </c>
      <c r="O564" s="1">
        <v>1991.79</v>
      </c>
      <c r="T564" s="4"/>
      <c r="U564" s="1" t="str">
        <f t="shared" si="18"/>
        <v>Normal</v>
      </c>
    </row>
    <row r="565" spans="1:21" x14ac:dyDescent="0.25">
      <c r="A565" s="1" t="s">
        <v>577</v>
      </c>
      <c r="B565" s="4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6" t="str">
        <f t="shared" si="17"/>
        <v>Dec</v>
      </c>
      <c r="O565" s="1">
        <v>132.68</v>
      </c>
      <c r="T565" s="4"/>
      <c r="U565" s="1" t="str">
        <f t="shared" si="18"/>
        <v>Normal</v>
      </c>
    </row>
    <row r="566" spans="1:21" x14ac:dyDescent="0.25">
      <c r="A566" s="1" t="s">
        <v>578</v>
      </c>
      <c r="B566" s="4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6" t="str">
        <f t="shared" si="17"/>
        <v>Apr</v>
      </c>
      <c r="O566" s="1">
        <v>1821.4</v>
      </c>
      <c r="T566" s="4"/>
      <c r="U566" s="1" t="str">
        <f t="shared" si="18"/>
        <v>Normal</v>
      </c>
    </row>
    <row r="567" spans="1:21" x14ac:dyDescent="0.25">
      <c r="A567" s="1" t="s">
        <v>579</v>
      </c>
      <c r="B567" s="4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6" t="str">
        <f t="shared" si="17"/>
        <v>May</v>
      </c>
      <c r="O567" s="1">
        <v>1539.9</v>
      </c>
      <c r="T567" s="4"/>
      <c r="U567" s="1" t="str">
        <f t="shared" si="18"/>
        <v>Normal</v>
      </c>
    </row>
    <row r="568" spans="1:21" x14ac:dyDescent="0.25">
      <c r="A568" s="1" t="s">
        <v>580</v>
      </c>
      <c r="B568" s="4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6" t="str">
        <f t="shared" si="17"/>
        <v>Apr</v>
      </c>
      <c r="O568" s="1">
        <v>650.84</v>
      </c>
      <c r="T568" s="4"/>
      <c r="U568" s="1" t="str">
        <f t="shared" si="18"/>
        <v>Normal</v>
      </c>
    </row>
    <row r="569" spans="1:21" x14ac:dyDescent="0.25">
      <c r="A569" s="1" t="s">
        <v>581</v>
      </c>
      <c r="B569" s="4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6" t="str">
        <f t="shared" si="17"/>
        <v>Sep</v>
      </c>
      <c r="O569" s="1">
        <v>2464.6999999999998</v>
      </c>
      <c r="T569" s="4"/>
      <c r="U569" s="1" t="str">
        <f t="shared" si="18"/>
        <v>Normal</v>
      </c>
    </row>
    <row r="570" spans="1:21" x14ac:dyDescent="0.25">
      <c r="A570" s="1" t="s">
        <v>582</v>
      </c>
      <c r="B570" s="4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6" t="str">
        <f t="shared" si="17"/>
        <v>Mar</v>
      </c>
      <c r="O570" s="1">
        <v>687.98</v>
      </c>
      <c r="T570" s="4"/>
      <c r="U570" s="1" t="str">
        <f t="shared" si="18"/>
        <v>Normal</v>
      </c>
    </row>
    <row r="571" spans="1:21" x14ac:dyDescent="0.25">
      <c r="A571" s="1" t="s">
        <v>583</v>
      </c>
      <c r="B571" s="4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6" t="str">
        <f t="shared" si="17"/>
        <v>Mar</v>
      </c>
      <c r="O571" s="1">
        <v>1253.4000000000001</v>
      </c>
      <c r="T571" s="4"/>
      <c r="U571" s="1" t="str">
        <f t="shared" si="18"/>
        <v>Normal</v>
      </c>
    </row>
    <row r="572" spans="1:21" x14ac:dyDescent="0.25">
      <c r="A572" s="1" t="s">
        <v>584</v>
      </c>
      <c r="B572" s="4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6" t="str">
        <f t="shared" si="17"/>
        <v>Dec</v>
      </c>
      <c r="O572" s="1">
        <v>724.28</v>
      </c>
      <c r="T572" s="4"/>
      <c r="U572" s="1" t="str">
        <f t="shared" si="18"/>
        <v>Normal</v>
      </c>
    </row>
    <row r="573" spans="1:21" x14ac:dyDescent="0.25">
      <c r="A573" s="1" t="s">
        <v>585</v>
      </c>
      <c r="B573" s="4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6" t="str">
        <f t="shared" si="17"/>
        <v>Nov</v>
      </c>
      <c r="O573" s="1">
        <v>214.08</v>
      </c>
      <c r="T573" s="4"/>
      <c r="U573" s="1" t="str">
        <f t="shared" si="18"/>
        <v>Normal</v>
      </c>
    </row>
    <row r="574" spans="1:21" x14ac:dyDescent="0.25">
      <c r="A574" s="1" t="s">
        <v>586</v>
      </c>
      <c r="B574" s="4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6" t="str">
        <f t="shared" si="17"/>
        <v>Nov</v>
      </c>
      <c r="O574" s="1">
        <v>70.319999999999993</v>
      </c>
      <c r="T574" s="4"/>
      <c r="U574" s="1" t="str">
        <f t="shared" si="18"/>
        <v>Normal</v>
      </c>
    </row>
    <row r="575" spans="1:21" x14ac:dyDescent="0.25">
      <c r="A575" s="1" t="s">
        <v>587</v>
      </c>
      <c r="B575" s="4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6" t="str">
        <f t="shared" si="17"/>
        <v>Jan</v>
      </c>
      <c r="O575" s="1">
        <v>2107.1</v>
      </c>
      <c r="T575" s="4"/>
      <c r="U575" s="1" t="str">
        <f t="shared" si="18"/>
        <v>Normal</v>
      </c>
    </row>
    <row r="576" spans="1:21" x14ac:dyDescent="0.25">
      <c r="A576" s="1" t="s">
        <v>588</v>
      </c>
      <c r="B576" s="4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6" t="str">
        <f t="shared" si="17"/>
        <v>Jan</v>
      </c>
      <c r="O576" s="1">
        <v>1923.45</v>
      </c>
      <c r="T576" s="4"/>
      <c r="U576" s="1" t="str">
        <f t="shared" si="18"/>
        <v>Normal</v>
      </c>
    </row>
    <row r="577" spans="1:21" x14ac:dyDescent="0.25">
      <c r="A577" s="1" t="s">
        <v>589</v>
      </c>
      <c r="B577" s="4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6" t="str">
        <f t="shared" si="17"/>
        <v>Jun</v>
      </c>
      <c r="O577" s="1">
        <v>2240.75</v>
      </c>
      <c r="T577" s="4"/>
      <c r="U577" s="1" t="str">
        <f t="shared" si="18"/>
        <v>Normal</v>
      </c>
    </row>
    <row r="578" spans="1:21" x14ac:dyDescent="0.25">
      <c r="A578" s="1" t="s">
        <v>590</v>
      </c>
      <c r="B578" s="4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6" t="str">
        <f t="shared" ref="N578:N641" si="19">TEXT(B578,"MMM")</f>
        <v>May</v>
      </c>
      <c r="O578" s="1">
        <v>395.4</v>
      </c>
      <c r="T578" s="4"/>
      <c r="U578" s="1" t="str">
        <f t="shared" si="18"/>
        <v>Normal</v>
      </c>
    </row>
    <row r="579" spans="1:21" x14ac:dyDescent="0.25">
      <c r="A579" s="1" t="s">
        <v>591</v>
      </c>
      <c r="B579" s="4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6" t="str">
        <f t="shared" si="19"/>
        <v>Jan</v>
      </c>
      <c r="O579" s="1">
        <v>741.64</v>
      </c>
      <c r="T579" s="4"/>
      <c r="U579" s="1" t="str">
        <f t="shared" ref="U579:U642" si="20">IF(O579&gt;$S$2,"Outlier","Normal")</f>
        <v>Normal</v>
      </c>
    </row>
    <row r="580" spans="1:21" x14ac:dyDescent="0.25">
      <c r="A580" s="1" t="s">
        <v>592</v>
      </c>
      <c r="B580" s="4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6" t="str">
        <f t="shared" si="19"/>
        <v>Oct</v>
      </c>
      <c r="O580" s="1">
        <v>2830.35</v>
      </c>
      <c r="T580" s="4"/>
      <c r="U580" s="1" t="str">
        <f t="shared" si="20"/>
        <v>Normal</v>
      </c>
    </row>
    <row r="581" spans="1:21" x14ac:dyDescent="0.25">
      <c r="A581" s="1" t="s">
        <v>593</v>
      </c>
      <c r="B581" s="4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6" t="str">
        <f t="shared" si="19"/>
        <v>Jun</v>
      </c>
      <c r="O581" s="1">
        <v>375.76</v>
      </c>
      <c r="T581" s="4"/>
      <c r="U581" s="1" t="str">
        <f t="shared" si="20"/>
        <v>Normal</v>
      </c>
    </row>
    <row r="582" spans="1:21" x14ac:dyDescent="0.25">
      <c r="A582" s="1" t="s">
        <v>594</v>
      </c>
      <c r="B582" s="4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6" t="str">
        <f t="shared" si="19"/>
        <v>Nov</v>
      </c>
      <c r="O582" s="1">
        <v>511.98</v>
      </c>
      <c r="T582" s="4"/>
      <c r="U582" s="1" t="str">
        <f t="shared" si="20"/>
        <v>Normal</v>
      </c>
    </row>
    <row r="583" spans="1:21" x14ac:dyDescent="0.25">
      <c r="A583" s="1" t="s">
        <v>595</v>
      </c>
      <c r="B583" s="4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6" t="str">
        <f t="shared" si="19"/>
        <v>Nov</v>
      </c>
      <c r="O583" s="1">
        <v>627.34</v>
      </c>
      <c r="T583" s="4"/>
      <c r="U583" s="1" t="str">
        <f t="shared" si="20"/>
        <v>Normal</v>
      </c>
    </row>
    <row r="584" spans="1:21" x14ac:dyDescent="0.25">
      <c r="A584" s="1" t="s">
        <v>596</v>
      </c>
      <c r="B584" s="4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6" t="str">
        <f t="shared" si="19"/>
        <v>Feb</v>
      </c>
      <c r="O584" s="1">
        <v>1422.42</v>
      </c>
      <c r="T584" s="4"/>
      <c r="U584" s="1" t="str">
        <f t="shared" si="20"/>
        <v>Normal</v>
      </c>
    </row>
    <row r="585" spans="1:21" x14ac:dyDescent="0.25">
      <c r="A585" s="1" t="s">
        <v>597</v>
      </c>
      <c r="B585" s="4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6" t="str">
        <f t="shared" si="19"/>
        <v>Jun</v>
      </c>
      <c r="O585" s="1">
        <v>463.11</v>
      </c>
      <c r="T585" s="4"/>
      <c r="U585" s="1" t="str">
        <f t="shared" si="20"/>
        <v>Normal</v>
      </c>
    </row>
    <row r="586" spans="1:21" x14ac:dyDescent="0.25">
      <c r="A586" s="1" t="s">
        <v>598</v>
      </c>
      <c r="B586" s="4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6" t="str">
        <f t="shared" si="19"/>
        <v>Mar</v>
      </c>
      <c r="O586" s="1">
        <v>580.20000000000005</v>
      </c>
      <c r="T586" s="4"/>
      <c r="U586" s="1" t="str">
        <f t="shared" si="20"/>
        <v>Normal</v>
      </c>
    </row>
    <row r="587" spans="1:21" x14ac:dyDescent="0.25">
      <c r="A587" s="1" t="s">
        <v>599</v>
      </c>
      <c r="B587" s="4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6" t="str">
        <f t="shared" si="19"/>
        <v>Aug</v>
      </c>
      <c r="O587" s="1">
        <v>268.32</v>
      </c>
      <c r="T587" s="4"/>
      <c r="U587" s="1" t="str">
        <f t="shared" si="20"/>
        <v>Normal</v>
      </c>
    </row>
    <row r="588" spans="1:21" x14ac:dyDescent="0.25">
      <c r="A588" s="1" t="s">
        <v>600</v>
      </c>
      <c r="B588" s="4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6" t="str">
        <f t="shared" si="19"/>
        <v>Nov</v>
      </c>
      <c r="O588" s="1">
        <v>522.08000000000004</v>
      </c>
      <c r="T588" s="4"/>
      <c r="U588" s="1" t="str">
        <f t="shared" si="20"/>
        <v>Normal</v>
      </c>
    </row>
    <row r="589" spans="1:21" x14ac:dyDescent="0.25">
      <c r="A589" s="1" t="s">
        <v>601</v>
      </c>
      <c r="B589" s="4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6" t="str">
        <f t="shared" si="19"/>
        <v>Jun</v>
      </c>
      <c r="O589" s="1">
        <v>2573</v>
      </c>
      <c r="T589" s="4"/>
      <c r="U589" s="1" t="str">
        <f t="shared" si="20"/>
        <v>Normal</v>
      </c>
    </row>
    <row r="590" spans="1:21" x14ac:dyDescent="0.25">
      <c r="A590" s="1" t="s">
        <v>602</v>
      </c>
      <c r="B590" s="4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6" t="str">
        <f t="shared" si="19"/>
        <v>Dec</v>
      </c>
      <c r="O590" s="1">
        <v>2311.2800000000002</v>
      </c>
      <c r="T590" s="4"/>
      <c r="U590" s="1" t="str">
        <f t="shared" si="20"/>
        <v>Normal</v>
      </c>
    </row>
    <row r="591" spans="1:21" x14ac:dyDescent="0.25">
      <c r="A591" s="1" t="s">
        <v>603</v>
      </c>
      <c r="B591" s="4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6" t="str">
        <f t="shared" si="19"/>
        <v>Feb</v>
      </c>
      <c r="O591" s="1">
        <v>1001.6</v>
      </c>
      <c r="T591" s="4"/>
      <c r="U591" s="1" t="str">
        <f t="shared" si="20"/>
        <v>Normal</v>
      </c>
    </row>
    <row r="592" spans="1:21" x14ac:dyDescent="0.25">
      <c r="A592" s="1" t="s">
        <v>604</v>
      </c>
      <c r="B592" s="4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6" t="str">
        <f t="shared" si="19"/>
        <v>Sep</v>
      </c>
      <c r="O592" s="1">
        <v>922.26</v>
      </c>
      <c r="T592" s="4"/>
      <c r="U592" s="1" t="str">
        <f t="shared" si="20"/>
        <v>Normal</v>
      </c>
    </row>
    <row r="593" spans="1:21" x14ac:dyDescent="0.25">
      <c r="A593" s="1" t="s">
        <v>605</v>
      </c>
      <c r="B593" s="4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6" t="str">
        <f t="shared" si="19"/>
        <v>Nov</v>
      </c>
      <c r="O593" s="1">
        <v>605.28</v>
      </c>
      <c r="T593" s="4"/>
      <c r="U593" s="1" t="str">
        <f t="shared" si="20"/>
        <v>Normal</v>
      </c>
    </row>
    <row r="594" spans="1:21" x14ac:dyDescent="0.25">
      <c r="A594" s="1" t="s">
        <v>606</v>
      </c>
      <c r="B594" s="4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6" t="str">
        <f t="shared" si="19"/>
        <v>Apr</v>
      </c>
      <c r="O594" s="1">
        <v>612.81000000000006</v>
      </c>
      <c r="T594" s="4"/>
      <c r="U594" s="1" t="str">
        <f t="shared" si="20"/>
        <v>Normal</v>
      </c>
    </row>
    <row r="595" spans="1:21" x14ac:dyDescent="0.25">
      <c r="A595" s="1" t="s">
        <v>607</v>
      </c>
      <c r="B595" s="4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6" t="str">
        <f t="shared" si="19"/>
        <v>Aug</v>
      </c>
      <c r="O595" s="1">
        <v>489.8</v>
      </c>
      <c r="T595" s="4"/>
      <c r="U595" s="1" t="str">
        <f t="shared" si="20"/>
        <v>Normal</v>
      </c>
    </row>
    <row r="596" spans="1:21" x14ac:dyDescent="0.25">
      <c r="A596" s="1" t="s">
        <v>608</v>
      </c>
      <c r="B596" s="4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6" t="str">
        <f t="shared" si="19"/>
        <v>Feb</v>
      </c>
      <c r="O596" s="1">
        <v>363.2</v>
      </c>
      <c r="T596" s="4"/>
      <c r="U596" s="1" t="str">
        <f t="shared" si="20"/>
        <v>Normal</v>
      </c>
    </row>
    <row r="597" spans="1:21" x14ac:dyDescent="0.25">
      <c r="A597" s="1" t="s">
        <v>609</v>
      </c>
      <c r="B597" s="4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6" t="str">
        <f t="shared" si="19"/>
        <v>Jan</v>
      </c>
      <c r="O597" s="1">
        <v>770.32</v>
      </c>
      <c r="T597" s="4"/>
      <c r="U597" s="1" t="str">
        <f t="shared" si="20"/>
        <v>Normal</v>
      </c>
    </row>
    <row r="598" spans="1:21" x14ac:dyDescent="0.25">
      <c r="A598" s="1" t="s">
        <v>610</v>
      </c>
      <c r="B598" s="4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6" t="str">
        <f t="shared" si="19"/>
        <v>Jun</v>
      </c>
      <c r="O598" s="1">
        <v>1819.23</v>
      </c>
      <c r="T598" s="4"/>
      <c r="U598" s="1" t="str">
        <f t="shared" si="20"/>
        <v>Normal</v>
      </c>
    </row>
    <row r="599" spans="1:21" x14ac:dyDescent="0.25">
      <c r="A599" s="1" t="s">
        <v>611</v>
      </c>
      <c r="B599" s="4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6" t="str">
        <f t="shared" si="19"/>
        <v>Nov</v>
      </c>
      <c r="O599" s="1">
        <v>423.64</v>
      </c>
      <c r="T599" s="4"/>
      <c r="U599" s="1" t="str">
        <f t="shared" si="20"/>
        <v>Normal</v>
      </c>
    </row>
    <row r="600" spans="1:21" x14ac:dyDescent="0.25">
      <c r="A600" s="1" t="s">
        <v>612</v>
      </c>
      <c r="B600" s="4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6" t="str">
        <f t="shared" si="19"/>
        <v>Apr</v>
      </c>
      <c r="O600" s="1">
        <v>2476.75</v>
      </c>
      <c r="T600" s="4"/>
      <c r="U600" s="1" t="str">
        <f t="shared" si="20"/>
        <v>Normal</v>
      </c>
    </row>
    <row r="601" spans="1:21" x14ac:dyDescent="0.25">
      <c r="A601" s="1" t="s">
        <v>613</v>
      </c>
      <c r="B601" s="4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6" t="str">
        <f t="shared" si="19"/>
        <v>Jun</v>
      </c>
      <c r="O601" s="1">
        <v>1670.97</v>
      </c>
      <c r="T601" s="4"/>
      <c r="U601" s="1" t="str">
        <f t="shared" si="20"/>
        <v>Normal</v>
      </c>
    </row>
    <row r="602" spans="1:21" x14ac:dyDescent="0.25">
      <c r="A602" s="1" t="s">
        <v>614</v>
      </c>
      <c r="B602" s="4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6" t="str">
        <f t="shared" si="19"/>
        <v>May</v>
      </c>
      <c r="O602" s="1">
        <v>72.31</v>
      </c>
      <c r="T602" s="4"/>
      <c r="U602" s="1" t="str">
        <f t="shared" si="20"/>
        <v>Normal</v>
      </c>
    </row>
    <row r="603" spans="1:21" x14ac:dyDescent="0.25">
      <c r="A603" s="1" t="s">
        <v>615</v>
      </c>
      <c r="B603" s="4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6" t="str">
        <f t="shared" si="19"/>
        <v>Oct</v>
      </c>
      <c r="O603" s="1">
        <v>124.1</v>
      </c>
      <c r="T603" s="4"/>
      <c r="U603" s="1" t="str">
        <f t="shared" si="20"/>
        <v>Normal</v>
      </c>
    </row>
    <row r="604" spans="1:21" x14ac:dyDescent="0.25">
      <c r="A604" s="1" t="s">
        <v>616</v>
      </c>
      <c r="B604" s="4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6" t="str">
        <f t="shared" si="19"/>
        <v>Mar</v>
      </c>
      <c r="O604" s="1">
        <v>104.16</v>
      </c>
      <c r="T604" s="4"/>
      <c r="U604" s="1" t="str">
        <f t="shared" si="20"/>
        <v>Normal</v>
      </c>
    </row>
    <row r="605" spans="1:21" x14ac:dyDescent="0.25">
      <c r="A605" s="1" t="s">
        <v>617</v>
      </c>
      <c r="B605" s="4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6" t="str">
        <f t="shared" si="19"/>
        <v>Oct</v>
      </c>
      <c r="O605" s="1">
        <v>657.07</v>
      </c>
      <c r="T605" s="4"/>
      <c r="U605" s="1" t="str">
        <f t="shared" si="20"/>
        <v>Normal</v>
      </c>
    </row>
    <row r="606" spans="1:21" x14ac:dyDescent="0.25">
      <c r="A606" s="1" t="s">
        <v>618</v>
      </c>
      <c r="B606" s="4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6" t="str">
        <f t="shared" si="19"/>
        <v>Jun</v>
      </c>
      <c r="O606" s="1">
        <v>97.859999999999985</v>
      </c>
      <c r="T606" s="4"/>
      <c r="U606" s="1" t="str">
        <f t="shared" si="20"/>
        <v>Normal</v>
      </c>
    </row>
    <row r="607" spans="1:21" x14ac:dyDescent="0.25">
      <c r="A607" s="1" t="s">
        <v>619</v>
      </c>
      <c r="B607" s="4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6" t="str">
        <f t="shared" si="19"/>
        <v>May</v>
      </c>
      <c r="O607" s="1">
        <v>457.82</v>
      </c>
      <c r="T607" s="4"/>
      <c r="U607" s="1" t="str">
        <f t="shared" si="20"/>
        <v>Normal</v>
      </c>
    </row>
    <row r="608" spans="1:21" x14ac:dyDescent="0.25">
      <c r="A608" s="1" t="s">
        <v>620</v>
      </c>
      <c r="B608" s="4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6" t="str">
        <f t="shared" si="19"/>
        <v>Nov</v>
      </c>
      <c r="O608" s="1">
        <v>824.25</v>
      </c>
      <c r="T608" s="4"/>
      <c r="U608" s="1" t="str">
        <f t="shared" si="20"/>
        <v>Normal</v>
      </c>
    </row>
    <row r="609" spans="1:21" x14ac:dyDescent="0.25">
      <c r="A609" s="1" t="s">
        <v>621</v>
      </c>
      <c r="B609" s="4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6" t="str">
        <f t="shared" si="19"/>
        <v>May</v>
      </c>
      <c r="O609" s="1">
        <v>2536.1999999999998</v>
      </c>
      <c r="T609" s="4"/>
      <c r="U609" s="1" t="str">
        <f t="shared" si="20"/>
        <v>Normal</v>
      </c>
    </row>
    <row r="610" spans="1:21" x14ac:dyDescent="0.25">
      <c r="A610" s="1" t="s">
        <v>622</v>
      </c>
      <c r="B610" s="4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6" t="str">
        <f t="shared" si="19"/>
        <v>Jul</v>
      </c>
      <c r="O610" s="1">
        <v>2715.8</v>
      </c>
      <c r="T610" s="4"/>
      <c r="U610" s="1" t="str">
        <f t="shared" si="20"/>
        <v>Normal</v>
      </c>
    </row>
    <row r="611" spans="1:21" x14ac:dyDescent="0.25">
      <c r="A611" s="1" t="s">
        <v>623</v>
      </c>
      <c r="B611" s="4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6" t="str">
        <f t="shared" si="19"/>
        <v>Jan</v>
      </c>
      <c r="O611" s="1">
        <v>1347.39</v>
      </c>
      <c r="T611" s="4"/>
      <c r="U611" s="1" t="str">
        <f t="shared" si="20"/>
        <v>Normal</v>
      </c>
    </row>
    <row r="612" spans="1:21" x14ac:dyDescent="0.25">
      <c r="A612" s="1" t="s">
        <v>624</v>
      </c>
      <c r="B612" s="4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6" t="str">
        <f t="shared" si="19"/>
        <v>Jun</v>
      </c>
      <c r="O612" s="1">
        <v>1948.1</v>
      </c>
      <c r="T612" s="4"/>
      <c r="U612" s="1" t="str">
        <f t="shared" si="20"/>
        <v>Normal</v>
      </c>
    </row>
    <row r="613" spans="1:21" x14ac:dyDescent="0.25">
      <c r="A613" s="1" t="s">
        <v>625</v>
      </c>
      <c r="B613" s="4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6" t="str">
        <f t="shared" si="19"/>
        <v>Apr</v>
      </c>
      <c r="O613" s="1">
        <v>305.17</v>
      </c>
      <c r="T613" s="4"/>
      <c r="U613" s="1" t="str">
        <f t="shared" si="20"/>
        <v>Normal</v>
      </c>
    </row>
    <row r="614" spans="1:21" x14ac:dyDescent="0.25">
      <c r="A614" s="1" t="s">
        <v>626</v>
      </c>
      <c r="B614" s="4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6" t="str">
        <f t="shared" si="19"/>
        <v>Jun</v>
      </c>
      <c r="O614" s="1">
        <v>1335.36</v>
      </c>
      <c r="T614" s="4"/>
      <c r="U614" s="1" t="str">
        <f t="shared" si="20"/>
        <v>Normal</v>
      </c>
    </row>
    <row r="615" spans="1:21" x14ac:dyDescent="0.25">
      <c r="A615" s="1" t="s">
        <v>627</v>
      </c>
      <c r="B615" s="4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6" t="str">
        <f t="shared" si="19"/>
        <v>Dec</v>
      </c>
      <c r="O615" s="1">
        <v>460.72</v>
      </c>
      <c r="T615" s="4"/>
      <c r="U615" s="1" t="str">
        <f t="shared" si="20"/>
        <v>Normal</v>
      </c>
    </row>
    <row r="616" spans="1:21" x14ac:dyDescent="0.25">
      <c r="A616" s="1" t="s">
        <v>628</v>
      </c>
      <c r="B616" s="4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6" t="str">
        <f t="shared" si="19"/>
        <v>Mar</v>
      </c>
      <c r="O616" s="1">
        <v>96.81</v>
      </c>
      <c r="T616" s="4"/>
      <c r="U616" s="1" t="str">
        <f t="shared" si="20"/>
        <v>Normal</v>
      </c>
    </row>
    <row r="617" spans="1:21" x14ac:dyDescent="0.25">
      <c r="A617" s="1" t="s">
        <v>629</v>
      </c>
      <c r="B617" s="4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6" t="str">
        <f t="shared" si="19"/>
        <v>Mar</v>
      </c>
      <c r="O617" s="1">
        <v>2300.6999999999998</v>
      </c>
      <c r="T617" s="4"/>
      <c r="U617" s="1" t="str">
        <f t="shared" si="20"/>
        <v>Normal</v>
      </c>
    </row>
    <row r="618" spans="1:21" x14ac:dyDescent="0.25">
      <c r="A618" s="1" t="s">
        <v>630</v>
      </c>
      <c r="B618" s="4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6" t="str">
        <f t="shared" si="19"/>
        <v>Oct</v>
      </c>
      <c r="O618" s="1">
        <v>1804.8</v>
      </c>
      <c r="T618" s="4"/>
      <c r="U618" s="1" t="str">
        <f t="shared" si="20"/>
        <v>Normal</v>
      </c>
    </row>
    <row r="619" spans="1:21" x14ac:dyDescent="0.25">
      <c r="A619" s="1" t="s">
        <v>631</v>
      </c>
      <c r="B619" s="4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6" t="str">
        <f t="shared" si="19"/>
        <v>Feb</v>
      </c>
      <c r="O619" s="1">
        <v>553.41</v>
      </c>
      <c r="T619" s="4"/>
      <c r="U619" s="1" t="str">
        <f t="shared" si="20"/>
        <v>Normal</v>
      </c>
    </row>
    <row r="620" spans="1:21" x14ac:dyDescent="0.25">
      <c r="A620" s="1" t="s">
        <v>632</v>
      </c>
      <c r="B620" s="4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6" t="str">
        <f t="shared" si="19"/>
        <v>Sep</v>
      </c>
      <c r="O620" s="1">
        <v>411.34</v>
      </c>
      <c r="T620" s="4"/>
      <c r="U620" s="1" t="str">
        <f t="shared" si="20"/>
        <v>Normal</v>
      </c>
    </row>
    <row r="621" spans="1:21" x14ac:dyDescent="0.25">
      <c r="A621" s="1" t="s">
        <v>633</v>
      </c>
      <c r="B621" s="4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6" t="str">
        <f t="shared" si="19"/>
        <v>Jul</v>
      </c>
      <c r="O621" s="1">
        <v>532.89</v>
      </c>
      <c r="T621" s="4"/>
      <c r="U621" s="1" t="str">
        <f t="shared" si="20"/>
        <v>Normal</v>
      </c>
    </row>
    <row r="622" spans="1:21" x14ac:dyDescent="0.25">
      <c r="A622" s="1" t="s">
        <v>634</v>
      </c>
      <c r="B622" s="4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6" t="str">
        <f t="shared" si="19"/>
        <v>Mar</v>
      </c>
      <c r="O622" s="1">
        <v>409.02</v>
      </c>
      <c r="T622" s="4"/>
      <c r="U622" s="1" t="str">
        <f t="shared" si="20"/>
        <v>Normal</v>
      </c>
    </row>
    <row r="623" spans="1:21" x14ac:dyDescent="0.25">
      <c r="A623" s="1" t="s">
        <v>635</v>
      </c>
      <c r="B623" s="4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6" t="str">
        <f t="shared" si="19"/>
        <v>Oct</v>
      </c>
      <c r="O623" s="1">
        <v>2380.0500000000002</v>
      </c>
      <c r="T623" s="4"/>
      <c r="U623" s="1" t="str">
        <f t="shared" si="20"/>
        <v>Normal</v>
      </c>
    </row>
    <row r="624" spans="1:21" x14ac:dyDescent="0.25">
      <c r="A624" s="1" t="s">
        <v>636</v>
      </c>
      <c r="B624" s="4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6" t="str">
        <f t="shared" si="19"/>
        <v>Nov</v>
      </c>
      <c r="O624" s="1">
        <v>1181.9000000000001</v>
      </c>
      <c r="T624" s="4"/>
      <c r="U624" s="1" t="str">
        <f t="shared" si="20"/>
        <v>Normal</v>
      </c>
    </row>
    <row r="625" spans="1:21" x14ac:dyDescent="0.25">
      <c r="A625" s="1" t="s">
        <v>637</v>
      </c>
      <c r="B625" s="4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6" t="str">
        <f t="shared" si="19"/>
        <v>Jun</v>
      </c>
      <c r="O625" s="1">
        <v>1188</v>
      </c>
      <c r="T625" s="4"/>
      <c r="U625" s="1" t="str">
        <f t="shared" si="20"/>
        <v>Normal</v>
      </c>
    </row>
    <row r="626" spans="1:21" x14ac:dyDescent="0.25">
      <c r="A626" s="1" t="s">
        <v>638</v>
      </c>
      <c r="B626" s="4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6" t="str">
        <f t="shared" si="19"/>
        <v>Jan</v>
      </c>
      <c r="O626" s="1">
        <v>1709.8</v>
      </c>
      <c r="T626" s="4"/>
      <c r="U626" s="1" t="str">
        <f t="shared" si="20"/>
        <v>Normal</v>
      </c>
    </row>
    <row r="627" spans="1:21" x14ac:dyDescent="0.25">
      <c r="A627" s="1" t="s">
        <v>639</v>
      </c>
      <c r="B627" s="4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6" t="str">
        <f t="shared" si="19"/>
        <v>Sep</v>
      </c>
      <c r="O627" s="1">
        <v>672.89</v>
      </c>
      <c r="T627" s="4"/>
      <c r="U627" s="1" t="str">
        <f t="shared" si="20"/>
        <v>Normal</v>
      </c>
    </row>
    <row r="628" spans="1:21" x14ac:dyDescent="0.25">
      <c r="A628" s="1" t="s">
        <v>640</v>
      </c>
      <c r="B628" s="4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6" t="str">
        <f t="shared" si="19"/>
        <v>Mar</v>
      </c>
      <c r="O628" s="1">
        <v>1314.96</v>
      </c>
      <c r="T628" s="4"/>
      <c r="U628" s="1" t="str">
        <f t="shared" si="20"/>
        <v>Normal</v>
      </c>
    </row>
    <row r="629" spans="1:21" x14ac:dyDescent="0.25">
      <c r="A629" s="1" t="s">
        <v>641</v>
      </c>
      <c r="B629" s="4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6" t="str">
        <f t="shared" si="19"/>
        <v>Aug</v>
      </c>
      <c r="O629" s="1">
        <v>1496.04</v>
      </c>
      <c r="T629" s="4"/>
      <c r="U629" s="1" t="str">
        <f t="shared" si="20"/>
        <v>Normal</v>
      </c>
    </row>
    <row r="630" spans="1:21" x14ac:dyDescent="0.25">
      <c r="A630" s="1" t="s">
        <v>642</v>
      </c>
      <c r="B630" s="4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6" t="str">
        <f t="shared" si="19"/>
        <v>Mar</v>
      </c>
      <c r="O630" s="1">
        <v>2793.15</v>
      </c>
      <c r="T630" s="4"/>
      <c r="U630" s="1" t="str">
        <f t="shared" si="20"/>
        <v>Normal</v>
      </c>
    </row>
    <row r="631" spans="1:21" x14ac:dyDescent="0.25">
      <c r="A631" s="1" t="s">
        <v>643</v>
      </c>
      <c r="B631" s="4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6" t="str">
        <f t="shared" si="19"/>
        <v>Jul</v>
      </c>
      <c r="O631" s="1">
        <v>59.19</v>
      </c>
      <c r="T631" s="4"/>
      <c r="U631" s="1" t="str">
        <f t="shared" si="20"/>
        <v>Normal</v>
      </c>
    </row>
    <row r="632" spans="1:21" x14ac:dyDescent="0.25">
      <c r="A632" s="1" t="s">
        <v>644</v>
      </c>
      <c r="B632" s="4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6" t="str">
        <f t="shared" si="19"/>
        <v>Jun</v>
      </c>
      <c r="O632" s="1">
        <v>1244.2</v>
      </c>
      <c r="T632" s="4"/>
      <c r="U632" s="1" t="str">
        <f t="shared" si="20"/>
        <v>Normal</v>
      </c>
    </row>
    <row r="633" spans="1:21" x14ac:dyDescent="0.25">
      <c r="A633" s="1" t="s">
        <v>645</v>
      </c>
      <c r="B633" s="4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6" t="str">
        <f t="shared" si="19"/>
        <v>Aug</v>
      </c>
      <c r="O633" s="1">
        <v>138.33000000000001</v>
      </c>
      <c r="T633" s="4"/>
      <c r="U633" s="1" t="str">
        <f t="shared" si="20"/>
        <v>Normal</v>
      </c>
    </row>
    <row r="634" spans="1:21" x14ac:dyDescent="0.25">
      <c r="A634" s="1" t="s">
        <v>646</v>
      </c>
      <c r="B634" s="4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6" t="str">
        <f t="shared" si="19"/>
        <v>May</v>
      </c>
      <c r="O634" s="1">
        <v>3390.8</v>
      </c>
      <c r="T634" s="4"/>
      <c r="U634" s="1" t="str">
        <f t="shared" si="20"/>
        <v>Outlier</v>
      </c>
    </row>
    <row r="635" spans="1:21" x14ac:dyDescent="0.25">
      <c r="A635" s="1" t="s">
        <v>647</v>
      </c>
      <c r="B635" s="4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6" t="str">
        <f t="shared" si="19"/>
        <v>Apr</v>
      </c>
      <c r="O635" s="1">
        <v>3008.6</v>
      </c>
      <c r="T635" s="4"/>
      <c r="U635" s="1" t="str">
        <f t="shared" si="20"/>
        <v>Normal</v>
      </c>
    </row>
    <row r="636" spans="1:21" x14ac:dyDescent="0.25">
      <c r="A636" s="1" t="s">
        <v>648</v>
      </c>
      <c r="B636" s="4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6" t="str">
        <f t="shared" si="19"/>
        <v>Apr</v>
      </c>
      <c r="O636" s="1">
        <v>518.64</v>
      </c>
      <c r="T636" s="4"/>
      <c r="U636" s="1" t="str">
        <f t="shared" si="20"/>
        <v>Normal</v>
      </c>
    </row>
    <row r="637" spans="1:21" x14ac:dyDescent="0.25">
      <c r="A637" s="1" t="s">
        <v>649</v>
      </c>
      <c r="B637" s="4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6" t="str">
        <f t="shared" si="19"/>
        <v>Dec</v>
      </c>
      <c r="O637" s="1">
        <v>191.04</v>
      </c>
      <c r="T637" s="4"/>
      <c r="U637" s="1" t="str">
        <f t="shared" si="20"/>
        <v>Normal</v>
      </c>
    </row>
    <row r="638" spans="1:21" x14ac:dyDescent="0.25">
      <c r="A638" s="1" t="s">
        <v>650</v>
      </c>
      <c r="B638" s="4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6" t="str">
        <f t="shared" si="19"/>
        <v>Oct</v>
      </c>
      <c r="O638" s="1">
        <v>1484.28</v>
      </c>
      <c r="T638" s="4"/>
      <c r="U638" s="1" t="str">
        <f t="shared" si="20"/>
        <v>Normal</v>
      </c>
    </row>
    <row r="639" spans="1:21" x14ac:dyDescent="0.25">
      <c r="A639" s="1" t="s">
        <v>651</v>
      </c>
      <c r="B639" s="4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6" t="str">
        <f t="shared" si="19"/>
        <v>Sep</v>
      </c>
      <c r="O639" s="1">
        <v>1225.4000000000001</v>
      </c>
      <c r="T639" s="4"/>
      <c r="U639" s="1" t="str">
        <f t="shared" si="20"/>
        <v>Normal</v>
      </c>
    </row>
    <row r="640" spans="1:21" x14ac:dyDescent="0.25">
      <c r="A640" s="1" t="s">
        <v>652</v>
      </c>
      <c r="B640" s="4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6" t="str">
        <f t="shared" si="19"/>
        <v>Oct</v>
      </c>
      <c r="O640" s="1">
        <v>2313.08</v>
      </c>
      <c r="T640" s="4"/>
      <c r="U640" s="1" t="str">
        <f t="shared" si="20"/>
        <v>Normal</v>
      </c>
    </row>
    <row r="641" spans="1:21" x14ac:dyDescent="0.25">
      <c r="A641" s="1" t="s">
        <v>653</v>
      </c>
      <c r="B641" s="4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6" t="str">
        <f t="shared" si="19"/>
        <v>Jan</v>
      </c>
      <c r="O641" s="1">
        <v>529.19000000000005</v>
      </c>
      <c r="T641" s="4"/>
      <c r="U641" s="1" t="str">
        <f t="shared" si="20"/>
        <v>Normal</v>
      </c>
    </row>
    <row r="642" spans="1:21" x14ac:dyDescent="0.25">
      <c r="A642" s="1" t="s">
        <v>654</v>
      </c>
      <c r="B642" s="4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6" t="str">
        <f t="shared" ref="N642:N705" si="21">TEXT(B642,"MMM")</f>
        <v>Feb</v>
      </c>
      <c r="O642" s="1">
        <v>1174.98</v>
      </c>
      <c r="T642" s="4"/>
      <c r="U642" s="1" t="str">
        <f t="shared" si="20"/>
        <v>Normal</v>
      </c>
    </row>
    <row r="643" spans="1:21" x14ac:dyDescent="0.25">
      <c r="A643" s="1" t="s">
        <v>655</v>
      </c>
      <c r="B643" s="4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6" t="str">
        <f t="shared" si="21"/>
        <v>Jun</v>
      </c>
      <c r="O643" s="1">
        <v>2270.2800000000002</v>
      </c>
      <c r="T643" s="4"/>
      <c r="U643" s="1" t="str">
        <f t="shared" ref="U643:U706" si="22">IF(O643&gt;$S$2,"Outlier","Normal")</f>
        <v>Normal</v>
      </c>
    </row>
    <row r="644" spans="1:21" x14ac:dyDescent="0.25">
      <c r="A644" s="1" t="s">
        <v>656</v>
      </c>
      <c r="B644" s="4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6" t="str">
        <f t="shared" si="21"/>
        <v>Apr</v>
      </c>
      <c r="O644" s="1">
        <v>426.1</v>
      </c>
      <c r="T644" s="4"/>
      <c r="U644" s="1" t="str">
        <f t="shared" si="22"/>
        <v>Normal</v>
      </c>
    </row>
    <row r="645" spans="1:21" x14ac:dyDescent="0.25">
      <c r="A645" s="1" t="s">
        <v>657</v>
      </c>
      <c r="B645" s="4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6" t="str">
        <f t="shared" si="21"/>
        <v>Aug</v>
      </c>
      <c r="O645" s="1">
        <v>438.37</v>
      </c>
      <c r="T645" s="4"/>
      <c r="U645" s="1" t="str">
        <f t="shared" si="22"/>
        <v>Normal</v>
      </c>
    </row>
    <row r="646" spans="1:21" x14ac:dyDescent="0.25">
      <c r="A646" s="1" t="s">
        <v>658</v>
      </c>
      <c r="B646" s="4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6" t="str">
        <f t="shared" si="21"/>
        <v>Nov</v>
      </c>
      <c r="O646" s="1">
        <v>732.46</v>
      </c>
      <c r="T646" s="4"/>
      <c r="U646" s="1" t="str">
        <f t="shared" si="22"/>
        <v>Normal</v>
      </c>
    </row>
    <row r="647" spans="1:21" x14ac:dyDescent="0.25">
      <c r="A647" s="1" t="s">
        <v>659</v>
      </c>
      <c r="B647" s="4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6" t="str">
        <f t="shared" si="21"/>
        <v>Jan</v>
      </c>
      <c r="O647" s="1">
        <v>300.10000000000002</v>
      </c>
      <c r="T647" s="4"/>
      <c r="U647" s="1" t="str">
        <f t="shared" si="22"/>
        <v>Normal</v>
      </c>
    </row>
    <row r="648" spans="1:21" x14ac:dyDescent="0.25">
      <c r="A648" s="1" t="s">
        <v>660</v>
      </c>
      <c r="B648" s="4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6" t="str">
        <f t="shared" si="21"/>
        <v>Oct</v>
      </c>
      <c r="O648" s="1">
        <v>1994.04</v>
      </c>
      <c r="T648" s="4"/>
      <c r="U648" s="1" t="str">
        <f t="shared" si="22"/>
        <v>Normal</v>
      </c>
    </row>
    <row r="649" spans="1:21" x14ac:dyDescent="0.25">
      <c r="A649" s="1" t="s">
        <v>661</v>
      </c>
      <c r="B649" s="4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6" t="str">
        <f t="shared" si="21"/>
        <v>Apr</v>
      </c>
      <c r="O649" s="1">
        <v>1018.17</v>
      </c>
      <c r="T649" s="4"/>
      <c r="U649" s="1" t="str">
        <f t="shared" si="22"/>
        <v>Normal</v>
      </c>
    </row>
    <row r="650" spans="1:21" x14ac:dyDescent="0.25">
      <c r="A650" s="1" t="s">
        <v>662</v>
      </c>
      <c r="B650" s="4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6" t="str">
        <f t="shared" si="21"/>
        <v>Jan</v>
      </c>
      <c r="O650" s="1">
        <v>1151.6600000000001</v>
      </c>
      <c r="T650" s="4"/>
      <c r="U650" s="1" t="str">
        <f t="shared" si="22"/>
        <v>Normal</v>
      </c>
    </row>
    <row r="651" spans="1:21" x14ac:dyDescent="0.25">
      <c r="A651" s="1" t="s">
        <v>663</v>
      </c>
      <c r="B651" s="4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6" t="str">
        <f t="shared" si="21"/>
        <v>Dec</v>
      </c>
      <c r="O651" s="1">
        <v>1285.96</v>
      </c>
      <c r="T651" s="4"/>
      <c r="U651" s="1" t="str">
        <f t="shared" si="22"/>
        <v>Normal</v>
      </c>
    </row>
    <row r="652" spans="1:21" x14ac:dyDescent="0.25">
      <c r="A652" s="1" t="s">
        <v>664</v>
      </c>
      <c r="B652" s="4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6" t="str">
        <f t="shared" si="21"/>
        <v>May</v>
      </c>
      <c r="O652" s="1">
        <v>744.46</v>
      </c>
      <c r="T652" s="4"/>
      <c r="U652" s="1" t="str">
        <f t="shared" si="22"/>
        <v>Normal</v>
      </c>
    </row>
    <row r="653" spans="1:21" x14ac:dyDescent="0.25">
      <c r="A653" s="1" t="s">
        <v>665</v>
      </c>
      <c r="B653" s="4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6" t="str">
        <f t="shared" si="21"/>
        <v>Nov</v>
      </c>
      <c r="O653" s="1">
        <v>1939.02</v>
      </c>
      <c r="T653" s="4"/>
      <c r="U653" s="1" t="str">
        <f t="shared" si="22"/>
        <v>Normal</v>
      </c>
    </row>
    <row r="654" spans="1:21" x14ac:dyDescent="0.25">
      <c r="A654" s="1" t="s">
        <v>666</v>
      </c>
      <c r="B654" s="4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6" t="str">
        <f t="shared" si="21"/>
        <v>Jun</v>
      </c>
      <c r="O654" s="1">
        <v>1709.2</v>
      </c>
      <c r="T654" s="4"/>
      <c r="U654" s="1" t="str">
        <f t="shared" si="22"/>
        <v>Normal</v>
      </c>
    </row>
    <row r="655" spans="1:21" x14ac:dyDescent="0.25">
      <c r="A655" s="1" t="s">
        <v>667</v>
      </c>
      <c r="B655" s="4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6" t="str">
        <f t="shared" si="21"/>
        <v>Feb</v>
      </c>
      <c r="O655" s="1">
        <v>2070.9</v>
      </c>
      <c r="T655" s="4"/>
      <c r="U655" s="1" t="str">
        <f t="shared" si="22"/>
        <v>Normal</v>
      </c>
    </row>
    <row r="656" spans="1:21" x14ac:dyDescent="0.25">
      <c r="A656" s="1" t="s">
        <v>668</v>
      </c>
      <c r="B656" s="4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6" t="str">
        <f t="shared" si="21"/>
        <v>Jun</v>
      </c>
      <c r="O656" s="1">
        <v>1147.1099999999999</v>
      </c>
      <c r="T656" s="4"/>
      <c r="U656" s="1" t="str">
        <f t="shared" si="22"/>
        <v>Normal</v>
      </c>
    </row>
    <row r="657" spans="1:21" x14ac:dyDescent="0.25">
      <c r="A657" s="1" t="s">
        <v>669</v>
      </c>
      <c r="B657" s="4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6" t="str">
        <f t="shared" si="21"/>
        <v>Mar</v>
      </c>
      <c r="O657" s="1">
        <v>265.2</v>
      </c>
      <c r="T657" s="4"/>
      <c r="U657" s="1" t="str">
        <f t="shared" si="22"/>
        <v>Normal</v>
      </c>
    </row>
    <row r="658" spans="1:21" x14ac:dyDescent="0.25">
      <c r="A658" s="1" t="s">
        <v>670</v>
      </c>
      <c r="B658" s="4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6" t="str">
        <f t="shared" si="21"/>
        <v>Jan</v>
      </c>
      <c r="O658" s="1">
        <v>378.12</v>
      </c>
      <c r="T658" s="4"/>
      <c r="U658" s="1" t="str">
        <f t="shared" si="22"/>
        <v>Normal</v>
      </c>
    </row>
    <row r="659" spans="1:21" x14ac:dyDescent="0.25">
      <c r="A659" s="1" t="s">
        <v>671</v>
      </c>
      <c r="B659" s="4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6" t="str">
        <f t="shared" si="21"/>
        <v>Dec</v>
      </c>
      <c r="O659" s="1">
        <v>351.16</v>
      </c>
      <c r="T659" s="4"/>
      <c r="U659" s="1" t="str">
        <f t="shared" si="22"/>
        <v>Normal</v>
      </c>
    </row>
    <row r="660" spans="1:21" x14ac:dyDescent="0.25">
      <c r="A660" s="1" t="s">
        <v>672</v>
      </c>
      <c r="B660" s="4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6" t="str">
        <f t="shared" si="21"/>
        <v>Apr</v>
      </c>
      <c r="O660" s="1">
        <v>92.72</v>
      </c>
      <c r="T660" s="4"/>
      <c r="U660" s="1" t="str">
        <f t="shared" si="22"/>
        <v>Normal</v>
      </c>
    </row>
    <row r="661" spans="1:21" x14ac:dyDescent="0.25">
      <c r="A661" s="1" t="s">
        <v>673</v>
      </c>
      <c r="B661" s="4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6" t="str">
        <f t="shared" si="21"/>
        <v>Oct</v>
      </c>
      <c r="O661" s="1">
        <v>1284.08</v>
      </c>
      <c r="T661" s="4"/>
      <c r="U661" s="1" t="str">
        <f t="shared" si="22"/>
        <v>Normal</v>
      </c>
    </row>
    <row r="662" spans="1:21" x14ac:dyDescent="0.25">
      <c r="A662" s="1" t="s">
        <v>674</v>
      </c>
      <c r="B662" s="4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6" t="str">
        <f t="shared" si="21"/>
        <v>Oct</v>
      </c>
      <c r="O662" s="1">
        <v>1303.1400000000001</v>
      </c>
      <c r="T662" s="4"/>
      <c r="U662" s="1" t="str">
        <f t="shared" si="22"/>
        <v>Normal</v>
      </c>
    </row>
    <row r="663" spans="1:21" x14ac:dyDescent="0.25">
      <c r="A663" s="1" t="s">
        <v>675</v>
      </c>
      <c r="B663" s="4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6" t="str">
        <f t="shared" si="21"/>
        <v>Feb</v>
      </c>
      <c r="O663" s="1">
        <v>1274.67</v>
      </c>
      <c r="T663" s="4"/>
      <c r="U663" s="1" t="str">
        <f t="shared" si="22"/>
        <v>Normal</v>
      </c>
    </row>
    <row r="664" spans="1:21" x14ac:dyDescent="0.25">
      <c r="A664" s="1" t="s">
        <v>676</v>
      </c>
      <c r="B664" s="4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6" t="str">
        <f t="shared" si="21"/>
        <v>Jan</v>
      </c>
      <c r="O664" s="1">
        <v>1316.67</v>
      </c>
      <c r="T664" s="4"/>
      <c r="U664" s="1" t="str">
        <f t="shared" si="22"/>
        <v>Normal</v>
      </c>
    </row>
    <row r="665" spans="1:21" x14ac:dyDescent="0.25">
      <c r="A665" s="1" t="s">
        <v>677</v>
      </c>
      <c r="B665" s="4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6" t="str">
        <f t="shared" si="21"/>
        <v>Apr</v>
      </c>
      <c r="O665" s="1">
        <v>72.599999999999994</v>
      </c>
      <c r="T665" s="4"/>
      <c r="U665" s="1" t="str">
        <f t="shared" si="22"/>
        <v>Normal</v>
      </c>
    </row>
    <row r="666" spans="1:21" x14ac:dyDescent="0.25">
      <c r="A666" s="1" t="s">
        <v>678</v>
      </c>
      <c r="B666" s="4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6" t="str">
        <f t="shared" si="21"/>
        <v>Dec</v>
      </c>
      <c r="O666" s="1">
        <v>779</v>
      </c>
      <c r="T666" s="4"/>
      <c r="U666" s="1" t="str">
        <f t="shared" si="22"/>
        <v>Normal</v>
      </c>
    </row>
    <row r="667" spans="1:21" x14ac:dyDescent="0.25">
      <c r="A667" s="1" t="s">
        <v>679</v>
      </c>
      <c r="B667" s="4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6" t="str">
        <f t="shared" si="21"/>
        <v>May</v>
      </c>
      <c r="O667" s="1">
        <v>925.04</v>
      </c>
      <c r="T667" s="4"/>
      <c r="U667" s="1" t="str">
        <f t="shared" si="22"/>
        <v>Normal</v>
      </c>
    </row>
    <row r="668" spans="1:21" x14ac:dyDescent="0.25">
      <c r="A668" s="1" t="s">
        <v>680</v>
      </c>
      <c r="B668" s="4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6" t="str">
        <f t="shared" si="21"/>
        <v>Aug</v>
      </c>
      <c r="O668" s="1">
        <v>1308.48</v>
      </c>
      <c r="T668" s="4"/>
      <c r="U668" s="1" t="str">
        <f t="shared" si="22"/>
        <v>Normal</v>
      </c>
    </row>
    <row r="669" spans="1:21" x14ac:dyDescent="0.25">
      <c r="A669" s="1" t="s">
        <v>681</v>
      </c>
      <c r="B669" s="4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6" t="str">
        <f t="shared" si="21"/>
        <v>May</v>
      </c>
      <c r="O669" s="1">
        <v>466.42</v>
      </c>
      <c r="T669" s="4"/>
      <c r="U669" s="1" t="str">
        <f t="shared" si="22"/>
        <v>Normal</v>
      </c>
    </row>
    <row r="670" spans="1:21" x14ac:dyDescent="0.25">
      <c r="A670" s="1" t="s">
        <v>682</v>
      </c>
      <c r="B670" s="4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6" t="str">
        <f t="shared" si="21"/>
        <v>Jul</v>
      </c>
      <c r="O670" s="1">
        <v>507.34</v>
      </c>
      <c r="T670" s="4"/>
      <c r="U670" s="1" t="str">
        <f t="shared" si="22"/>
        <v>Normal</v>
      </c>
    </row>
    <row r="671" spans="1:21" x14ac:dyDescent="0.25">
      <c r="A671" s="1" t="s">
        <v>683</v>
      </c>
      <c r="B671" s="4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6" t="str">
        <f t="shared" si="21"/>
        <v>Feb</v>
      </c>
      <c r="O671" s="1">
        <v>257</v>
      </c>
      <c r="T671" s="4"/>
      <c r="U671" s="1" t="str">
        <f t="shared" si="22"/>
        <v>Normal</v>
      </c>
    </row>
    <row r="672" spans="1:21" x14ac:dyDescent="0.25">
      <c r="A672" s="1" t="s">
        <v>684</v>
      </c>
      <c r="B672" s="4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6" t="str">
        <f t="shared" si="21"/>
        <v>Apr</v>
      </c>
      <c r="O672" s="1">
        <v>2156.8000000000002</v>
      </c>
      <c r="T672" s="4"/>
      <c r="U672" s="1" t="str">
        <f t="shared" si="22"/>
        <v>Normal</v>
      </c>
    </row>
    <row r="673" spans="1:21" x14ac:dyDescent="0.25">
      <c r="A673" s="1" t="s">
        <v>685</v>
      </c>
      <c r="B673" s="4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6" t="str">
        <f t="shared" si="21"/>
        <v>Jun</v>
      </c>
      <c r="O673" s="1">
        <v>253.7</v>
      </c>
      <c r="T673" s="4"/>
      <c r="U673" s="1" t="str">
        <f t="shared" si="22"/>
        <v>Normal</v>
      </c>
    </row>
    <row r="674" spans="1:21" x14ac:dyDescent="0.25">
      <c r="A674" s="1" t="s">
        <v>686</v>
      </c>
      <c r="B674" s="4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6" t="str">
        <f t="shared" si="21"/>
        <v>May</v>
      </c>
      <c r="O674" s="1">
        <v>1248.32</v>
      </c>
      <c r="T674" s="4"/>
      <c r="U674" s="1" t="str">
        <f t="shared" si="22"/>
        <v>Normal</v>
      </c>
    </row>
    <row r="675" spans="1:21" x14ac:dyDescent="0.25">
      <c r="A675" s="1" t="s">
        <v>687</v>
      </c>
      <c r="B675" s="4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6" t="str">
        <f t="shared" si="21"/>
        <v>Feb</v>
      </c>
      <c r="O675" s="1">
        <v>745.84</v>
      </c>
      <c r="T675" s="4"/>
      <c r="U675" s="1" t="str">
        <f t="shared" si="22"/>
        <v>Normal</v>
      </c>
    </row>
    <row r="676" spans="1:21" x14ac:dyDescent="0.25">
      <c r="A676" s="1" t="s">
        <v>688</v>
      </c>
      <c r="B676" s="4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6" t="str">
        <f t="shared" si="21"/>
        <v>Jan</v>
      </c>
      <c r="O676" s="1">
        <v>1435</v>
      </c>
      <c r="T676" s="4"/>
      <c r="U676" s="1" t="str">
        <f t="shared" si="22"/>
        <v>Normal</v>
      </c>
    </row>
    <row r="677" spans="1:21" x14ac:dyDescent="0.25">
      <c r="A677" s="1" t="s">
        <v>689</v>
      </c>
      <c r="B677" s="4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6" t="str">
        <f t="shared" si="21"/>
        <v>Aug</v>
      </c>
      <c r="O677" s="1">
        <v>1026.06</v>
      </c>
      <c r="T677" s="4"/>
      <c r="U677" s="1" t="str">
        <f t="shared" si="22"/>
        <v>Normal</v>
      </c>
    </row>
    <row r="678" spans="1:21" x14ac:dyDescent="0.25">
      <c r="A678" s="1" t="s">
        <v>690</v>
      </c>
      <c r="B678" s="4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6" t="str">
        <f t="shared" si="21"/>
        <v>Jun</v>
      </c>
      <c r="O678" s="1">
        <v>844.68</v>
      </c>
      <c r="T678" s="4"/>
      <c r="U678" s="1" t="str">
        <f t="shared" si="22"/>
        <v>Normal</v>
      </c>
    </row>
    <row r="679" spans="1:21" x14ac:dyDescent="0.25">
      <c r="A679" s="1" t="s">
        <v>691</v>
      </c>
      <c r="B679" s="4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6" t="str">
        <f t="shared" si="21"/>
        <v>Apr</v>
      </c>
      <c r="O679" s="1">
        <v>110.35</v>
      </c>
      <c r="T679" s="4"/>
      <c r="U679" s="1" t="str">
        <f t="shared" si="22"/>
        <v>Normal</v>
      </c>
    </row>
    <row r="680" spans="1:21" x14ac:dyDescent="0.25">
      <c r="A680" s="1" t="s">
        <v>692</v>
      </c>
      <c r="B680" s="4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6" t="str">
        <f t="shared" si="21"/>
        <v>Nov</v>
      </c>
      <c r="O680" s="1">
        <v>489.39</v>
      </c>
      <c r="T680" s="4"/>
      <c r="U680" s="1" t="str">
        <f t="shared" si="22"/>
        <v>Normal</v>
      </c>
    </row>
    <row r="681" spans="1:21" x14ac:dyDescent="0.25">
      <c r="A681" s="1" t="s">
        <v>693</v>
      </c>
      <c r="B681" s="4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6" t="str">
        <f t="shared" si="21"/>
        <v>Feb</v>
      </c>
      <c r="O681" s="1">
        <v>1081.98</v>
      </c>
      <c r="T681" s="4"/>
      <c r="U681" s="1" t="str">
        <f t="shared" si="22"/>
        <v>Normal</v>
      </c>
    </row>
    <row r="682" spans="1:21" x14ac:dyDescent="0.25">
      <c r="A682" s="1" t="s">
        <v>694</v>
      </c>
      <c r="B682" s="4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6" t="str">
        <f t="shared" si="21"/>
        <v>Aug</v>
      </c>
      <c r="O682" s="1">
        <v>1390.17</v>
      </c>
      <c r="T682" s="4"/>
      <c r="U682" s="1" t="str">
        <f t="shared" si="22"/>
        <v>Normal</v>
      </c>
    </row>
    <row r="683" spans="1:21" x14ac:dyDescent="0.25">
      <c r="A683" s="1" t="s">
        <v>695</v>
      </c>
      <c r="B683" s="4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6" t="str">
        <f t="shared" si="21"/>
        <v>Jan</v>
      </c>
      <c r="O683" s="1">
        <v>155.27000000000001</v>
      </c>
      <c r="T683" s="4"/>
      <c r="U683" s="1" t="str">
        <f t="shared" si="22"/>
        <v>Normal</v>
      </c>
    </row>
    <row r="684" spans="1:21" x14ac:dyDescent="0.25">
      <c r="A684" s="1" t="s">
        <v>696</v>
      </c>
      <c r="B684" s="4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6" t="str">
        <f t="shared" si="21"/>
        <v>Jul</v>
      </c>
      <c r="O684" s="1">
        <v>1528.26</v>
      </c>
      <c r="T684" s="4"/>
      <c r="U684" s="1" t="str">
        <f t="shared" si="22"/>
        <v>Normal</v>
      </c>
    </row>
    <row r="685" spans="1:21" x14ac:dyDescent="0.25">
      <c r="A685" s="1" t="s">
        <v>697</v>
      </c>
      <c r="B685" s="4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6" t="str">
        <f t="shared" si="21"/>
        <v>May</v>
      </c>
      <c r="O685" s="1">
        <v>2609.92</v>
      </c>
      <c r="T685" s="4"/>
      <c r="U685" s="1" t="str">
        <f t="shared" si="22"/>
        <v>Normal</v>
      </c>
    </row>
    <row r="686" spans="1:21" x14ac:dyDescent="0.25">
      <c r="A686" s="1" t="s">
        <v>698</v>
      </c>
      <c r="B686" s="4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6" t="str">
        <f t="shared" si="21"/>
        <v>Sep</v>
      </c>
      <c r="O686" s="1">
        <v>139.36000000000001</v>
      </c>
      <c r="T686" s="4"/>
      <c r="U686" s="1" t="str">
        <f t="shared" si="22"/>
        <v>Normal</v>
      </c>
    </row>
    <row r="687" spans="1:21" x14ac:dyDescent="0.25">
      <c r="A687" s="1" t="s">
        <v>699</v>
      </c>
      <c r="B687" s="4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6" t="str">
        <f t="shared" si="21"/>
        <v>Feb</v>
      </c>
      <c r="O687" s="1">
        <v>234.37</v>
      </c>
      <c r="T687" s="4"/>
      <c r="U687" s="1" t="str">
        <f t="shared" si="22"/>
        <v>Normal</v>
      </c>
    </row>
    <row r="688" spans="1:21" x14ac:dyDescent="0.25">
      <c r="A688" s="1" t="s">
        <v>700</v>
      </c>
      <c r="B688" s="4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6" t="str">
        <f t="shared" si="21"/>
        <v>Oct</v>
      </c>
      <c r="O688" s="1">
        <v>160.80000000000001</v>
      </c>
      <c r="T688" s="4"/>
      <c r="U688" s="1" t="str">
        <f t="shared" si="22"/>
        <v>Normal</v>
      </c>
    </row>
    <row r="689" spans="1:21" x14ac:dyDescent="0.25">
      <c r="A689" s="1" t="s">
        <v>701</v>
      </c>
      <c r="B689" s="4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6" t="str">
        <f t="shared" si="21"/>
        <v>Sep</v>
      </c>
      <c r="O689" s="1">
        <v>332.09</v>
      </c>
      <c r="T689" s="4"/>
      <c r="U689" s="1" t="str">
        <f t="shared" si="22"/>
        <v>Normal</v>
      </c>
    </row>
    <row r="690" spans="1:21" x14ac:dyDescent="0.25">
      <c r="A690" s="1" t="s">
        <v>702</v>
      </c>
      <c r="B690" s="4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6" t="str">
        <f t="shared" si="21"/>
        <v>Mar</v>
      </c>
      <c r="O690" s="1">
        <v>2372.88</v>
      </c>
      <c r="T690" s="4"/>
      <c r="U690" s="1" t="str">
        <f t="shared" si="22"/>
        <v>Normal</v>
      </c>
    </row>
    <row r="691" spans="1:21" x14ac:dyDescent="0.25">
      <c r="A691" s="1" t="s">
        <v>703</v>
      </c>
      <c r="B691" s="4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6" t="str">
        <f t="shared" si="21"/>
        <v>Aug</v>
      </c>
      <c r="O691" s="1">
        <v>889.68</v>
      </c>
      <c r="T691" s="4"/>
      <c r="U691" s="1" t="str">
        <f t="shared" si="22"/>
        <v>Normal</v>
      </c>
    </row>
    <row r="692" spans="1:21" x14ac:dyDescent="0.25">
      <c r="A692" s="1" t="s">
        <v>704</v>
      </c>
      <c r="B692" s="4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6" t="str">
        <f t="shared" si="21"/>
        <v>Jul</v>
      </c>
      <c r="O692" s="1">
        <v>24.48</v>
      </c>
      <c r="T692" s="4"/>
      <c r="U692" s="1" t="str">
        <f t="shared" si="22"/>
        <v>Normal</v>
      </c>
    </row>
    <row r="693" spans="1:21" x14ac:dyDescent="0.25">
      <c r="A693" s="1" t="s">
        <v>705</v>
      </c>
      <c r="B693" s="4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6" t="str">
        <f t="shared" si="21"/>
        <v>Nov</v>
      </c>
      <c r="O693" s="1">
        <v>717.24</v>
      </c>
      <c r="T693" s="4"/>
      <c r="U693" s="1" t="str">
        <f t="shared" si="22"/>
        <v>Normal</v>
      </c>
    </row>
    <row r="694" spans="1:21" x14ac:dyDescent="0.25">
      <c r="A694" s="1" t="s">
        <v>706</v>
      </c>
      <c r="B694" s="4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6" t="str">
        <f t="shared" si="21"/>
        <v>Jan</v>
      </c>
      <c r="O694" s="1">
        <v>984.2</v>
      </c>
      <c r="T694" s="4"/>
      <c r="U694" s="1" t="str">
        <f t="shared" si="22"/>
        <v>Normal</v>
      </c>
    </row>
    <row r="695" spans="1:21" x14ac:dyDescent="0.25">
      <c r="A695" s="1" t="s">
        <v>707</v>
      </c>
      <c r="B695" s="4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6" t="str">
        <f t="shared" si="21"/>
        <v>Mar</v>
      </c>
      <c r="O695" s="1">
        <v>176.58</v>
      </c>
      <c r="T695" s="4"/>
      <c r="U695" s="1" t="str">
        <f t="shared" si="22"/>
        <v>Normal</v>
      </c>
    </row>
    <row r="696" spans="1:21" x14ac:dyDescent="0.25">
      <c r="A696" s="1" t="s">
        <v>708</v>
      </c>
      <c r="B696" s="4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6" t="str">
        <f t="shared" si="21"/>
        <v>Oct</v>
      </c>
      <c r="O696" s="1">
        <v>2666.08</v>
      </c>
      <c r="T696" s="4"/>
      <c r="U696" s="1" t="str">
        <f t="shared" si="22"/>
        <v>Normal</v>
      </c>
    </row>
    <row r="697" spans="1:21" x14ac:dyDescent="0.25">
      <c r="A697" s="1" t="s">
        <v>709</v>
      </c>
      <c r="B697" s="4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6" t="str">
        <f t="shared" si="21"/>
        <v>Nov</v>
      </c>
      <c r="O697" s="1">
        <v>506.5</v>
      </c>
      <c r="T697" s="4"/>
      <c r="U697" s="1" t="str">
        <f t="shared" si="22"/>
        <v>Normal</v>
      </c>
    </row>
    <row r="698" spans="1:21" x14ac:dyDescent="0.25">
      <c r="A698" s="1" t="s">
        <v>710</v>
      </c>
      <c r="B698" s="4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6" t="str">
        <f t="shared" si="21"/>
        <v>Jul</v>
      </c>
      <c r="O698" s="1">
        <v>604.79999999999995</v>
      </c>
      <c r="T698" s="4"/>
      <c r="U698" s="1" t="str">
        <f t="shared" si="22"/>
        <v>Normal</v>
      </c>
    </row>
    <row r="699" spans="1:21" x14ac:dyDescent="0.25">
      <c r="A699" s="1" t="s">
        <v>711</v>
      </c>
      <c r="B699" s="4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6" t="str">
        <f t="shared" si="21"/>
        <v>Feb</v>
      </c>
      <c r="O699" s="1">
        <v>474.25</v>
      </c>
      <c r="T699" s="4"/>
      <c r="U699" s="1" t="str">
        <f t="shared" si="22"/>
        <v>Normal</v>
      </c>
    </row>
    <row r="700" spans="1:21" x14ac:dyDescent="0.25">
      <c r="A700" s="1" t="s">
        <v>712</v>
      </c>
      <c r="B700" s="4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6" t="str">
        <f t="shared" si="21"/>
        <v>Jan</v>
      </c>
      <c r="O700" s="1">
        <v>776.44</v>
      </c>
      <c r="T700" s="4"/>
      <c r="U700" s="1" t="str">
        <f t="shared" si="22"/>
        <v>Normal</v>
      </c>
    </row>
    <row r="701" spans="1:21" x14ac:dyDescent="0.25">
      <c r="A701" s="1" t="s">
        <v>713</v>
      </c>
      <c r="B701" s="4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6" t="str">
        <f t="shared" si="21"/>
        <v>Nov</v>
      </c>
      <c r="O701" s="1">
        <v>1842.45</v>
      </c>
      <c r="T701" s="4"/>
      <c r="U701" s="1" t="str">
        <f t="shared" si="22"/>
        <v>Normal</v>
      </c>
    </row>
    <row r="702" spans="1:21" x14ac:dyDescent="0.25">
      <c r="A702" s="1" t="s">
        <v>714</v>
      </c>
      <c r="B702" s="4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6" t="str">
        <f t="shared" si="21"/>
        <v>Sep</v>
      </c>
      <c r="O702" s="1">
        <v>185.82</v>
      </c>
      <c r="T702" s="4"/>
      <c r="U702" s="1" t="str">
        <f t="shared" si="22"/>
        <v>Normal</v>
      </c>
    </row>
    <row r="703" spans="1:21" x14ac:dyDescent="0.25">
      <c r="A703" s="1" t="s">
        <v>715</v>
      </c>
      <c r="B703" s="4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6" t="str">
        <f t="shared" si="21"/>
        <v>Jun</v>
      </c>
      <c r="O703" s="1">
        <v>276.66000000000003</v>
      </c>
      <c r="T703" s="4"/>
      <c r="U703" s="1" t="str">
        <f t="shared" si="22"/>
        <v>Normal</v>
      </c>
    </row>
    <row r="704" spans="1:21" x14ac:dyDescent="0.25">
      <c r="A704" s="1" t="s">
        <v>716</v>
      </c>
      <c r="B704" s="4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6" t="str">
        <f t="shared" si="21"/>
        <v>Jun</v>
      </c>
      <c r="O704" s="1">
        <v>1687.65</v>
      </c>
      <c r="T704" s="4"/>
      <c r="U704" s="1" t="str">
        <f t="shared" si="22"/>
        <v>Normal</v>
      </c>
    </row>
    <row r="705" spans="1:21" x14ac:dyDescent="0.25">
      <c r="A705" s="1" t="s">
        <v>717</v>
      </c>
      <c r="B705" s="4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6" t="str">
        <f t="shared" si="21"/>
        <v>Mar</v>
      </c>
      <c r="O705" s="1">
        <v>92.79</v>
      </c>
      <c r="T705" s="4"/>
      <c r="U705" s="1" t="str">
        <f t="shared" si="22"/>
        <v>Normal</v>
      </c>
    </row>
    <row r="706" spans="1:21" x14ac:dyDescent="0.25">
      <c r="A706" s="1" t="s">
        <v>718</v>
      </c>
      <c r="B706" s="4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6" t="str">
        <f t="shared" ref="N706:N769" si="23">TEXT(B706,"MMM")</f>
        <v>Jun</v>
      </c>
      <c r="O706" s="1">
        <v>121.08</v>
      </c>
      <c r="T706" s="4"/>
      <c r="U706" s="1" t="str">
        <f t="shared" si="22"/>
        <v>Normal</v>
      </c>
    </row>
    <row r="707" spans="1:21" x14ac:dyDescent="0.25">
      <c r="A707" s="1" t="s">
        <v>719</v>
      </c>
      <c r="B707" s="4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6" t="str">
        <f t="shared" si="23"/>
        <v>Mar</v>
      </c>
      <c r="O707" s="1">
        <v>98.16</v>
      </c>
      <c r="T707" s="4"/>
      <c r="U707" s="1" t="str">
        <f t="shared" ref="U707:U770" si="24">IF(O707&gt;$S$2,"Outlier","Normal")</f>
        <v>Normal</v>
      </c>
    </row>
    <row r="708" spans="1:21" x14ac:dyDescent="0.25">
      <c r="A708" s="1" t="s">
        <v>720</v>
      </c>
      <c r="B708" s="4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6" t="str">
        <f t="shared" si="23"/>
        <v>Mar</v>
      </c>
      <c r="O708" s="1">
        <v>1140.45</v>
      </c>
      <c r="T708" s="4"/>
      <c r="U708" s="1" t="str">
        <f t="shared" si="24"/>
        <v>Normal</v>
      </c>
    </row>
    <row r="709" spans="1:21" x14ac:dyDescent="0.25">
      <c r="A709" s="1" t="s">
        <v>721</v>
      </c>
      <c r="B709" s="4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6" t="str">
        <f t="shared" si="23"/>
        <v>Nov</v>
      </c>
      <c r="O709" s="1">
        <v>2600.16</v>
      </c>
      <c r="T709" s="4"/>
      <c r="U709" s="1" t="str">
        <f t="shared" si="24"/>
        <v>Normal</v>
      </c>
    </row>
    <row r="710" spans="1:21" x14ac:dyDescent="0.25">
      <c r="A710" s="1" t="s">
        <v>722</v>
      </c>
      <c r="B710" s="4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6" t="str">
        <f t="shared" si="23"/>
        <v>Mar</v>
      </c>
      <c r="O710" s="1">
        <v>665.11</v>
      </c>
      <c r="T710" s="4"/>
      <c r="U710" s="1" t="str">
        <f t="shared" si="24"/>
        <v>Normal</v>
      </c>
    </row>
    <row r="711" spans="1:21" x14ac:dyDescent="0.25">
      <c r="A711" s="1" t="s">
        <v>723</v>
      </c>
      <c r="B711" s="4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6" t="str">
        <f t="shared" si="23"/>
        <v>Dec</v>
      </c>
      <c r="O711" s="1">
        <v>386.03</v>
      </c>
      <c r="T711" s="4"/>
      <c r="U711" s="1" t="str">
        <f t="shared" si="24"/>
        <v>Normal</v>
      </c>
    </row>
    <row r="712" spans="1:21" x14ac:dyDescent="0.25">
      <c r="A712" s="1" t="s">
        <v>724</v>
      </c>
      <c r="B712" s="4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6" t="str">
        <f t="shared" si="23"/>
        <v>Jul</v>
      </c>
      <c r="O712" s="1">
        <v>107.7</v>
      </c>
      <c r="T712" s="4"/>
      <c r="U712" s="1" t="str">
        <f t="shared" si="24"/>
        <v>Normal</v>
      </c>
    </row>
    <row r="713" spans="1:21" x14ac:dyDescent="0.25">
      <c r="A713" s="1" t="s">
        <v>725</v>
      </c>
      <c r="B713" s="4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6" t="str">
        <f t="shared" si="23"/>
        <v>Jul</v>
      </c>
      <c r="O713" s="1">
        <v>951.56</v>
      </c>
      <c r="T713" s="4"/>
      <c r="U713" s="1" t="str">
        <f t="shared" si="24"/>
        <v>Normal</v>
      </c>
    </row>
    <row r="714" spans="1:21" x14ac:dyDescent="0.25">
      <c r="A714" s="1" t="s">
        <v>726</v>
      </c>
      <c r="B714" s="4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6" t="str">
        <f t="shared" si="23"/>
        <v>Jan</v>
      </c>
      <c r="O714" s="1">
        <v>136.80000000000001</v>
      </c>
      <c r="T714" s="4"/>
      <c r="U714" s="1" t="str">
        <f t="shared" si="24"/>
        <v>Normal</v>
      </c>
    </row>
    <row r="715" spans="1:21" x14ac:dyDescent="0.25">
      <c r="A715" s="1" t="s">
        <v>727</v>
      </c>
      <c r="B715" s="4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6" t="str">
        <f t="shared" si="23"/>
        <v>Jun</v>
      </c>
      <c r="O715" s="1">
        <v>2129.96</v>
      </c>
      <c r="T715" s="4"/>
      <c r="U715" s="1" t="str">
        <f t="shared" si="24"/>
        <v>Normal</v>
      </c>
    </row>
    <row r="716" spans="1:21" x14ac:dyDescent="0.25">
      <c r="A716" s="1" t="s">
        <v>728</v>
      </c>
      <c r="B716" s="4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6" t="str">
        <f t="shared" si="23"/>
        <v>Apr</v>
      </c>
      <c r="O716" s="1">
        <v>51.73</v>
      </c>
      <c r="T716" s="4"/>
      <c r="U716" s="1" t="str">
        <f t="shared" si="24"/>
        <v>Normal</v>
      </c>
    </row>
    <row r="717" spans="1:21" x14ac:dyDescent="0.25">
      <c r="A717" s="1" t="s">
        <v>729</v>
      </c>
      <c r="B717" s="4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6" t="str">
        <f t="shared" si="23"/>
        <v>Jul</v>
      </c>
      <c r="O717" s="1">
        <v>1960.89</v>
      </c>
      <c r="T717" s="4"/>
      <c r="U717" s="1" t="str">
        <f t="shared" si="24"/>
        <v>Normal</v>
      </c>
    </row>
    <row r="718" spans="1:21" x14ac:dyDescent="0.25">
      <c r="A718" s="1" t="s">
        <v>730</v>
      </c>
      <c r="B718" s="4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6" t="str">
        <f t="shared" si="23"/>
        <v>Jun</v>
      </c>
      <c r="O718" s="1">
        <v>1362.87</v>
      </c>
      <c r="T718" s="4"/>
      <c r="U718" s="1" t="str">
        <f t="shared" si="24"/>
        <v>Normal</v>
      </c>
    </row>
    <row r="719" spans="1:21" x14ac:dyDescent="0.25">
      <c r="A719" s="1" t="s">
        <v>731</v>
      </c>
      <c r="B719" s="4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6" t="str">
        <f t="shared" si="23"/>
        <v>Oct</v>
      </c>
      <c r="O719" s="1">
        <v>366.33</v>
      </c>
      <c r="T719" s="4"/>
      <c r="U719" s="1" t="str">
        <f t="shared" si="24"/>
        <v>Normal</v>
      </c>
    </row>
    <row r="720" spans="1:21" x14ac:dyDescent="0.25">
      <c r="A720" s="1" t="s">
        <v>732</v>
      </c>
      <c r="B720" s="4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6" t="str">
        <f t="shared" si="23"/>
        <v>Apr</v>
      </c>
      <c r="O720" s="1">
        <v>258.95999999999998</v>
      </c>
      <c r="T720" s="4"/>
      <c r="U720" s="1" t="str">
        <f t="shared" si="24"/>
        <v>Normal</v>
      </c>
    </row>
    <row r="721" spans="1:21" x14ac:dyDescent="0.25">
      <c r="A721" s="1" t="s">
        <v>733</v>
      </c>
      <c r="B721" s="4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6" t="str">
        <f t="shared" si="23"/>
        <v>Jan</v>
      </c>
      <c r="O721" s="1">
        <v>1362.12</v>
      </c>
      <c r="T721" s="4"/>
      <c r="U721" s="1" t="str">
        <f t="shared" si="24"/>
        <v>Normal</v>
      </c>
    </row>
    <row r="722" spans="1:21" x14ac:dyDescent="0.25">
      <c r="A722" s="1" t="s">
        <v>734</v>
      </c>
      <c r="B722" s="4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6" t="str">
        <f t="shared" si="23"/>
        <v>Sep</v>
      </c>
      <c r="O722" s="1">
        <v>644.75</v>
      </c>
      <c r="T722" s="4"/>
      <c r="U722" s="1" t="str">
        <f t="shared" si="24"/>
        <v>Normal</v>
      </c>
    </row>
    <row r="723" spans="1:21" x14ac:dyDescent="0.25">
      <c r="A723" s="1" t="s">
        <v>735</v>
      </c>
      <c r="B723" s="4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6" t="str">
        <f t="shared" si="23"/>
        <v>Mar</v>
      </c>
      <c r="O723" s="1">
        <v>237.18</v>
      </c>
      <c r="T723" s="4"/>
      <c r="U723" s="1" t="str">
        <f t="shared" si="24"/>
        <v>Normal</v>
      </c>
    </row>
    <row r="724" spans="1:21" x14ac:dyDescent="0.25">
      <c r="A724" s="1" t="s">
        <v>736</v>
      </c>
      <c r="B724" s="4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6" t="str">
        <f t="shared" si="23"/>
        <v>Nov</v>
      </c>
      <c r="O724" s="1">
        <v>95.1</v>
      </c>
      <c r="T724" s="4"/>
      <c r="U724" s="1" t="str">
        <f t="shared" si="24"/>
        <v>Normal</v>
      </c>
    </row>
    <row r="725" spans="1:21" x14ac:dyDescent="0.25">
      <c r="A725" s="1" t="s">
        <v>737</v>
      </c>
      <c r="B725" s="4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6" t="str">
        <f t="shared" si="23"/>
        <v>Dec</v>
      </c>
      <c r="O725" s="1">
        <v>164.85</v>
      </c>
      <c r="T725" s="4"/>
      <c r="U725" s="1" t="str">
        <f t="shared" si="24"/>
        <v>Normal</v>
      </c>
    </row>
    <row r="726" spans="1:21" x14ac:dyDescent="0.25">
      <c r="A726" s="1" t="s">
        <v>738</v>
      </c>
      <c r="B726" s="4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6" t="str">
        <f t="shared" si="23"/>
        <v>Oct</v>
      </c>
      <c r="O726" s="1">
        <v>410.91</v>
      </c>
      <c r="T726" s="4"/>
      <c r="U726" s="1" t="str">
        <f t="shared" si="24"/>
        <v>Normal</v>
      </c>
    </row>
    <row r="727" spans="1:21" x14ac:dyDescent="0.25">
      <c r="A727" s="1" t="s">
        <v>739</v>
      </c>
      <c r="B727" s="4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6" t="str">
        <f t="shared" si="23"/>
        <v>Mar</v>
      </c>
      <c r="O727" s="1">
        <v>389.7</v>
      </c>
      <c r="T727" s="4"/>
      <c r="U727" s="1" t="str">
        <f t="shared" si="24"/>
        <v>Normal</v>
      </c>
    </row>
    <row r="728" spans="1:21" x14ac:dyDescent="0.25">
      <c r="A728" s="1" t="s">
        <v>740</v>
      </c>
      <c r="B728" s="4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6" t="str">
        <f t="shared" si="23"/>
        <v>Oct</v>
      </c>
      <c r="O728" s="1">
        <v>2332.08</v>
      </c>
      <c r="T728" s="4"/>
      <c r="U728" s="1" t="str">
        <f t="shared" si="24"/>
        <v>Normal</v>
      </c>
    </row>
    <row r="729" spans="1:21" x14ac:dyDescent="0.25">
      <c r="A729" s="1" t="s">
        <v>741</v>
      </c>
      <c r="B729" s="4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6" t="str">
        <f t="shared" si="23"/>
        <v>Sep</v>
      </c>
      <c r="O729" s="1">
        <v>478.75</v>
      </c>
      <c r="T729" s="4"/>
      <c r="U729" s="1" t="str">
        <f t="shared" si="24"/>
        <v>Normal</v>
      </c>
    </row>
    <row r="730" spans="1:21" x14ac:dyDescent="0.25">
      <c r="A730" s="1" t="s">
        <v>742</v>
      </c>
      <c r="B730" s="4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6" t="str">
        <f t="shared" si="23"/>
        <v>Jul</v>
      </c>
      <c r="O730" s="1">
        <v>1303.04</v>
      </c>
      <c r="T730" s="4"/>
      <c r="U730" s="1" t="str">
        <f t="shared" si="24"/>
        <v>Normal</v>
      </c>
    </row>
    <row r="731" spans="1:21" x14ac:dyDescent="0.25">
      <c r="A731" s="1" t="s">
        <v>743</v>
      </c>
      <c r="B731" s="4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6" t="str">
        <f t="shared" si="23"/>
        <v>Sep</v>
      </c>
      <c r="O731" s="1">
        <v>745.64</v>
      </c>
      <c r="T731" s="4"/>
      <c r="U731" s="1" t="str">
        <f t="shared" si="24"/>
        <v>Normal</v>
      </c>
    </row>
    <row r="732" spans="1:21" x14ac:dyDescent="0.25">
      <c r="A732" s="1" t="s">
        <v>744</v>
      </c>
      <c r="B732" s="4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6" t="str">
        <f t="shared" si="23"/>
        <v>Feb</v>
      </c>
      <c r="O732" s="1">
        <v>474.6</v>
      </c>
      <c r="T732" s="4"/>
      <c r="U732" s="1" t="str">
        <f t="shared" si="24"/>
        <v>Normal</v>
      </c>
    </row>
    <row r="733" spans="1:21" x14ac:dyDescent="0.25">
      <c r="A733" s="1" t="s">
        <v>745</v>
      </c>
      <c r="B733" s="4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6" t="str">
        <f t="shared" si="23"/>
        <v>Jun</v>
      </c>
      <c r="O733" s="1">
        <v>2922.3</v>
      </c>
      <c r="T733" s="4"/>
      <c r="U733" s="1" t="str">
        <f t="shared" si="24"/>
        <v>Normal</v>
      </c>
    </row>
    <row r="734" spans="1:21" x14ac:dyDescent="0.25">
      <c r="A734" s="1" t="s">
        <v>746</v>
      </c>
      <c r="B734" s="4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6" t="str">
        <f t="shared" si="23"/>
        <v>Mar</v>
      </c>
      <c r="O734" s="1">
        <v>132.05000000000001</v>
      </c>
      <c r="T734" s="4"/>
      <c r="U734" s="1" t="str">
        <f t="shared" si="24"/>
        <v>Normal</v>
      </c>
    </row>
    <row r="735" spans="1:21" x14ac:dyDescent="0.25">
      <c r="A735" s="1" t="s">
        <v>747</v>
      </c>
      <c r="B735" s="4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6" t="str">
        <f t="shared" si="23"/>
        <v>Dec</v>
      </c>
      <c r="O735" s="1">
        <v>1979.36</v>
      </c>
      <c r="T735" s="4"/>
      <c r="U735" s="1" t="str">
        <f t="shared" si="24"/>
        <v>Normal</v>
      </c>
    </row>
    <row r="736" spans="1:21" x14ac:dyDescent="0.25">
      <c r="A736" s="1" t="s">
        <v>748</v>
      </c>
      <c r="B736" s="4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6" t="str">
        <f t="shared" si="23"/>
        <v>Jan</v>
      </c>
      <c r="O736" s="1">
        <v>898.44</v>
      </c>
      <c r="T736" s="4"/>
      <c r="U736" s="1" t="str">
        <f t="shared" si="24"/>
        <v>Normal</v>
      </c>
    </row>
    <row r="737" spans="1:21" x14ac:dyDescent="0.25">
      <c r="A737" s="1" t="s">
        <v>749</v>
      </c>
      <c r="B737" s="4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6" t="str">
        <f t="shared" si="23"/>
        <v>Jun</v>
      </c>
      <c r="O737" s="1">
        <v>176.28</v>
      </c>
      <c r="T737" s="4"/>
      <c r="U737" s="1" t="str">
        <f t="shared" si="24"/>
        <v>Normal</v>
      </c>
    </row>
    <row r="738" spans="1:21" x14ac:dyDescent="0.25">
      <c r="A738" s="1" t="s">
        <v>750</v>
      </c>
      <c r="B738" s="4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6" t="str">
        <f t="shared" si="23"/>
        <v>Feb</v>
      </c>
      <c r="O738" s="1">
        <v>2092.65</v>
      </c>
      <c r="T738" s="4"/>
      <c r="U738" s="1" t="str">
        <f t="shared" si="24"/>
        <v>Normal</v>
      </c>
    </row>
    <row r="739" spans="1:21" x14ac:dyDescent="0.25">
      <c r="A739" s="1" t="s">
        <v>751</v>
      </c>
      <c r="B739" s="4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6" t="str">
        <f t="shared" si="23"/>
        <v>Jan</v>
      </c>
      <c r="O739" s="1">
        <v>2131.48</v>
      </c>
      <c r="T739" s="4"/>
      <c r="U739" s="1" t="str">
        <f t="shared" si="24"/>
        <v>Normal</v>
      </c>
    </row>
    <row r="740" spans="1:21" x14ac:dyDescent="0.25">
      <c r="A740" s="1" t="s">
        <v>752</v>
      </c>
      <c r="B740" s="4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6" t="str">
        <f t="shared" si="23"/>
        <v>Jun</v>
      </c>
      <c r="O740" s="1">
        <v>970.74</v>
      </c>
      <c r="T740" s="4"/>
      <c r="U740" s="1" t="str">
        <f t="shared" si="24"/>
        <v>Normal</v>
      </c>
    </row>
    <row r="741" spans="1:21" x14ac:dyDescent="0.25">
      <c r="A741" s="1" t="s">
        <v>753</v>
      </c>
      <c r="B741" s="4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6" t="str">
        <f t="shared" si="23"/>
        <v>Jun</v>
      </c>
      <c r="O741" s="1">
        <v>1546.92</v>
      </c>
      <c r="T741" s="4"/>
      <c r="U741" s="1" t="str">
        <f t="shared" si="24"/>
        <v>Normal</v>
      </c>
    </row>
    <row r="742" spans="1:21" x14ac:dyDescent="0.25">
      <c r="A742" s="1" t="s">
        <v>754</v>
      </c>
      <c r="B742" s="4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6" t="str">
        <f t="shared" si="23"/>
        <v>Jul</v>
      </c>
      <c r="O742" s="1">
        <v>754.94</v>
      </c>
      <c r="T742" s="4"/>
      <c r="U742" s="1" t="str">
        <f t="shared" si="24"/>
        <v>Normal</v>
      </c>
    </row>
    <row r="743" spans="1:21" x14ac:dyDescent="0.25">
      <c r="A743" s="1" t="s">
        <v>755</v>
      </c>
      <c r="B743" s="4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6" t="str">
        <f t="shared" si="23"/>
        <v>Jan</v>
      </c>
      <c r="O743" s="1">
        <v>1663.2</v>
      </c>
      <c r="T743" s="4"/>
      <c r="U743" s="1" t="str">
        <f t="shared" si="24"/>
        <v>Normal</v>
      </c>
    </row>
    <row r="744" spans="1:21" x14ac:dyDescent="0.25">
      <c r="A744" s="1" t="s">
        <v>756</v>
      </c>
      <c r="B744" s="4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6" t="str">
        <f t="shared" si="23"/>
        <v>Nov</v>
      </c>
      <c r="O744" s="1">
        <v>2099.79</v>
      </c>
      <c r="T744" s="4"/>
      <c r="U744" s="1" t="str">
        <f t="shared" si="24"/>
        <v>Normal</v>
      </c>
    </row>
    <row r="745" spans="1:21" x14ac:dyDescent="0.25">
      <c r="A745" s="1" t="s">
        <v>757</v>
      </c>
      <c r="B745" s="4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6" t="str">
        <f t="shared" si="23"/>
        <v>Sep</v>
      </c>
      <c r="O745" s="1">
        <v>576.35</v>
      </c>
      <c r="T745" s="4"/>
      <c r="U745" s="1" t="str">
        <f t="shared" si="24"/>
        <v>Normal</v>
      </c>
    </row>
    <row r="746" spans="1:21" x14ac:dyDescent="0.25">
      <c r="A746" s="1" t="s">
        <v>758</v>
      </c>
      <c r="B746" s="4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6" t="str">
        <f t="shared" si="23"/>
        <v>Jun</v>
      </c>
      <c r="O746" s="1">
        <v>922.74</v>
      </c>
      <c r="T746" s="4"/>
      <c r="U746" s="1" t="str">
        <f t="shared" si="24"/>
        <v>Normal</v>
      </c>
    </row>
    <row r="747" spans="1:21" x14ac:dyDescent="0.25">
      <c r="A747" s="1" t="s">
        <v>759</v>
      </c>
      <c r="B747" s="4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6" t="str">
        <f t="shared" si="23"/>
        <v>Mar</v>
      </c>
      <c r="O747" s="1">
        <v>445.2</v>
      </c>
      <c r="T747" s="4"/>
      <c r="U747" s="1" t="str">
        <f t="shared" si="24"/>
        <v>Normal</v>
      </c>
    </row>
    <row r="748" spans="1:21" x14ac:dyDescent="0.25">
      <c r="A748" s="1" t="s">
        <v>760</v>
      </c>
      <c r="B748" s="4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6" t="str">
        <f t="shared" si="23"/>
        <v>Feb</v>
      </c>
      <c r="O748" s="1">
        <v>1985.67</v>
      </c>
      <c r="T748" s="4"/>
      <c r="U748" s="1" t="str">
        <f t="shared" si="24"/>
        <v>Normal</v>
      </c>
    </row>
    <row r="749" spans="1:21" x14ac:dyDescent="0.25">
      <c r="A749" s="1" t="s">
        <v>761</v>
      </c>
      <c r="B749" s="4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6" t="str">
        <f t="shared" si="23"/>
        <v>Mar</v>
      </c>
      <c r="O749" s="1">
        <v>519.16</v>
      </c>
      <c r="T749" s="4"/>
      <c r="U749" s="1" t="str">
        <f t="shared" si="24"/>
        <v>Normal</v>
      </c>
    </row>
    <row r="750" spans="1:21" x14ac:dyDescent="0.25">
      <c r="A750" s="1" t="s">
        <v>762</v>
      </c>
      <c r="B750" s="4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6" t="str">
        <f t="shared" si="23"/>
        <v>Jul</v>
      </c>
      <c r="O750" s="1">
        <v>212.43</v>
      </c>
      <c r="T750" s="4"/>
      <c r="U750" s="1" t="str">
        <f t="shared" si="24"/>
        <v>Normal</v>
      </c>
    </row>
    <row r="751" spans="1:21" x14ac:dyDescent="0.25">
      <c r="A751" s="1" t="s">
        <v>763</v>
      </c>
      <c r="B751" s="4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6" t="str">
        <f t="shared" si="23"/>
        <v>Apr</v>
      </c>
      <c r="O751" s="1">
        <v>518.39</v>
      </c>
      <c r="T751" s="4"/>
      <c r="U751" s="1" t="str">
        <f t="shared" si="24"/>
        <v>Normal</v>
      </c>
    </row>
    <row r="752" spans="1:21" x14ac:dyDescent="0.25">
      <c r="A752" s="1" t="s">
        <v>764</v>
      </c>
      <c r="B752" s="4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6" t="str">
        <f t="shared" si="23"/>
        <v>Jan</v>
      </c>
      <c r="O752" s="1">
        <v>581.64</v>
      </c>
      <c r="T752" s="4"/>
      <c r="U752" s="1" t="str">
        <f t="shared" si="24"/>
        <v>Normal</v>
      </c>
    </row>
    <row r="753" spans="1:21" x14ac:dyDescent="0.25">
      <c r="A753" s="1" t="s">
        <v>765</v>
      </c>
      <c r="B753" s="4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6" t="str">
        <f t="shared" si="23"/>
        <v>Jan</v>
      </c>
      <c r="O753" s="1">
        <v>1199.72</v>
      </c>
      <c r="T753" s="4"/>
      <c r="U753" s="1" t="str">
        <f t="shared" si="24"/>
        <v>Normal</v>
      </c>
    </row>
    <row r="754" spans="1:21" x14ac:dyDescent="0.25">
      <c r="A754" s="1" t="s">
        <v>766</v>
      </c>
      <c r="B754" s="4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6" t="str">
        <f t="shared" si="23"/>
        <v>Oct</v>
      </c>
      <c r="O754" s="1">
        <v>1717.48</v>
      </c>
      <c r="T754" s="4"/>
      <c r="U754" s="1" t="str">
        <f t="shared" si="24"/>
        <v>Normal</v>
      </c>
    </row>
    <row r="755" spans="1:21" x14ac:dyDescent="0.25">
      <c r="A755" s="1" t="s">
        <v>767</v>
      </c>
      <c r="B755" s="4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6" t="str">
        <f t="shared" si="23"/>
        <v>Apr</v>
      </c>
      <c r="O755" s="1">
        <v>482.98</v>
      </c>
      <c r="T755" s="4"/>
      <c r="U755" s="1" t="str">
        <f t="shared" si="24"/>
        <v>Normal</v>
      </c>
    </row>
    <row r="756" spans="1:21" x14ac:dyDescent="0.25">
      <c r="A756" s="1" t="s">
        <v>768</v>
      </c>
      <c r="B756" s="4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6" t="str">
        <f t="shared" si="23"/>
        <v>May</v>
      </c>
      <c r="O756" s="1">
        <v>904.1</v>
      </c>
      <c r="T756" s="4"/>
      <c r="U756" s="1" t="str">
        <f t="shared" si="24"/>
        <v>Normal</v>
      </c>
    </row>
    <row r="757" spans="1:21" x14ac:dyDescent="0.25">
      <c r="A757" s="1" t="s">
        <v>769</v>
      </c>
      <c r="B757" s="4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6" t="str">
        <f t="shared" si="23"/>
        <v>Jun</v>
      </c>
      <c r="O757" s="1">
        <v>1010.13</v>
      </c>
      <c r="T757" s="4"/>
      <c r="U757" s="1" t="str">
        <f t="shared" si="24"/>
        <v>Normal</v>
      </c>
    </row>
    <row r="758" spans="1:21" x14ac:dyDescent="0.25">
      <c r="A758" s="1" t="s">
        <v>770</v>
      </c>
      <c r="B758" s="4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6" t="str">
        <f t="shared" si="23"/>
        <v>Jun</v>
      </c>
      <c r="O758" s="1">
        <v>283.69</v>
      </c>
      <c r="T758" s="4"/>
      <c r="U758" s="1" t="str">
        <f t="shared" si="24"/>
        <v>Normal</v>
      </c>
    </row>
    <row r="759" spans="1:21" x14ac:dyDescent="0.25">
      <c r="A759" s="1" t="s">
        <v>771</v>
      </c>
      <c r="B759" s="4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6" t="str">
        <f t="shared" si="23"/>
        <v>Feb</v>
      </c>
      <c r="O759" s="1">
        <v>157.72</v>
      </c>
      <c r="T759" s="4"/>
      <c r="U759" s="1" t="str">
        <f t="shared" si="24"/>
        <v>Normal</v>
      </c>
    </row>
    <row r="760" spans="1:21" x14ac:dyDescent="0.25">
      <c r="A760" s="1" t="s">
        <v>772</v>
      </c>
      <c r="B760" s="4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6" t="str">
        <f t="shared" si="23"/>
        <v>Mar</v>
      </c>
      <c r="O760" s="1">
        <v>1874.52</v>
      </c>
      <c r="T760" s="4"/>
      <c r="U760" s="1" t="str">
        <f t="shared" si="24"/>
        <v>Normal</v>
      </c>
    </row>
    <row r="761" spans="1:21" x14ac:dyDescent="0.25">
      <c r="A761" s="1" t="s">
        <v>773</v>
      </c>
      <c r="B761" s="4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6" t="str">
        <f t="shared" si="23"/>
        <v>Jul</v>
      </c>
      <c r="O761" s="1">
        <v>924.03</v>
      </c>
      <c r="T761" s="4"/>
      <c r="U761" s="1" t="str">
        <f t="shared" si="24"/>
        <v>Normal</v>
      </c>
    </row>
    <row r="762" spans="1:21" x14ac:dyDescent="0.25">
      <c r="A762" s="1" t="s">
        <v>774</v>
      </c>
      <c r="B762" s="4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6" t="str">
        <f t="shared" si="23"/>
        <v>Feb</v>
      </c>
      <c r="O762" s="1">
        <v>39.56</v>
      </c>
      <c r="T762" s="4"/>
      <c r="U762" s="1" t="str">
        <f t="shared" si="24"/>
        <v>Normal</v>
      </c>
    </row>
    <row r="763" spans="1:21" x14ac:dyDescent="0.25">
      <c r="A763" s="1" t="s">
        <v>775</v>
      </c>
      <c r="B763" s="4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6" t="str">
        <f t="shared" si="23"/>
        <v>Jun</v>
      </c>
      <c r="O763" s="1">
        <v>151.04</v>
      </c>
      <c r="T763" s="4"/>
      <c r="U763" s="1" t="str">
        <f t="shared" si="24"/>
        <v>Normal</v>
      </c>
    </row>
    <row r="764" spans="1:21" x14ac:dyDescent="0.25">
      <c r="A764" s="1" t="s">
        <v>776</v>
      </c>
      <c r="B764" s="4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6" t="str">
        <f t="shared" si="23"/>
        <v>Sep</v>
      </c>
      <c r="O764" s="1">
        <v>230.88</v>
      </c>
      <c r="T764" s="4"/>
      <c r="U764" s="1" t="str">
        <f t="shared" si="24"/>
        <v>Normal</v>
      </c>
    </row>
    <row r="765" spans="1:21" x14ac:dyDescent="0.25">
      <c r="A765" s="1" t="s">
        <v>777</v>
      </c>
      <c r="B765" s="4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6" t="str">
        <f t="shared" si="23"/>
        <v>Apr</v>
      </c>
      <c r="O765" s="1">
        <v>569.96</v>
      </c>
      <c r="T765" s="4"/>
      <c r="U765" s="1" t="str">
        <f t="shared" si="24"/>
        <v>Normal</v>
      </c>
    </row>
    <row r="766" spans="1:21" x14ac:dyDescent="0.25">
      <c r="A766" s="1" t="s">
        <v>778</v>
      </c>
      <c r="B766" s="4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6" t="str">
        <f t="shared" si="23"/>
        <v>Mar</v>
      </c>
      <c r="O766" s="1">
        <v>3137.15</v>
      </c>
      <c r="T766" s="4"/>
      <c r="U766" s="1" t="str">
        <f t="shared" si="24"/>
        <v>Normal</v>
      </c>
    </row>
    <row r="767" spans="1:21" x14ac:dyDescent="0.25">
      <c r="A767" s="1" t="s">
        <v>779</v>
      </c>
      <c r="B767" s="4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6" t="str">
        <f t="shared" si="23"/>
        <v>Oct</v>
      </c>
      <c r="O767" s="1">
        <v>1069.82</v>
      </c>
      <c r="T767" s="4"/>
      <c r="U767" s="1" t="str">
        <f t="shared" si="24"/>
        <v>Normal</v>
      </c>
    </row>
    <row r="768" spans="1:21" x14ac:dyDescent="0.25">
      <c r="A768" s="1" t="s">
        <v>780</v>
      </c>
      <c r="B768" s="4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6" t="str">
        <f t="shared" si="23"/>
        <v>Jan</v>
      </c>
      <c r="O768" s="1">
        <v>557.76</v>
      </c>
      <c r="T768" s="4"/>
      <c r="U768" s="1" t="str">
        <f t="shared" si="24"/>
        <v>Normal</v>
      </c>
    </row>
    <row r="769" spans="1:21" x14ac:dyDescent="0.25">
      <c r="A769" s="1" t="s">
        <v>781</v>
      </c>
      <c r="B769" s="4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6" t="str">
        <f t="shared" si="23"/>
        <v>Apr</v>
      </c>
      <c r="O769" s="1">
        <v>646.44000000000005</v>
      </c>
      <c r="T769" s="4"/>
      <c r="U769" s="1" t="str">
        <f t="shared" si="24"/>
        <v>Normal</v>
      </c>
    </row>
    <row r="770" spans="1:21" x14ac:dyDescent="0.25">
      <c r="A770" s="1" t="s">
        <v>782</v>
      </c>
      <c r="B770" s="4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6" t="str">
        <f t="shared" ref="N770:N833" si="25">TEXT(B770,"MMM")</f>
        <v>Sep</v>
      </c>
      <c r="O770" s="1">
        <v>3267.3</v>
      </c>
      <c r="T770" s="4"/>
      <c r="U770" s="1" t="str">
        <f t="shared" si="24"/>
        <v>Normal</v>
      </c>
    </row>
    <row r="771" spans="1:21" x14ac:dyDescent="0.25">
      <c r="A771" s="1" t="s">
        <v>783</v>
      </c>
      <c r="B771" s="4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6" t="str">
        <f t="shared" si="25"/>
        <v>Jul</v>
      </c>
      <c r="O771" s="1">
        <v>2714.2</v>
      </c>
      <c r="T771" s="4"/>
      <c r="U771" s="1" t="str">
        <f t="shared" ref="U771:U834" si="26">IF(O771&gt;$S$2,"Outlier","Normal")</f>
        <v>Normal</v>
      </c>
    </row>
    <row r="772" spans="1:21" x14ac:dyDescent="0.25">
      <c r="A772" s="1" t="s">
        <v>784</v>
      </c>
      <c r="B772" s="4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6" t="str">
        <f t="shared" si="25"/>
        <v>Feb</v>
      </c>
      <c r="O772" s="1">
        <v>314.38</v>
      </c>
      <c r="T772" s="4"/>
      <c r="U772" s="1" t="str">
        <f t="shared" si="26"/>
        <v>Normal</v>
      </c>
    </row>
    <row r="773" spans="1:21" x14ac:dyDescent="0.25">
      <c r="A773" s="1" t="s">
        <v>785</v>
      </c>
      <c r="B773" s="4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6" t="str">
        <f t="shared" si="25"/>
        <v>Jun</v>
      </c>
      <c r="O773" s="1">
        <v>2077.3200000000002</v>
      </c>
      <c r="T773" s="4"/>
      <c r="U773" s="1" t="str">
        <f t="shared" si="26"/>
        <v>Normal</v>
      </c>
    </row>
    <row r="774" spans="1:21" x14ac:dyDescent="0.25">
      <c r="A774" s="1" t="s">
        <v>786</v>
      </c>
      <c r="B774" s="4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6" t="str">
        <f t="shared" si="25"/>
        <v>Jul</v>
      </c>
      <c r="O774" s="1">
        <v>604.87</v>
      </c>
      <c r="T774" s="4"/>
      <c r="U774" s="1" t="str">
        <f t="shared" si="26"/>
        <v>Normal</v>
      </c>
    </row>
    <row r="775" spans="1:21" x14ac:dyDescent="0.25">
      <c r="A775" s="1" t="s">
        <v>787</v>
      </c>
      <c r="B775" s="4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6" t="str">
        <f t="shared" si="25"/>
        <v>Jun</v>
      </c>
      <c r="O775" s="1">
        <v>1024.6600000000001</v>
      </c>
      <c r="T775" s="4"/>
      <c r="U775" s="1" t="str">
        <f t="shared" si="26"/>
        <v>Normal</v>
      </c>
    </row>
    <row r="776" spans="1:21" x14ac:dyDescent="0.25">
      <c r="A776" s="1" t="s">
        <v>788</v>
      </c>
      <c r="B776" s="4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6" t="str">
        <f t="shared" si="25"/>
        <v>Apr</v>
      </c>
      <c r="O776" s="1">
        <v>61.62</v>
      </c>
      <c r="T776" s="4"/>
      <c r="U776" s="1" t="str">
        <f t="shared" si="26"/>
        <v>Normal</v>
      </c>
    </row>
    <row r="777" spans="1:21" x14ac:dyDescent="0.25">
      <c r="A777" s="1" t="s">
        <v>789</v>
      </c>
      <c r="B777" s="4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6" t="str">
        <f t="shared" si="25"/>
        <v>Mar</v>
      </c>
      <c r="O777" s="1">
        <v>1250.44</v>
      </c>
      <c r="T777" s="4"/>
      <c r="U777" s="1" t="str">
        <f t="shared" si="26"/>
        <v>Normal</v>
      </c>
    </row>
    <row r="778" spans="1:21" x14ac:dyDescent="0.25">
      <c r="A778" s="1" t="s">
        <v>790</v>
      </c>
      <c r="B778" s="4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6" t="str">
        <f t="shared" si="25"/>
        <v>Aug</v>
      </c>
      <c r="O778" s="1">
        <v>21.19</v>
      </c>
      <c r="T778" s="4"/>
      <c r="U778" s="1" t="str">
        <f t="shared" si="26"/>
        <v>Normal</v>
      </c>
    </row>
    <row r="779" spans="1:21" x14ac:dyDescent="0.25">
      <c r="A779" s="1" t="s">
        <v>791</v>
      </c>
      <c r="B779" s="4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6" t="str">
        <f t="shared" si="25"/>
        <v>Mar</v>
      </c>
      <c r="O779" s="1">
        <v>322.45</v>
      </c>
      <c r="T779" s="4"/>
      <c r="U779" s="1" t="str">
        <f t="shared" si="26"/>
        <v>Normal</v>
      </c>
    </row>
    <row r="780" spans="1:21" x14ac:dyDescent="0.25">
      <c r="A780" s="1" t="s">
        <v>792</v>
      </c>
      <c r="B780" s="4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6" t="str">
        <f t="shared" si="25"/>
        <v>Apr</v>
      </c>
      <c r="O780" s="1">
        <v>987.4</v>
      </c>
      <c r="T780" s="4"/>
      <c r="U780" s="1" t="str">
        <f t="shared" si="26"/>
        <v>Normal</v>
      </c>
    </row>
    <row r="781" spans="1:21" x14ac:dyDescent="0.25">
      <c r="A781" s="1" t="s">
        <v>793</v>
      </c>
      <c r="B781" s="4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6" t="str">
        <f t="shared" si="25"/>
        <v>Dec</v>
      </c>
      <c r="O781" s="1">
        <v>1766.22</v>
      </c>
      <c r="T781" s="4"/>
      <c r="U781" s="1" t="str">
        <f t="shared" si="26"/>
        <v>Normal</v>
      </c>
    </row>
    <row r="782" spans="1:21" x14ac:dyDescent="0.25">
      <c r="A782" s="1" t="s">
        <v>794</v>
      </c>
      <c r="B782" s="4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6" t="str">
        <f t="shared" si="25"/>
        <v>Mar</v>
      </c>
      <c r="O782" s="1">
        <v>737.92</v>
      </c>
      <c r="T782" s="4"/>
      <c r="U782" s="1" t="str">
        <f t="shared" si="26"/>
        <v>Normal</v>
      </c>
    </row>
    <row r="783" spans="1:21" x14ac:dyDescent="0.25">
      <c r="A783" s="1" t="s">
        <v>795</v>
      </c>
      <c r="B783" s="4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6" t="str">
        <f t="shared" si="25"/>
        <v>Jan</v>
      </c>
      <c r="O783" s="1">
        <v>2621.3000000000002</v>
      </c>
      <c r="T783" s="4"/>
      <c r="U783" s="1" t="str">
        <f t="shared" si="26"/>
        <v>Normal</v>
      </c>
    </row>
    <row r="784" spans="1:21" x14ac:dyDescent="0.25">
      <c r="A784" s="1" t="s">
        <v>796</v>
      </c>
      <c r="B784" s="4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6" t="str">
        <f t="shared" si="25"/>
        <v>Aug</v>
      </c>
      <c r="O784" s="1">
        <v>987.26</v>
      </c>
      <c r="T784" s="4"/>
      <c r="U784" s="1" t="str">
        <f t="shared" si="26"/>
        <v>Normal</v>
      </c>
    </row>
    <row r="785" spans="1:21" x14ac:dyDescent="0.25">
      <c r="A785" s="1" t="s">
        <v>797</v>
      </c>
      <c r="B785" s="4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6" t="str">
        <f t="shared" si="25"/>
        <v>May</v>
      </c>
      <c r="O785" s="1">
        <v>438.34</v>
      </c>
      <c r="T785" s="4"/>
      <c r="U785" s="1" t="str">
        <f t="shared" si="26"/>
        <v>Normal</v>
      </c>
    </row>
    <row r="786" spans="1:21" x14ac:dyDescent="0.25">
      <c r="A786" s="1" t="s">
        <v>798</v>
      </c>
      <c r="B786" s="4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6" t="str">
        <f t="shared" si="25"/>
        <v>May</v>
      </c>
      <c r="O786" s="1">
        <v>325.81</v>
      </c>
      <c r="T786" s="4"/>
      <c r="U786" s="1" t="str">
        <f t="shared" si="26"/>
        <v>Normal</v>
      </c>
    </row>
    <row r="787" spans="1:21" x14ac:dyDescent="0.25">
      <c r="A787" s="1" t="s">
        <v>799</v>
      </c>
      <c r="B787" s="4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6" t="str">
        <f t="shared" si="25"/>
        <v>Jul</v>
      </c>
      <c r="O787" s="1">
        <v>176.1</v>
      </c>
      <c r="T787" s="4"/>
      <c r="U787" s="1" t="str">
        <f t="shared" si="26"/>
        <v>Normal</v>
      </c>
    </row>
    <row r="788" spans="1:21" x14ac:dyDescent="0.25">
      <c r="A788" s="1" t="s">
        <v>800</v>
      </c>
      <c r="B788" s="4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6" t="str">
        <f t="shared" si="25"/>
        <v>Aug</v>
      </c>
      <c r="O788" s="1">
        <v>226.55</v>
      </c>
      <c r="T788" s="4"/>
      <c r="U788" s="1" t="str">
        <f t="shared" si="26"/>
        <v>Normal</v>
      </c>
    </row>
    <row r="789" spans="1:21" x14ac:dyDescent="0.25">
      <c r="A789" s="1" t="s">
        <v>801</v>
      </c>
      <c r="B789" s="4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6" t="str">
        <f t="shared" si="25"/>
        <v>Mar</v>
      </c>
      <c r="O789" s="1">
        <v>887.84</v>
      </c>
      <c r="T789" s="4"/>
      <c r="U789" s="1" t="str">
        <f t="shared" si="26"/>
        <v>Normal</v>
      </c>
    </row>
    <row r="790" spans="1:21" x14ac:dyDescent="0.25">
      <c r="A790" s="1" t="s">
        <v>802</v>
      </c>
      <c r="B790" s="4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6" t="str">
        <f t="shared" si="25"/>
        <v>Nov</v>
      </c>
      <c r="O790" s="1">
        <v>1202.8599999999999</v>
      </c>
      <c r="T790" s="4"/>
      <c r="U790" s="1" t="str">
        <f t="shared" si="26"/>
        <v>Normal</v>
      </c>
    </row>
    <row r="791" spans="1:21" x14ac:dyDescent="0.25">
      <c r="A791" s="1" t="s">
        <v>803</v>
      </c>
      <c r="B791" s="4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6" t="str">
        <f t="shared" si="25"/>
        <v>Aug</v>
      </c>
      <c r="O791" s="1">
        <v>3456.4</v>
      </c>
      <c r="T791" s="4"/>
      <c r="U791" s="1" t="str">
        <f t="shared" si="26"/>
        <v>Outlier</v>
      </c>
    </row>
    <row r="792" spans="1:21" x14ac:dyDescent="0.25">
      <c r="A792" s="1" t="s">
        <v>804</v>
      </c>
      <c r="B792" s="4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6" t="str">
        <f t="shared" si="25"/>
        <v>Sep</v>
      </c>
      <c r="O792" s="1">
        <v>1671.56</v>
      </c>
      <c r="T792" s="4"/>
      <c r="U792" s="1" t="str">
        <f t="shared" si="26"/>
        <v>Normal</v>
      </c>
    </row>
    <row r="793" spans="1:21" x14ac:dyDescent="0.25">
      <c r="A793" s="1" t="s">
        <v>805</v>
      </c>
      <c r="B793" s="4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6" t="str">
        <f t="shared" si="25"/>
        <v>Jan</v>
      </c>
      <c r="O793" s="1">
        <v>1637.12</v>
      </c>
      <c r="T793" s="4"/>
      <c r="U793" s="1" t="str">
        <f t="shared" si="26"/>
        <v>Normal</v>
      </c>
    </row>
    <row r="794" spans="1:21" x14ac:dyDescent="0.25">
      <c r="A794" s="1" t="s">
        <v>806</v>
      </c>
      <c r="B794" s="4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6" t="str">
        <f t="shared" si="25"/>
        <v>Jun</v>
      </c>
      <c r="O794" s="1">
        <v>712.7</v>
      </c>
      <c r="T794" s="4"/>
      <c r="U794" s="1" t="str">
        <f t="shared" si="26"/>
        <v>Normal</v>
      </c>
    </row>
    <row r="795" spans="1:21" x14ac:dyDescent="0.25">
      <c r="A795" s="1" t="s">
        <v>807</v>
      </c>
      <c r="B795" s="4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6" t="str">
        <f t="shared" si="25"/>
        <v>Apr</v>
      </c>
      <c r="O795" s="1">
        <v>851.1</v>
      </c>
      <c r="T795" s="4"/>
      <c r="U795" s="1" t="str">
        <f t="shared" si="26"/>
        <v>Normal</v>
      </c>
    </row>
    <row r="796" spans="1:21" x14ac:dyDescent="0.25">
      <c r="A796" s="1" t="s">
        <v>808</v>
      </c>
      <c r="B796" s="4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6" t="str">
        <f t="shared" si="25"/>
        <v>Mar</v>
      </c>
      <c r="O796" s="1">
        <v>1539.4</v>
      </c>
      <c r="T796" s="4"/>
      <c r="U796" s="1" t="str">
        <f t="shared" si="26"/>
        <v>Normal</v>
      </c>
    </row>
    <row r="797" spans="1:21" x14ac:dyDescent="0.25">
      <c r="A797" s="1" t="s">
        <v>809</v>
      </c>
      <c r="B797" s="4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6" t="str">
        <f t="shared" si="25"/>
        <v>Nov</v>
      </c>
      <c r="O797" s="1">
        <v>463.08</v>
      </c>
      <c r="T797" s="4"/>
      <c r="U797" s="1" t="str">
        <f t="shared" si="26"/>
        <v>Normal</v>
      </c>
    </row>
    <row r="798" spans="1:21" x14ac:dyDescent="0.25">
      <c r="A798" s="1" t="s">
        <v>810</v>
      </c>
      <c r="B798" s="4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6" t="str">
        <f t="shared" si="25"/>
        <v>Apr</v>
      </c>
      <c r="O798" s="1">
        <v>1738.65</v>
      </c>
      <c r="T798" s="4"/>
      <c r="U798" s="1" t="str">
        <f t="shared" si="26"/>
        <v>Normal</v>
      </c>
    </row>
    <row r="799" spans="1:21" x14ac:dyDescent="0.25">
      <c r="A799" s="1" t="s">
        <v>811</v>
      </c>
      <c r="B799" s="4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6" t="str">
        <f t="shared" si="25"/>
        <v>Feb</v>
      </c>
      <c r="O799" s="1">
        <v>877.52</v>
      </c>
      <c r="T799" s="4"/>
      <c r="U799" s="1" t="str">
        <f t="shared" si="26"/>
        <v>Normal</v>
      </c>
    </row>
    <row r="800" spans="1:21" x14ac:dyDescent="0.25">
      <c r="A800" s="1" t="s">
        <v>812</v>
      </c>
      <c r="B800" s="4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6" t="str">
        <f t="shared" si="25"/>
        <v>May</v>
      </c>
      <c r="O800" s="1">
        <v>2441.75</v>
      </c>
      <c r="T800" s="4"/>
      <c r="U800" s="1" t="str">
        <f t="shared" si="26"/>
        <v>Normal</v>
      </c>
    </row>
    <row r="801" spans="1:21" x14ac:dyDescent="0.25">
      <c r="A801" s="1" t="s">
        <v>813</v>
      </c>
      <c r="B801" s="4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6" t="str">
        <f t="shared" si="25"/>
        <v>Apr</v>
      </c>
      <c r="O801" s="1">
        <v>1314.24</v>
      </c>
      <c r="T801" s="4"/>
      <c r="U801" s="1" t="str">
        <f t="shared" si="26"/>
        <v>Normal</v>
      </c>
    </row>
    <row r="802" spans="1:21" x14ac:dyDescent="0.25">
      <c r="A802" s="1" t="s">
        <v>814</v>
      </c>
      <c r="B802" s="4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6" t="str">
        <f t="shared" si="25"/>
        <v>Mar</v>
      </c>
      <c r="O802" s="1">
        <v>68.39</v>
      </c>
      <c r="T802" s="4"/>
      <c r="U802" s="1" t="str">
        <f t="shared" si="26"/>
        <v>Normal</v>
      </c>
    </row>
    <row r="803" spans="1:21" x14ac:dyDescent="0.25">
      <c r="A803" s="1" t="s">
        <v>815</v>
      </c>
      <c r="B803" s="4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6" t="str">
        <f t="shared" si="25"/>
        <v>May</v>
      </c>
      <c r="O803" s="1">
        <v>2382.48</v>
      </c>
      <c r="T803" s="4"/>
      <c r="U803" s="1" t="str">
        <f t="shared" si="26"/>
        <v>Normal</v>
      </c>
    </row>
    <row r="804" spans="1:21" x14ac:dyDescent="0.25">
      <c r="A804" s="1" t="s">
        <v>816</v>
      </c>
      <c r="B804" s="4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6" t="str">
        <f t="shared" si="25"/>
        <v>Feb</v>
      </c>
      <c r="O804" s="1">
        <v>3223.2</v>
      </c>
      <c r="T804" s="4"/>
      <c r="U804" s="1" t="str">
        <f t="shared" si="26"/>
        <v>Normal</v>
      </c>
    </row>
    <row r="805" spans="1:21" x14ac:dyDescent="0.25">
      <c r="A805" s="1" t="s">
        <v>817</v>
      </c>
      <c r="B805" s="4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6" t="str">
        <f t="shared" si="25"/>
        <v>Aug</v>
      </c>
      <c r="O805" s="1">
        <v>1989.05</v>
      </c>
      <c r="T805" s="4"/>
      <c r="U805" s="1" t="str">
        <f t="shared" si="26"/>
        <v>Normal</v>
      </c>
    </row>
    <row r="806" spans="1:21" x14ac:dyDescent="0.25">
      <c r="A806" s="1" t="s">
        <v>818</v>
      </c>
      <c r="B806" s="4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6" t="str">
        <f t="shared" si="25"/>
        <v>Jan</v>
      </c>
      <c r="O806" s="1">
        <v>709.5</v>
      </c>
      <c r="T806" s="4"/>
      <c r="U806" s="1" t="str">
        <f t="shared" si="26"/>
        <v>Normal</v>
      </c>
    </row>
    <row r="807" spans="1:21" x14ac:dyDescent="0.25">
      <c r="A807" s="1" t="s">
        <v>819</v>
      </c>
      <c r="B807" s="4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6" t="str">
        <f t="shared" si="25"/>
        <v>Oct</v>
      </c>
      <c r="O807" s="1">
        <v>2360.0500000000002</v>
      </c>
      <c r="T807" s="4"/>
      <c r="U807" s="1" t="str">
        <f t="shared" si="26"/>
        <v>Normal</v>
      </c>
    </row>
    <row r="808" spans="1:21" x14ac:dyDescent="0.25">
      <c r="A808" s="1" t="s">
        <v>820</v>
      </c>
      <c r="B808" s="4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6" t="str">
        <f t="shared" si="25"/>
        <v>Sep</v>
      </c>
      <c r="O808" s="1">
        <v>1268.75</v>
      </c>
      <c r="T808" s="4"/>
      <c r="U808" s="1" t="str">
        <f t="shared" si="26"/>
        <v>Normal</v>
      </c>
    </row>
    <row r="809" spans="1:21" x14ac:dyDescent="0.25">
      <c r="A809" s="1" t="s">
        <v>821</v>
      </c>
      <c r="B809" s="4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6" t="str">
        <f t="shared" si="25"/>
        <v>Nov</v>
      </c>
      <c r="O809" s="1">
        <v>2028.63</v>
      </c>
      <c r="T809" s="4"/>
      <c r="U809" s="1" t="str">
        <f t="shared" si="26"/>
        <v>Normal</v>
      </c>
    </row>
    <row r="810" spans="1:21" x14ac:dyDescent="0.25">
      <c r="A810" s="1" t="s">
        <v>822</v>
      </c>
      <c r="B810" s="4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6" t="str">
        <f t="shared" si="25"/>
        <v>Feb</v>
      </c>
      <c r="O810" s="1">
        <v>402.15</v>
      </c>
      <c r="T810" s="4"/>
      <c r="U810" s="1" t="str">
        <f t="shared" si="26"/>
        <v>Normal</v>
      </c>
    </row>
    <row r="811" spans="1:21" x14ac:dyDescent="0.25">
      <c r="A811" s="1" t="s">
        <v>823</v>
      </c>
      <c r="B811" s="4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6" t="str">
        <f t="shared" si="25"/>
        <v>Apr</v>
      </c>
      <c r="O811" s="1">
        <v>1087.1500000000001</v>
      </c>
      <c r="T811" s="4"/>
      <c r="U811" s="1" t="str">
        <f t="shared" si="26"/>
        <v>Normal</v>
      </c>
    </row>
    <row r="812" spans="1:21" x14ac:dyDescent="0.25">
      <c r="A812" s="1" t="s">
        <v>824</v>
      </c>
      <c r="B812" s="4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6" t="str">
        <f t="shared" si="25"/>
        <v>May</v>
      </c>
      <c r="O812" s="1">
        <v>553.55999999999995</v>
      </c>
      <c r="T812" s="4"/>
      <c r="U812" s="1" t="str">
        <f t="shared" si="26"/>
        <v>Normal</v>
      </c>
    </row>
    <row r="813" spans="1:21" x14ac:dyDescent="0.25">
      <c r="A813" s="1" t="s">
        <v>825</v>
      </c>
      <c r="B813" s="4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6" t="str">
        <f t="shared" si="25"/>
        <v>Nov</v>
      </c>
      <c r="O813" s="1">
        <v>57.1</v>
      </c>
      <c r="T813" s="4"/>
      <c r="U813" s="1" t="str">
        <f t="shared" si="26"/>
        <v>Normal</v>
      </c>
    </row>
    <row r="814" spans="1:21" x14ac:dyDescent="0.25">
      <c r="A814" s="1" t="s">
        <v>826</v>
      </c>
      <c r="B814" s="4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6" t="str">
        <f t="shared" si="25"/>
        <v>Jan</v>
      </c>
      <c r="O814" s="1">
        <v>510.52</v>
      </c>
      <c r="T814" s="4"/>
      <c r="U814" s="1" t="str">
        <f t="shared" si="26"/>
        <v>Normal</v>
      </c>
    </row>
    <row r="815" spans="1:21" x14ac:dyDescent="0.25">
      <c r="A815" s="1" t="s">
        <v>827</v>
      </c>
      <c r="B815" s="4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6" t="str">
        <f t="shared" si="25"/>
        <v>Mar</v>
      </c>
      <c r="O815" s="1">
        <v>1462.7</v>
      </c>
      <c r="T815" s="4"/>
      <c r="U815" s="1" t="str">
        <f t="shared" si="26"/>
        <v>Normal</v>
      </c>
    </row>
    <row r="816" spans="1:21" x14ac:dyDescent="0.25">
      <c r="A816" s="1" t="s">
        <v>828</v>
      </c>
      <c r="B816" s="4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6" t="str">
        <f t="shared" si="25"/>
        <v>Dec</v>
      </c>
      <c r="O816" s="1">
        <v>590.04</v>
      </c>
      <c r="T816" s="4"/>
      <c r="U816" s="1" t="str">
        <f t="shared" si="26"/>
        <v>Normal</v>
      </c>
    </row>
    <row r="817" spans="1:21" x14ac:dyDescent="0.25">
      <c r="A817" s="1" t="s">
        <v>829</v>
      </c>
      <c r="B817" s="4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6" t="str">
        <f t="shared" si="25"/>
        <v>Aug</v>
      </c>
      <c r="O817" s="1">
        <v>1709.52</v>
      </c>
      <c r="T817" s="4"/>
      <c r="U817" s="1" t="str">
        <f t="shared" si="26"/>
        <v>Normal</v>
      </c>
    </row>
    <row r="818" spans="1:21" x14ac:dyDescent="0.25">
      <c r="A818" s="1" t="s">
        <v>830</v>
      </c>
      <c r="B818" s="4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6" t="str">
        <f t="shared" si="25"/>
        <v>Feb</v>
      </c>
      <c r="O818" s="1">
        <v>2873.95</v>
      </c>
      <c r="T818" s="4"/>
      <c r="U818" s="1" t="str">
        <f t="shared" si="26"/>
        <v>Normal</v>
      </c>
    </row>
    <row r="819" spans="1:21" x14ac:dyDescent="0.25">
      <c r="A819" s="1" t="s">
        <v>831</v>
      </c>
      <c r="B819" s="4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6" t="str">
        <f t="shared" si="25"/>
        <v>Oct</v>
      </c>
      <c r="O819" s="1">
        <v>2392.7600000000002</v>
      </c>
      <c r="T819" s="4"/>
      <c r="U819" s="1" t="str">
        <f t="shared" si="26"/>
        <v>Normal</v>
      </c>
    </row>
    <row r="820" spans="1:21" x14ac:dyDescent="0.25">
      <c r="A820" s="1" t="s">
        <v>832</v>
      </c>
      <c r="B820" s="4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6" t="str">
        <f t="shared" si="25"/>
        <v>Mar</v>
      </c>
      <c r="O820" s="1">
        <v>1563.36</v>
      </c>
      <c r="T820" s="4"/>
      <c r="U820" s="1" t="str">
        <f t="shared" si="26"/>
        <v>Normal</v>
      </c>
    </row>
    <row r="821" spans="1:21" x14ac:dyDescent="0.25">
      <c r="A821" s="1" t="s">
        <v>833</v>
      </c>
      <c r="B821" s="4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6" t="str">
        <f t="shared" si="25"/>
        <v>Sep</v>
      </c>
      <c r="O821" s="1">
        <v>796.9</v>
      </c>
      <c r="T821" s="4"/>
      <c r="U821" s="1" t="str">
        <f t="shared" si="26"/>
        <v>Normal</v>
      </c>
    </row>
    <row r="822" spans="1:21" x14ac:dyDescent="0.25">
      <c r="A822" s="1" t="s">
        <v>834</v>
      </c>
      <c r="B822" s="4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6" t="str">
        <f t="shared" si="25"/>
        <v>May</v>
      </c>
      <c r="O822" s="1">
        <v>3119.05</v>
      </c>
      <c r="T822" s="4"/>
      <c r="U822" s="1" t="str">
        <f t="shared" si="26"/>
        <v>Normal</v>
      </c>
    </row>
    <row r="823" spans="1:21" x14ac:dyDescent="0.25">
      <c r="A823" s="1" t="s">
        <v>835</v>
      </c>
      <c r="B823" s="4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6" t="str">
        <f t="shared" si="25"/>
        <v>Dec</v>
      </c>
      <c r="O823" s="1">
        <v>697.96</v>
      </c>
      <c r="T823" s="4"/>
      <c r="U823" s="1" t="str">
        <f t="shared" si="26"/>
        <v>Normal</v>
      </c>
    </row>
    <row r="824" spans="1:21" x14ac:dyDescent="0.25">
      <c r="A824" s="1" t="s">
        <v>836</v>
      </c>
      <c r="B824" s="4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6" t="str">
        <f t="shared" si="25"/>
        <v>Mar</v>
      </c>
      <c r="O824" s="1">
        <v>479.56</v>
      </c>
      <c r="T824" s="4"/>
      <c r="U824" s="1" t="str">
        <f t="shared" si="26"/>
        <v>Normal</v>
      </c>
    </row>
    <row r="825" spans="1:21" x14ac:dyDescent="0.25">
      <c r="A825" s="1" t="s">
        <v>837</v>
      </c>
      <c r="B825" s="4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6" t="str">
        <f t="shared" si="25"/>
        <v>Oct</v>
      </c>
      <c r="O825" s="1">
        <v>2612.52</v>
      </c>
      <c r="T825" s="4"/>
      <c r="U825" s="1" t="str">
        <f t="shared" si="26"/>
        <v>Normal</v>
      </c>
    </row>
    <row r="826" spans="1:21" x14ac:dyDescent="0.25">
      <c r="A826" s="1" t="s">
        <v>838</v>
      </c>
      <c r="B826" s="4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6" t="str">
        <f t="shared" si="25"/>
        <v>Aug</v>
      </c>
      <c r="O826" s="1">
        <v>1443.3</v>
      </c>
      <c r="T826" s="4"/>
      <c r="U826" s="1" t="str">
        <f t="shared" si="26"/>
        <v>Normal</v>
      </c>
    </row>
    <row r="827" spans="1:21" x14ac:dyDescent="0.25">
      <c r="A827" s="1" t="s">
        <v>839</v>
      </c>
      <c r="B827" s="4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6" t="str">
        <f t="shared" si="25"/>
        <v>Mar</v>
      </c>
      <c r="O827" s="1">
        <v>1358.45</v>
      </c>
      <c r="T827" s="4"/>
      <c r="U827" s="1" t="str">
        <f t="shared" si="26"/>
        <v>Normal</v>
      </c>
    </row>
    <row r="828" spans="1:21" x14ac:dyDescent="0.25">
      <c r="A828" s="1" t="s">
        <v>840</v>
      </c>
      <c r="B828" s="4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6" t="str">
        <f t="shared" si="25"/>
        <v>Mar</v>
      </c>
      <c r="O828" s="1">
        <v>1391.43</v>
      </c>
      <c r="T828" s="4"/>
      <c r="U828" s="1" t="str">
        <f t="shared" si="26"/>
        <v>Normal</v>
      </c>
    </row>
    <row r="829" spans="1:21" x14ac:dyDescent="0.25">
      <c r="A829" s="1" t="s">
        <v>841</v>
      </c>
      <c r="B829" s="4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6" t="str">
        <f t="shared" si="25"/>
        <v>May</v>
      </c>
      <c r="O829" s="1">
        <v>1279.76</v>
      </c>
      <c r="T829" s="4"/>
      <c r="U829" s="1" t="str">
        <f t="shared" si="26"/>
        <v>Normal</v>
      </c>
    </row>
    <row r="830" spans="1:21" x14ac:dyDescent="0.25">
      <c r="A830" s="1" t="s">
        <v>842</v>
      </c>
      <c r="B830" s="4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6" t="str">
        <f t="shared" si="25"/>
        <v>Jul</v>
      </c>
      <c r="O830" s="1">
        <v>1618.32</v>
      </c>
      <c r="T830" s="4"/>
      <c r="U830" s="1" t="str">
        <f t="shared" si="26"/>
        <v>Normal</v>
      </c>
    </row>
    <row r="831" spans="1:21" x14ac:dyDescent="0.25">
      <c r="A831" s="1" t="s">
        <v>843</v>
      </c>
      <c r="B831" s="4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6" t="str">
        <f t="shared" si="25"/>
        <v>Feb</v>
      </c>
      <c r="O831" s="1">
        <v>76.930000000000007</v>
      </c>
      <c r="T831" s="4"/>
      <c r="U831" s="1" t="str">
        <f t="shared" si="26"/>
        <v>Normal</v>
      </c>
    </row>
    <row r="832" spans="1:21" x14ac:dyDescent="0.25">
      <c r="A832" s="1" t="s">
        <v>844</v>
      </c>
      <c r="B832" s="4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6" t="str">
        <f t="shared" si="25"/>
        <v>Dec</v>
      </c>
      <c r="O832" s="1">
        <v>762.56</v>
      </c>
      <c r="T832" s="4"/>
      <c r="U832" s="1" t="str">
        <f t="shared" si="26"/>
        <v>Normal</v>
      </c>
    </row>
    <row r="833" spans="1:21" x14ac:dyDescent="0.25">
      <c r="A833" s="1" t="s">
        <v>845</v>
      </c>
      <c r="B833" s="4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6" t="str">
        <f t="shared" si="25"/>
        <v>Dec</v>
      </c>
      <c r="O833" s="1">
        <v>177.46</v>
      </c>
      <c r="T833" s="4"/>
      <c r="U833" s="1" t="str">
        <f t="shared" si="26"/>
        <v>Normal</v>
      </c>
    </row>
    <row r="834" spans="1:21" x14ac:dyDescent="0.25">
      <c r="A834" s="1" t="s">
        <v>846</v>
      </c>
      <c r="B834" s="4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6" t="str">
        <f t="shared" ref="N834:N897" si="27">TEXT(B834,"MMM")</f>
        <v>Mar</v>
      </c>
      <c r="O834" s="1">
        <v>2428.5500000000002</v>
      </c>
      <c r="T834" s="4"/>
      <c r="U834" s="1" t="str">
        <f t="shared" si="26"/>
        <v>Normal</v>
      </c>
    </row>
    <row r="835" spans="1:21" x14ac:dyDescent="0.25">
      <c r="A835" s="1" t="s">
        <v>847</v>
      </c>
      <c r="B835" s="4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6" t="str">
        <f t="shared" si="27"/>
        <v>Mar</v>
      </c>
      <c r="O835" s="1">
        <v>391.45</v>
      </c>
      <c r="T835" s="4"/>
      <c r="U835" s="1" t="str">
        <f t="shared" ref="U835:U898" si="28">IF(O835&gt;$S$2,"Outlier","Normal")</f>
        <v>Normal</v>
      </c>
    </row>
    <row r="836" spans="1:21" x14ac:dyDescent="0.25">
      <c r="A836" s="1" t="s">
        <v>848</v>
      </c>
      <c r="B836" s="4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6" t="str">
        <f t="shared" si="27"/>
        <v>Apr</v>
      </c>
      <c r="O836" s="1">
        <v>110.7</v>
      </c>
      <c r="T836" s="4"/>
      <c r="U836" s="1" t="str">
        <f t="shared" si="28"/>
        <v>Normal</v>
      </c>
    </row>
    <row r="837" spans="1:21" x14ac:dyDescent="0.25">
      <c r="A837" s="1" t="s">
        <v>849</v>
      </c>
      <c r="B837" s="4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6" t="str">
        <f t="shared" si="27"/>
        <v>Mar</v>
      </c>
      <c r="O837" s="1">
        <v>679.65</v>
      </c>
      <c r="T837" s="4"/>
      <c r="U837" s="1" t="str">
        <f t="shared" si="28"/>
        <v>Normal</v>
      </c>
    </row>
    <row r="838" spans="1:21" x14ac:dyDescent="0.25">
      <c r="A838" s="1" t="s">
        <v>850</v>
      </c>
      <c r="B838" s="4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6" t="str">
        <f t="shared" si="27"/>
        <v>Feb</v>
      </c>
      <c r="O838" s="1">
        <v>178.44</v>
      </c>
      <c r="T838" s="4"/>
      <c r="U838" s="1" t="str">
        <f t="shared" si="28"/>
        <v>Normal</v>
      </c>
    </row>
    <row r="839" spans="1:21" x14ac:dyDescent="0.25">
      <c r="A839" s="1" t="s">
        <v>851</v>
      </c>
      <c r="B839" s="4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6" t="str">
        <f t="shared" si="27"/>
        <v>Jun</v>
      </c>
      <c r="O839" s="1">
        <v>3277.75</v>
      </c>
      <c r="T839" s="4"/>
      <c r="U839" s="1" t="str">
        <f t="shared" si="28"/>
        <v>Normal</v>
      </c>
    </row>
    <row r="840" spans="1:21" x14ac:dyDescent="0.25">
      <c r="A840" s="1" t="s">
        <v>852</v>
      </c>
      <c r="B840" s="4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6" t="str">
        <f t="shared" si="27"/>
        <v>Apr</v>
      </c>
      <c r="O840" s="1">
        <v>2308.3200000000002</v>
      </c>
      <c r="T840" s="4"/>
      <c r="U840" s="1" t="str">
        <f t="shared" si="28"/>
        <v>Normal</v>
      </c>
    </row>
    <row r="841" spans="1:21" x14ac:dyDescent="0.25">
      <c r="A841" s="1" t="s">
        <v>853</v>
      </c>
      <c r="B841" s="4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6" t="str">
        <f t="shared" si="27"/>
        <v>Aug</v>
      </c>
      <c r="O841" s="1">
        <v>593.91</v>
      </c>
      <c r="T841" s="4"/>
      <c r="U841" s="1" t="str">
        <f t="shared" si="28"/>
        <v>Normal</v>
      </c>
    </row>
    <row r="842" spans="1:21" x14ac:dyDescent="0.25">
      <c r="A842" s="1" t="s">
        <v>854</v>
      </c>
      <c r="B842" s="4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6" t="str">
        <f t="shared" si="27"/>
        <v>Jan</v>
      </c>
      <c r="O842" s="1">
        <v>1235.8499999999999</v>
      </c>
      <c r="T842" s="4"/>
      <c r="U842" s="1" t="str">
        <f t="shared" si="28"/>
        <v>Normal</v>
      </c>
    </row>
    <row r="843" spans="1:21" x14ac:dyDescent="0.25">
      <c r="A843" s="1" t="s">
        <v>855</v>
      </c>
      <c r="B843" s="4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6" t="str">
        <f t="shared" si="27"/>
        <v>Sep</v>
      </c>
      <c r="O843" s="1">
        <v>886.44</v>
      </c>
      <c r="T843" s="4"/>
      <c r="U843" s="1" t="str">
        <f t="shared" si="28"/>
        <v>Normal</v>
      </c>
    </row>
    <row r="844" spans="1:21" x14ac:dyDescent="0.25">
      <c r="A844" s="1" t="s">
        <v>856</v>
      </c>
      <c r="B844" s="4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6" t="str">
        <f t="shared" si="27"/>
        <v>May</v>
      </c>
      <c r="O844" s="1">
        <v>1092.42</v>
      </c>
      <c r="T844" s="4"/>
      <c r="U844" s="1" t="str">
        <f t="shared" si="28"/>
        <v>Normal</v>
      </c>
    </row>
    <row r="845" spans="1:21" x14ac:dyDescent="0.25">
      <c r="A845" s="1" t="s">
        <v>857</v>
      </c>
      <c r="B845" s="4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6" t="str">
        <f t="shared" si="27"/>
        <v>May</v>
      </c>
      <c r="O845" s="1">
        <v>1290.18</v>
      </c>
      <c r="T845" s="4"/>
      <c r="U845" s="1" t="str">
        <f t="shared" si="28"/>
        <v>Normal</v>
      </c>
    </row>
    <row r="846" spans="1:21" x14ac:dyDescent="0.25">
      <c r="A846" s="1" t="s">
        <v>858</v>
      </c>
      <c r="B846" s="4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6" t="str">
        <f t="shared" si="27"/>
        <v>Dec</v>
      </c>
      <c r="O846" s="1">
        <v>320.92</v>
      </c>
      <c r="T846" s="4"/>
      <c r="U846" s="1" t="str">
        <f t="shared" si="28"/>
        <v>Normal</v>
      </c>
    </row>
    <row r="847" spans="1:21" x14ac:dyDescent="0.25">
      <c r="A847" s="1" t="s">
        <v>859</v>
      </c>
      <c r="B847" s="4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6" t="str">
        <f t="shared" si="27"/>
        <v>Oct</v>
      </c>
      <c r="O847" s="1">
        <v>322.08</v>
      </c>
      <c r="T847" s="4"/>
      <c r="U847" s="1" t="str">
        <f t="shared" si="28"/>
        <v>Normal</v>
      </c>
    </row>
    <row r="848" spans="1:21" x14ac:dyDescent="0.25">
      <c r="A848" s="1" t="s">
        <v>860</v>
      </c>
      <c r="B848" s="4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6" t="str">
        <f t="shared" si="27"/>
        <v>Jul</v>
      </c>
      <c r="O848" s="1">
        <v>719.72</v>
      </c>
      <c r="T848" s="4"/>
      <c r="U848" s="1" t="str">
        <f t="shared" si="28"/>
        <v>Normal</v>
      </c>
    </row>
    <row r="849" spans="1:21" x14ac:dyDescent="0.25">
      <c r="A849" s="1" t="s">
        <v>861</v>
      </c>
      <c r="B849" s="4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6" t="str">
        <f t="shared" si="27"/>
        <v>Nov</v>
      </c>
      <c r="O849" s="1">
        <v>1736.92</v>
      </c>
      <c r="T849" s="4"/>
      <c r="U849" s="1" t="str">
        <f t="shared" si="28"/>
        <v>Normal</v>
      </c>
    </row>
    <row r="850" spans="1:21" x14ac:dyDescent="0.25">
      <c r="A850" s="1" t="s">
        <v>862</v>
      </c>
      <c r="B850" s="4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6" t="str">
        <f t="shared" si="27"/>
        <v>Jan</v>
      </c>
      <c r="O850" s="1">
        <v>1291.7</v>
      </c>
      <c r="T850" s="4"/>
      <c r="U850" s="1" t="str">
        <f t="shared" si="28"/>
        <v>Normal</v>
      </c>
    </row>
    <row r="851" spans="1:21" x14ac:dyDescent="0.25">
      <c r="A851" s="1" t="s">
        <v>863</v>
      </c>
      <c r="B851" s="4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6" t="str">
        <f t="shared" si="27"/>
        <v>Jun</v>
      </c>
      <c r="O851" s="1">
        <v>857.4</v>
      </c>
      <c r="T851" s="4"/>
      <c r="U851" s="1" t="str">
        <f t="shared" si="28"/>
        <v>Normal</v>
      </c>
    </row>
    <row r="852" spans="1:21" x14ac:dyDescent="0.25">
      <c r="A852" s="1" t="s">
        <v>864</v>
      </c>
      <c r="B852" s="4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6" t="str">
        <f t="shared" si="27"/>
        <v>Apr</v>
      </c>
      <c r="O852" s="1">
        <v>1915.5</v>
      </c>
      <c r="T852" s="4"/>
      <c r="U852" s="1" t="str">
        <f t="shared" si="28"/>
        <v>Normal</v>
      </c>
    </row>
    <row r="853" spans="1:21" x14ac:dyDescent="0.25">
      <c r="A853" s="1" t="s">
        <v>865</v>
      </c>
      <c r="B853" s="4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6" t="str">
        <f t="shared" si="27"/>
        <v>Dec</v>
      </c>
      <c r="O853" s="1">
        <v>365.57</v>
      </c>
      <c r="T853" s="4"/>
      <c r="U853" s="1" t="str">
        <f t="shared" si="28"/>
        <v>Normal</v>
      </c>
    </row>
    <row r="854" spans="1:21" x14ac:dyDescent="0.25">
      <c r="A854" s="1" t="s">
        <v>866</v>
      </c>
      <c r="B854" s="4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6" t="str">
        <f t="shared" si="27"/>
        <v>Oct</v>
      </c>
      <c r="O854" s="1">
        <v>1704.15</v>
      </c>
      <c r="T854" s="4"/>
      <c r="U854" s="1" t="str">
        <f t="shared" si="28"/>
        <v>Normal</v>
      </c>
    </row>
    <row r="855" spans="1:21" x14ac:dyDescent="0.25">
      <c r="A855" s="1" t="s">
        <v>867</v>
      </c>
      <c r="B855" s="4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6" t="str">
        <f t="shared" si="27"/>
        <v>Oct</v>
      </c>
      <c r="O855" s="1">
        <v>1470.03</v>
      </c>
      <c r="T855" s="4"/>
      <c r="U855" s="1" t="str">
        <f t="shared" si="28"/>
        <v>Normal</v>
      </c>
    </row>
    <row r="856" spans="1:21" x14ac:dyDescent="0.25">
      <c r="A856" s="1" t="s">
        <v>868</v>
      </c>
      <c r="B856" s="4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6" t="str">
        <f t="shared" si="27"/>
        <v>Jun</v>
      </c>
      <c r="O856" s="1">
        <v>1117.8</v>
      </c>
      <c r="T856" s="4"/>
      <c r="U856" s="1" t="str">
        <f t="shared" si="28"/>
        <v>Normal</v>
      </c>
    </row>
    <row r="857" spans="1:21" x14ac:dyDescent="0.25">
      <c r="A857" s="1" t="s">
        <v>869</v>
      </c>
      <c r="B857" s="4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6" t="str">
        <f t="shared" si="27"/>
        <v>May</v>
      </c>
      <c r="O857" s="1">
        <v>1203.05</v>
      </c>
      <c r="T857" s="4"/>
      <c r="U857" s="1" t="str">
        <f t="shared" si="28"/>
        <v>Normal</v>
      </c>
    </row>
    <row r="858" spans="1:21" x14ac:dyDescent="0.25">
      <c r="A858" s="1" t="s">
        <v>870</v>
      </c>
      <c r="B858" s="4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6" t="str">
        <f t="shared" si="27"/>
        <v>Jun</v>
      </c>
      <c r="O858" s="1">
        <v>586.62</v>
      </c>
      <c r="T858" s="4"/>
      <c r="U858" s="1" t="str">
        <f t="shared" si="28"/>
        <v>Normal</v>
      </c>
    </row>
    <row r="859" spans="1:21" x14ac:dyDescent="0.25">
      <c r="A859" s="1" t="s">
        <v>871</v>
      </c>
      <c r="B859" s="4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6" t="str">
        <f t="shared" si="27"/>
        <v>Mar</v>
      </c>
      <c r="O859" s="1">
        <v>773.52</v>
      </c>
      <c r="T859" s="4"/>
      <c r="U859" s="1" t="str">
        <f t="shared" si="28"/>
        <v>Normal</v>
      </c>
    </row>
    <row r="860" spans="1:21" x14ac:dyDescent="0.25">
      <c r="A860" s="1" t="s">
        <v>872</v>
      </c>
      <c r="B860" s="4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6" t="str">
        <f t="shared" si="27"/>
        <v>Aug</v>
      </c>
      <c r="O860" s="1">
        <v>2178.3000000000002</v>
      </c>
      <c r="T860" s="4"/>
      <c r="U860" s="1" t="str">
        <f t="shared" si="28"/>
        <v>Normal</v>
      </c>
    </row>
    <row r="861" spans="1:21" x14ac:dyDescent="0.25">
      <c r="A861" s="1" t="s">
        <v>873</v>
      </c>
      <c r="B861" s="4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6" t="str">
        <f t="shared" si="27"/>
        <v>Aug</v>
      </c>
      <c r="O861" s="1">
        <v>1306.6500000000001</v>
      </c>
      <c r="T861" s="4"/>
      <c r="U861" s="1" t="str">
        <f t="shared" si="28"/>
        <v>Normal</v>
      </c>
    </row>
    <row r="862" spans="1:21" x14ac:dyDescent="0.25">
      <c r="A862" s="1" t="s">
        <v>874</v>
      </c>
      <c r="B862" s="4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6" t="str">
        <f t="shared" si="27"/>
        <v>Jan</v>
      </c>
      <c r="O862" s="1">
        <v>422.54</v>
      </c>
      <c r="T862" s="4"/>
      <c r="U862" s="1" t="str">
        <f t="shared" si="28"/>
        <v>Normal</v>
      </c>
    </row>
    <row r="863" spans="1:21" x14ac:dyDescent="0.25">
      <c r="A863" s="1" t="s">
        <v>875</v>
      </c>
      <c r="B863" s="4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6" t="str">
        <f t="shared" si="27"/>
        <v>Mar</v>
      </c>
      <c r="O863" s="1">
        <v>1652.25</v>
      </c>
      <c r="T863" s="4"/>
      <c r="U863" s="1" t="str">
        <f t="shared" si="28"/>
        <v>Normal</v>
      </c>
    </row>
    <row r="864" spans="1:21" x14ac:dyDescent="0.25">
      <c r="A864" s="1" t="s">
        <v>876</v>
      </c>
      <c r="B864" s="4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6" t="str">
        <f t="shared" si="27"/>
        <v>Dec</v>
      </c>
      <c r="O864" s="1">
        <v>362.46</v>
      </c>
      <c r="T864" s="4"/>
      <c r="U864" s="1" t="str">
        <f t="shared" si="28"/>
        <v>Normal</v>
      </c>
    </row>
    <row r="865" spans="1:21" x14ac:dyDescent="0.25">
      <c r="A865" s="1" t="s">
        <v>877</v>
      </c>
      <c r="B865" s="4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6" t="str">
        <f t="shared" si="27"/>
        <v>May</v>
      </c>
      <c r="O865" s="1">
        <v>14.06</v>
      </c>
      <c r="T865" s="4"/>
      <c r="U865" s="1" t="str">
        <f t="shared" si="28"/>
        <v>Normal</v>
      </c>
    </row>
    <row r="866" spans="1:21" x14ac:dyDescent="0.25">
      <c r="A866" s="1" t="s">
        <v>878</v>
      </c>
      <c r="B866" s="4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6" t="str">
        <f t="shared" si="27"/>
        <v>May</v>
      </c>
      <c r="O866" s="1">
        <v>491.11</v>
      </c>
      <c r="T866" s="4"/>
      <c r="U866" s="1" t="str">
        <f t="shared" si="28"/>
        <v>Normal</v>
      </c>
    </row>
    <row r="867" spans="1:21" x14ac:dyDescent="0.25">
      <c r="A867" s="1" t="s">
        <v>879</v>
      </c>
      <c r="B867" s="4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6" t="str">
        <f t="shared" si="27"/>
        <v>Apr</v>
      </c>
      <c r="O867" s="1">
        <v>2709.48</v>
      </c>
      <c r="T867" s="4"/>
      <c r="U867" s="1" t="str">
        <f t="shared" si="28"/>
        <v>Normal</v>
      </c>
    </row>
    <row r="868" spans="1:21" x14ac:dyDescent="0.25">
      <c r="A868" s="1" t="s">
        <v>880</v>
      </c>
      <c r="B868" s="4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6" t="str">
        <f t="shared" si="27"/>
        <v>Jul</v>
      </c>
      <c r="O868" s="1">
        <v>946.25</v>
      </c>
      <c r="T868" s="4"/>
      <c r="U868" s="1" t="str">
        <f t="shared" si="28"/>
        <v>Normal</v>
      </c>
    </row>
    <row r="869" spans="1:21" x14ac:dyDescent="0.25">
      <c r="A869" s="1" t="s">
        <v>881</v>
      </c>
      <c r="B869" s="4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6" t="str">
        <f t="shared" si="27"/>
        <v>May</v>
      </c>
      <c r="O869" s="1">
        <v>570.32000000000005</v>
      </c>
      <c r="T869" s="4"/>
      <c r="U869" s="1" t="str">
        <f t="shared" si="28"/>
        <v>Normal</v>
      </c>
    </row>
    <row r="870" spans="1:21" x14ac:dyDescent="0.25">
      <c r="A870" s="1" t="s">
        <v>882</v>
      </c>
      <c r="B870" s="4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6" t="str">
        <f t="shared" si="27"/>
        <v>Jun</v>
      </c>
      <c r="O870" s="1">
        <v>1265.28</v>
      </c>
      <c r="T870" s="4"/>
      <c r="U870" s="1" t="str">
        <f t="shared" si="28"/>
        <v>Normal</v>
      </c>
    </row>
    <row r="871" spans="1:21" x14ac:dyDescent="0.25">
      <c r="A871" s="1" t="s">
        <v>883</v>
      </c>
      <c r="B871" s="4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6" t="str">
        <f t="shared" si="27"/>
        <v>Mar</v>
      </c>
      <c r="O871" s="1">
        <v>1067.9000000000001</v>
      </c>
      <c r="T871" s="4"/>
      <c r="U871" s="1" t="str">
        <f t="shared" si="28"/>
        <v>Normal</v>
      </c>
    </row>
    <row r="872" spans="1:21" x14ac:dyDescent="0.25">
      <c r="A872" s="1" t="s">
        <v>884</v>
      </c>
      <c r="B872" s="4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6" t="str">
        <f t="shared" si="27"/>
        <v>Jun</v>
      </c>
      <c r="O872" s="1">
        <v>1880.36</v>
      </c>
      <c r="T872" s="4"/>
      <c r="U872" s="1" t="str">
        <f t="shared" si="28"/>
        <v>Normal</v>
      </c>
    </row>
    <row r="873" spans="1:21" x14ac:dyDescent="0.25">
      <c r="A873" s="1" t="s">
        <v>885</v>
      </c>
      <c r="B873" s="4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6" t="str">
        <f t="shared" si="27"/>
        <v>May</v>
      </c>
      <c r="O873" s="1">
        <v>972.90000000000009</v>
      </c>
      <c r="T873" s="4"/>
      <c r="U873" s="1" t="str">
        <f t="shared" si="28"/>
        <v>Normal</v>
      </c>
    </row>
    <row r="874" spans="1:21" x14ac:dyDescent="0.25">
      <c r="A874" s="1" t="s">
        <v>886</v>
      </c>
      <c r="B874" s="4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6" t="str">
        <f t="shared" si="27"/>
        <v>Jul</v>
      </c>
      <c r="O874" s="1">
        <v>2517.36</v>
      </c>
      <c r="T874" s="4"/>
      <c r="U874" s="1" t="str">
        <f t="shared" si="28"/>
        <v>Normal</v>
      </c>
    </row>
    <row r="875" spans="1:21" x14ac:dyDescent="0.25">
      <c r="A875" s="1" t="s">
        <v>887</v>
      </c>
      <c r="B875" s="4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6" t="str">
        <f t="shared" si="27"/>
        <v>May</v>
      </c>
      <c r="O875" s="1">
        <v>410.52</v>
      </c>
      <c r="T875" s="4"/>
      <c r="U875" s="1" t="str">
        <f t="shared" si="28"/>
        <v>Normal</v>
      </c>
    </row>
    <row r="876" spans="1:21" x14ac:dyDescent="0.25">
      <c r="A876" s="1" t="s">
        <v>888</v>
      </c>
      <c r="B876" s="4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6" t="str">
        <f t="shared" si="27"/>
        <v>Oct</v>
      </c>
      <c r="O876" s="1">
        <v>977.8</v>
      </c>
      <c r="T876" s="4"/>
      <c r="U876" s="1" t="str">
        <f t="shared" si="28"/>
        <v>Normal</v>
      </c>
    </row>
    <row r="877" spans="1:21" x14ac:dyDescent="0.25">
      <c r="A877" s="1" t="s">
        <v>889</v>
      </c>
      <c r="B877" s="4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6" t="str">
        <f t="shared" si="27"/>
        <v>Aug</v>
      </c>
      <c r="O877" s="1">
        <v>666.94999999999993</v>
      </c>
      <c r="T877" s="4"/>
      <c r="U877" s="1" t="str">
        <f t="shared" si="28"/>
        <v>Normal</v>
      </c>
    </row>
    <row r="878" spans="1:21" x14ac:dyDescent="0.25">
      <c r="A878" s="1" t="s">
        <v>890</v>
      </c>
      <c r="B878" s="4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6" t="str">
        <f t="shared" si="27"/>
        <v>Jun</v>
      </c>
      <c r="O878" s="1">
        <v>3044.55</v>
      </c>
      <c r="T878" s="4"/>
      <c r="U878" s="1" t="str">
        <f t="shared" si="28"/>
        <v>Normal</v>
      </c>
    </row>
    <row r="879" spans="1:21" x14ac:dyDescent="0.25">
      <c r="A879" s="1" t="s">
        <v>891</v>
      </c>
      <c r="B879" s="4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6" t="str">
        <f t="shared" si="27"/>
        <v>Jul</v>
      </c>
      <c r="O879" s="1">
        <v>524.05999999999995</v>
      </c>
      <c r="T879" s="4"/>
      <c r="U879" s="1" t="str">
        <f t="shared" si="28"/>
        <v>Normal</v>
      </c>
    </row>
    <row r="880" spans="1:21" x14ac:dyDescent="0.25">
      <c r="A880" s="1" t="s">
        <v>892</v>
      </c>
      <c r="B880" s="4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6" t="str">
        <f t="shared" si="27"/>
        <v>Jun</v>
      </c>
      <c r="O880" s="1">
        <v>661.38</v>
      </c>
      <c r="T880" s="4"/>
      <c r="U880" s="1" t="str">
        <f t="shared" si="28"/>
        <v>Normal</v>
      </c>
    </row>
    <row r="881" spans="1:21" x14ac:dyDescent="0.25">
      <c r="A881" s="1" t="s">
        <v>893</v>
      </c>
      <c r="B881" s="4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6" t="str">
        <f t="shared" si="27"/>
        <v>Apr</v>
      </c>
      <c r="O881" s="1">
        <v>1095.3399999999999</v>
      </c>
      <c r="T881" s="4"/>
      <c r="U881" s="1" t="str">
        <f t="shared" si="28"/>
        <v>Normal</v>
      </c>
    </row>
    <row r="882" spans="1:21" x14ac:dyDescent="0.25">
      <c r="A882" s="1" t="s">
        <v>894</v>
      </c>
      <c r="B882" s="4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6" t="str">
        <f t="shared" si="27"/>
        <v>Mar</v>
      </c>
      <c r="O882" s="1">
        <v>934.8</v>
      </c>
      <c r="T882" s="4"/>
      <c r="U882" s="1" t="str">
        <f t="shared" si="28"/>
        <v>Normal</v>
      </c>
    </row>
    <row r="883" spans="1:21" x14ac:dyDescent="0.25">
      <c r="A883" s="1" t="s">
        <v>895</v>
      </c>
      <c r="B883" s="4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6" t="str">
        <f t="shared" si="27"/>
        <v>Jan</v>
      </c>
      <c r="O883" s="1">
        <v>897.7</v>
      </c>
      <c r="T883" s="4"/>
      <c r="U883" s="1" t="str">
        <f t="shared" si="28"/>
        <v>Normal</v>
      </c>
    </row>
    <row r="884" spans="1:21" x14ac:dyDescent="0.25">
      <c r="A884" s="1" t="s">
        <v>896</v>
      </c>
      <c r="B884" s="4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6" t="str">
        <f t="shared" si="27"/>
        <v>Jun</v>
      </c>
      <c r="O884" s="1">
        <v>548.24</v>
      </c>
      <c r="T884" s="4"/>
      <c r="U884" s="1" t="str">
        <f t="shared" si="28"/>
        <v>Normal</v>
      </c>
    </row>
    <row r="885" spans="1:21" x14ac:dyDescent="0.25">
      <c r="A885" s="1" t="s">
        <v>897</v>
      </c>
      <c r="B885" s="4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6" t="str">
        <f t="shared" si="27"/>
        <v>May</v>
      </c>
      <c r="O885" s="1">
        <v>2807.4</v>
      </c>
      <c r="T885" s="4"/>
      <c r="U885" s="1" t="str">
        <f t="shared" si="28"/>
        <v>Normal</v>
      </c>
    </row>
    <row r="886" spans="1:21" x14ac:dyDescent="0.25">
      <c r="A886" s="1" t="s">
        <v>898</v>
      </c>
      <c r="B886" s="4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6" t="str">
        <f t="shared" si="27"/>
        <v>May</v>
      </c>
      <c r="O886" s="1">
        <v>595.54</v>
      </c>
      <c r="T886" s="4"/>
      <c r="U886" s="1" t="str">
        <f t="shared" si="28"/>
        <v>Normal</v>
      </c>
    </row>
    <row r="887" spans="1:21" x14ac:dyDescent="0.25">
      <c r="A887" s="1" t="s">
        <v>899</v>
      </c>
      <c r="B887" s="4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6" t="str">
        <f t="shared" si="27"/>
        <v>Apr</v>
      </c>
      <c r="O887" s="1">
        <v>2062.36</v>
      </c>
      <c r="T887" s="4"/>
      <c r="U887" s="1" t="str">
        <f t="shared" si="28"/>
        <v>Normal</v>
      </c>
    </row>
    <row r="888" spans="1:21" x14ac:dyDescent="0.25">
      <c r="A888" s="1" t="s">
        <v>900</v>
      </c>
      <c r="B888" s="4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6" t="str">
        <f t="shared" si="27"/>
        <v>Oct</v>
      </c>
      <c r="O888" s="1">
        <v>460.13</v>
      </c>
      <c r="T888" s="4"/>
      <c r="U888" s="1" t="str">
        <f t="shared" si="28"/>
        <v>Normal</v>
      </c>
    </row>
    <row r="889" spans="1:21" x14ac:dyDescent="0.25">
      <c r="A889" s="1" t="s">
        <v>901</v>
      </c>
      <c r="B889" s="4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6" t="str">
        <f t="shared" si="27"/>
        <v>Dec</v>
      </c>
      <c r="O889" s="1">
        <v>514.98</v>
      </c>
      <c r="T889" s="4"/>
      <c r="U889" s="1" t="str">
        <f t="shared" si="28"/>
        <v>Normal</v>
      </c>
    </row>
    <row r="890" spans="1:21" x14ac:dyDescent="0.25">
      <c r="A890" s="1" t="s">
        <v>902</v>
      </c>
      <c r="B890" s="4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6" t="str">
        <f t="shared" si="27"/>
        <v>Jul</v>
      </c>
      <c r="O890" s="1">
        <v>533.9</v>
      </c>
      <c r="T890" s="4"/>
      <c r="U890" s="1" t="str">
        <f t="shared" si="28"/>
        <v>Normal</v>
      </c>
    </row>
    <row r="891" spans="1:21" x14ac:dyDescent="0.25">
      <c r="A891" s="1" t="s">
        <v>903</v>
      </c>
      <c r="B891" s="4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6" t="str">
        <f t="shared" si="27"/>
        <v>Oct</v>
      </c>
      <c r="O891" s="1">
        <v>3253.6</v>
      </c>
      <c r="T891" s="4"/>
      <c r="U891" s="1" t="str">
        <f t="shared" si="28"/>
        <v>Normal</v>
      </c>
    </row>
    <row r="892" spans="1:21" x14ac:dyDescent="0.25">
      <c r="A892" s="1" t="s">
        <v>904</v>
      </c>
      <c r="B892" s="4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6" t="str">
        <f t="shared" si="27"/>
        <v>Aug</v>
      </c>
      <c r="O892" s="1">
        <v>1318.59</v>
      </c>
      <c r="T892" s="4"/>
      <c r="U892" s="1" t="str">
        <f t="shared" si="28"/>
        <v>Normal</v>
      </c>
    </row>
    <row r="893" spans="1:21" x14ac:dyDescent="0.25">
      <c r="A893" s="1" t="s">
        <v>905</v>
      </c>
      <c r="B893" s="4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6" t="str">
        <f t="shared" si="27"/>
        <v>Nov</v>
      </c>
      <c r="O893" s="1">
        <v>1963.62</v>
      </c>
      <c r="T893" s="4"/>
      <c r="U893" s="1" t="str">
        <f t="shared" si="28"/>
        <v>Normal</v>
      </c>
    </row>
    <row r="894" spans="1:21" x14ac:dyDescent="0.25">
      <c r="A894" s="1" t="s">
        <v>906</v>
      </c>
      <c r="B894" s="4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6" t="str">
        <f t="shared" si="27"/>
        <v>Jun</v>
      </c>
      <c r="O894" s="1">
        <v>394.53</v>
      </c>
      <c r="T894" s="4"/>
      <c r="U894" s="1" t="str">
        <f t="shared" si="28"/>
        <v>Normal</v>
      </c>
    </row>
    <row r="895" spans="1:21" x14ac:dyDescent="0.25">
      <c r="A895" s="1" t="s">
        <v>907</v>
      </c>
      <c r="B895" s="4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6" t="str">
        <f t="shared" si="27"/>
        <v>Mar</v>
      </c>
      <c r="O895" s="1">
        <v>678.01</v>
      </c>
      <c r="T895" s="4"/>
      <c r="U895" s="1" t="str">
        <f t="shared" si="28"/>
        <v>Normal</v>
      </c>
    </row>
    <row r="896" spans="1:21" x14ac:dyDescent="0.25">
      <c r="A896" s="1" t="s">
        <v>908</v>
      </c>
      <c r="B896" s="4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6" t="str">
        <f t="shared" si="27"/>
        <v>May</v>
      </c>
      <c r="O896" s="1">
        <v>1725.03</v>
      </c>
      <c r="T896" s="4"/>
      <c r="U896" s="1" t="str">
        <f t="shared" si="28"/>
        <v>Normal</v>
      </c>
    </row>
    <row r="897" spans="1:21" x14ac:dyDescent="0.25">
      <c r="A897" s="1" t="s">
        <v>909</v>
      </c>
      <c r="B897" s="4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6" t="str">
        <f t="shared" si="27"/>
        <v>Nov</v>
      </c>
      <c r="O897" s="1">
        <v>463.92</v>
      </c>
      <c r="T897" s="4"/>
      <c r="U897" s="1" t="str">
        <f t="shared" si="28"/>
        <v>Normal</v>
      </c>
    </row>
    <row r="898" spans="1:21" x14ac:dyDescent="0.25">
      <c r="A898" s="1" t="s">
        <v>910</v>
      </c>
      <c r="B898" s="4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6" t="str">
        <f t="shared" ref="N898:N961" si="29">TEXT(B898,"MMM")</f>
        <v>Oct</v>
      </c>
      <c r="O898" s="1">
        <v>441.87</v>
      </c>
      <c r="T898" s="4"/>
      <c r="U898" s="1" t="str">
        <f t="shared" si="28"/>
        <v>Normal</v>
      </c>
    </row>
    <row r="899" spans="1:21" x14ac:dyDescent="0.25">
      <c r="A899" s="1" t="s">
        <v>911</v>
      </c>
      <c r="B899" s="4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6" t="str">
        <f t="shared" si="29"/>
        <v>Sep</v>
      </c>
      <c r="O899" s="1">
        <v>1925.92</v>
      </c>
      <c r="T899" s="4"/>
      <c r="U899" s="1" t="str">
        <f t="shared" ref="U899:U962" si="30">IF(O899&gt;$S$2,"Outlier","Normal")</f>
        <v>Normal</v>
      </c>
    </row>
    <row r="900" spans="1:21" x14ac:dyDescent="0.25">
      <c r="A900" s="1" t="s">
        <v>912</v>
      </c>
      <c r="B900" s="4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6" t="str">
        <f t="shared" si="29"/>
        <v>Mar</v>
      </c>
      <c r="O900" s="1">
        <v>475.11</v>
      </c>
      <c r="T900" s="4"/>
      <c r="U900" s="1" t="str">
        <f t="shared" si="30"/>
        <v>Normal</v>
      </c>
    </row>
    <row r="901" spans="1:21" x14ac:dyDescent="0.25">
      <c r="A901" s="1" t="s">
        <v>913</v>
      </c>
      <c r="B901" s="4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6" t="str">
        <f t="shared" si="29"/>
        <v>Apr</v>
      </c>
      <c r="O901" s="1">
        <v>646.74</v>
      </c>
      <c r="T901" s="4"/>
      <c r="U901" s="1" t="str">
        <f t="shared" si="30"/>
        <v>Normal</v>
      </c>
    </row>
    <row r="902" spans="1:21" x14ac:dyDescent="0.25">
      <c r="A902" s="1" t="s">
        <v>914</v>
      </c>
      <c r="B902" s="4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6" t="str">
        <f t="shared" si="29"/>
        <v>Feb</v>
      </c>
      <c r="O902" s="1">
        <v>369.15</v>
      </c>
      <c r="T902" s="4"/>
      <c r="U902" s="1" t="str">
        <f t="shared" si="30"/>
        <v>Normal</v>
      </c>
    </row>
    <row r="903" spans="1:21" x14ac:dyDescent="0.25">
      <c r="A903" s="1" t="s">
        <v>915</v>
      </c>
      <c r="B903" s="4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6" t="str">
        <f t="shared" si="29"/>
        <v>Apr</v>
      </c>
      <c r="O903" s="1">
        <v>458.63</v>
      </c>
      <c r="T903" s="4"/>
      <c r="U903" s="1" t="str">
        <f t="shared" si="30"/>
        <v>Normal</v>
      </c>
    </row>
    <row r="904" spans="1:21" x14ac:dyDescent="0.25">
      <c r="A904" s="1" t="s">
        <v>916</v>
      </c>
      <c r="B904" s="4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6" t="str">
        <f t="shared" si="29"/>
        <v>Jul</v>
      </c>
      <c r="O904" s="1">
        <v>721</v>
      </c>
      <c r="T904" s="4"/>
      <c r="U904" s="1" t="str">
        <f t="shared" si="30"/>
        <v>Normal</v>
      </c>
    </row>
    <row r="905" spans="1:21" x14ac:dyDescent="0.25">
      <c r="A905" s="1" t="s">
        <v>917</v>
      </c>
      <c r="B905" s="4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6" t="str">
        <f t="shared" si="29"/>
        <v>May</v>
      </c>
      <c r="O905" s="1">
        <v>1420.47</v>
      </c>
      <c r="T905" s="4"/>
      <c r="U905" s="1" t="str">
        <f t="shared" si="30"/>
        <v>Normal</v>
      </c>
    </row>
    <row r="906" spans="1:21" x14ac:dyDescent="0.25">
      <c r="A906" s="1" t="s">
        <v>918</v>
      </c>
      <c r="B906" s="4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6" t="str">
        <f t="shared" si="29"/>
        <v>Feb</v>
      </c>
      <c r="O906" s="1">
        <v>949.72</v>
      </c>
      <c r="T906" s="4"/>
      <c r="U906" s="1" t="str">
        <f t="shared" si="30"/>
        <v>Normal</v>
      </c>
    </row>
    <row r="907" spans="1:21" x14ac:dyDescent="0.25">
      <c r="A907" s="1" t="s">
        <v>919</v>
      </c>
      <c r="B907" s="4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6" t="str">
        <f t="shared" si="29"/>
        <v>Nov</v>
      </c>
      <c r="O907" s="1">
        <v>442.39</v>
      </c>
      <c r="T907" s="4"/>
      <c r="U907" s="1" t="str">
        <f t="shared" si="30"/>
        <v>Normal</v>
      </c>
    </row>
    <row r="908" spans="1:21" x14ac:dyDescent="0.25">
      <c r="A908" s="1" t="s">
        <v>920</v>
      </c>
      <c r="B908" s="4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6" t="str">
        <f t="shared" si="29"/>
        <v>Sep</v>
      </c>
      <c r="O908" s="1">
        <v>62.12</v>
      </c>
      <c r="T908" s="4"/>
      <c r="U908" s="1" t="str">
        <f t="shared" si="30"/>
        <v>Normal</v>
      </c>
    </row>
    <row r="909" spans="1:21" x14ac:dyDescent="0.25">
      <c r="A909" s="1" t="s">
        <v>921</v>
      </c>
      <c r="B909" s="4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6" t="str">
        <f t="shared" si="29"/>
        <v>Aug</v>
      </c>
      <c r="O909" s="1">
        <v>1491.95</v>
      </c>
      <c r="T909" s="4"/>
      <c r="U909" s="1" t="str">
        <f t="shared" si="30"/>
        <v>Normal</v>
      </c>
    </row>
    <row r="910" spans="1:21" x14ac:dyDescent="0.25">
      <c r="A910" s="1" t="s">
        <v>922</v>
      </c>
      <c r="B910" s="4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6" t="str">
        <f t="shared" si="29"/>
        <v>May</v>
      </c>
      <c r="O910" s="1">
        <v>1395.86</v>
      </c>
      <c r="T910" s="4"/>
      <c r="U910" s="1" t="str">
        <f t="shared" si="30"/>
        <v>Normal</v>
      </c>
    </row>
    <row r="911" spans="1:21" x14ac:dyDescent="0.25">
      <c r="A911" s="1" t="s">
        <v>923</v>
      </c>
      <c r="B911" s="4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6" t="str">
        <f t="shared" si="29"/>
        <v>May</v>
      </c>
      <c r="O911" s="1">
        <v>583.70000000000005</v>
      </c>
      <c r="T911" s="4"/>
      <c r="U911" s="1" t="str">
        <f t="shared" si="30"/>
        <v>Normal</v>
      </c>
    </row>
    <row r="912" spans="1:21" x14ac:dyDescent="0.25">
      <c r="A912" s="1" t="s">
        <v>924</v>
      </c>
      <c r="B912" s="4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6" t="str">
        <f t="shared" si="29"/>
        <v>May</v>
      </c>
      <c r="O912" s="1">
        <v>926.94</v>
      </c>
      <c r="T912" s="4"/>
      <c r="U912" s="1" t="str">
        <f t="shared" si="30"/>
        <v>Normal</v>
      </c>
    </row>
    <row r="913" spans="1:21" x14ac:dyDescent="0.25">
      <c r="A913" s="1" t="s">
        <v>925</v>
      </c>
      <c r="B913" s="4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6" t="str">
        <f t="shared" si="29"/>
        <v>Aug</v>
      </c>
      <c r="O913" s="1">
        <v>1984.3</v>
      </c>
      <c r="T913" s="4"/>
      <c r="U913" s="1" t="str">
        <f t="shared" si="30"/>
        <v>Normal</v>
      </c>
    </row>
    <row r="914" spans="1:21" x14ac:dyDescent="0.25">
      <c r="A914" s="1" t="s">
        <v>926</v>
      </c>
      <c r="B914" s="4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6" t="str">
        <f t="shared" si="29"/>
        <v>Jan</v>
      </c>
      <c r="O914" s="1">
        <v>279.38</v>
      </c>
      <c r="T914" s="4"/>
      <c r="U914" s="1" t="str">
        <f t="shared" si="30"/>
        <v>Normal</v>
      </c>
    </row>
    <row r="915" spans="1:21" x14ac:dyDescent="0.25">
      <c r="A915" s="1" t="s">
        <v>927</v>
      </c>
      <c r="B915" s="4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6" t="str">
        <f t="shared" si="29"/>
        <v>Feb</v>
      </c>
      <c r="O915" s="1">
        <v>2379.75</v>
      </c>
      <c r="T915" s="4"/>
      <c r="U915" s="1" t="str">
        <f t="shared" si="30"/>
        <v>Normal</v>
      </c>
    </row>
    <row r="916" spans="1:21" x14ac:dyDescent="0.25">
      <c r="A916" s="1" t="s">
        <v>928</v>
      </c>
      <c r="B916" s="4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6" t="str">
        <f t="shared" si="29"/>
        <v>Feb</v>
      </c>
      <c r="O916" s="1">
        <v>626.6</v>
      </c>
      <c r="T916" s="4"/>
      <c r="U916" s="1" t="str">
        <f t="shared" si="30"/>
        <v>Normal</v>
      </c>
    </row>
    <row r="917" spans="1:21" x14ac:dyDescent="0.25">
      <c r="A917" s="1" t="s">
        <v>929</v>
      </c>
      <c r="B917" s="4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6" t="str">
        <f t="shared" si="29"/>
        <v>Feb</v>
      </c>
      <c r="O917" s="1">
        <v>2011.96</v>
      </c>
      <c r="T917" s="4"/>
      <c r="U917" s="1" t="str">
        <f t="shared" si="30"/>
        <v>Normal</v>
      </c>
    </row>
    <row r="918" spans="1:21" x14ac:dyDescent="0.25">
      <c r="A918" s="1" t="s">
        <v>930</v>
      </c>
      <c r="B918" s="4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6" t="str">
        <f t="shared" si="29"/>
        <v>Jun</v>
      </c>
      <c r="O918" s="1">
        <v>2894.15</v>
      </c>
      <c r="T918" s="4"/>
      <c r="U918" s="1" t="str">
        <f t="shared" si="30"/>
        <v>Normal</v>
      </c>
    </row>
    <row r="919" spans="1:21" x14ac:dyDescent="0.25">
      <c r="A919" s="1" t="s">
        <v>931</v>
      </c>
      <c r="B919" s="4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6" t="str">
        <f t="shared" si="29"/>
        <v>Jan</v>
      </c>
      <c r="O919" s="1">
        <v>1919.1</v>
      </c>
      <c r="T919" s="4"/>
      <c r="U919" s="1" t="str">
        <f t="shared" si="30"/>
        <v>Normal</v>
      </c>
    </row>
    <row r="920" spans="1:21" x14ac:dyDescent="0.25">
      <c r="A920" s="1" t="s">
        <v>932</v>
      </c>
      <c r="B920" s="4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6" t="str">
        <f t="shared" si="29"/>
        <v>Jun</v>
      </c>
      <c r="O920" s="1">
        <v>1841.25</v>
      </c>
      <c r="T920" s="4"/>
      <c r="U920" s="1" t="str">
        <f t="shared" si="30"/>
        <v>Normal</v>
      </c>
    </row>
    <row r="921" spans="1:21" x14ac:dyDescent="0.25">
      <c r="A921" s="1" t="s">
        <v>933</v>
      </c>
      <c r="B921" s="4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6" t="str">
        <f t="shared" si="29"/>
        <v>Feb</v>
      </c>
      <c r="O921" s="1">
        <v>749.2</v>
      </c>
      <c r="T921" s="4"/>
      <c r="U921" s="1" t="str">
        <f t="shared" si="30"/>
        <v>Normal</v>
      </c>
    </row>
    <row r="922" spans="1:21" x14ac:dyDescent="0.25">
      <c r="A922" s="1" t="s">
        <v>934</v>
      </c>
      <c r="B922" s="4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6" t="str">
        <f t="shared" si="29"/>
        <v>Mar</v>
      </c>
      <c r="O922" s="1">
        <v>856.18</v>
      </c>
      <c r="T922" s="4"/>
      <c r="U922" s="1" t="str">
        <f t="shared" si="30"/>
        <v>Normal</v>
      </c>
    </row>
    <row r="923" spans="1:21" x14ac:dyDescent="0.25">
      <c r="A923" s="1" t="s">
        <v>935</v>
      </c>
      <c r="B923" s="4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6" t="str">
        <f t="shared" si="29"/>
        <v>Jul</v>
      </c>
      <c r="O923" s="1">
        <v>438.93</v>
      </c>
      <c r="T923" s="4"/>
      <c r="U923" s="1" t="str">
        <f t="shared" si="30"/>
        <v>Normal</v>
      </c>
    </row>
    <row r="924" spans="1:21" x14ac:dyDescent="0.25">
      <c r="A924" s="1" t="s">
        <v>936</v>
      </c>
      <c r="B924" s="4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6" t="str">
        <f t="shared" si="29"/>
        <v>Jun</v>
      </c>
      <c r="O924" s="1">
        <v>1127.6400000000001</v>
      </c>
      <c r="T924" s="4"/>
      <c r="U924" s="1" t="str">
        <f t="shared" si="30"/>
        <v>Normal</v>
      </c>
    </row>
    <row r="925" spans="1:21" x14ac:dyDescent="0.25">
      <c r="A925" s="1" t="s">
        <v>937</v>
      </c>
      <c r="B925" s="4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6" t="str">
        <f t="shared" si="29"/>
        <v>Feb</v>
      </c>
      <c r="O925" s="1">
        <v>1949.79</v>
      </c>
      <c r="T925" s="4"/>
      <c r="U925" s="1" t="str">
        <f t="shared" si="30"/>
        <v>Normal</v>
      </c>
    </row>
    <row r="926" spans="1:21" x14ac:dyDescent="0.25">
      <c r="A926" s="1" t="s">
        <v>938</v>
      </c>
      <c r="B926" s="4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6" t="str">
        <f t="shared" si="29"/>
        <v>Mar</v>
      </c>
      <c r="O926" s="1">
        <v>1342.15</v>
      </c>
      <c r="T926" s="4"/>
      <c r="U926" s="1" t="str">
        <f t="shared" si="30"/>
        <v>Normal</v>
      </c>
    </row>
    <row r="927" spans="1:21" x14ac:dyDescent="0.25">
      <c r="A927" s="1" t="s">
        <v>939</v>
      </c>
      <c r="B927" s="4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6" t="str">
        <f t="shared" si="29"/>
        <v>Dec</v>
      </c>
      <c r="O927" s="1">
        <v>2512.35</v>
      </c>
      <c r="T927" s="4"/>
      <c r="U927" s="1" t="str">
        <f t="shared" si="30"/>
        <v>Normal</v>
      </c>
    </row>
    <row r="928" spans="1:21" x14ac:dyDescent="0.25">
      <c r="A928" s="1" t="s">
        <v>940</v>
      </c>
      <c r="B928" s="4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6" t="str">
        <f t="shared" si="29"/>
        <v>Mar</v>
      </c>
      <c r="O928" s="1">
        <v>26.95</v>
      </c>
      <c r="T928" s="4"/>
      <c r="U928" s="1" t="str">
        <f t="shared" si="30"/>
        <v>Normal</v>
      </c>
    </row>
    <row r="929" spans="1:21" x14ac:dyDescent="0.25">
      <c r="A929" s="1" t="s">
        <v>941</v>
      </c>
      <c r="B929" s="4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6" t="str">
        <f t="shared" si="29"/>
        <v>Feb</v>
      </c>
      <c r="O929" s="1">
        <v>258.76</v>
      </c>
      <c r="T929" s="4"/>
      <c r="U929" s="1" t="str">
        <f t="shared" si="30"/>
        <v>Normal</v>
      </c>
    </row>
    <row r="930" spans="1:21" x14ac:dyDescent="0.25">
      <c r="A930" s="1" t="s">
        <v>942</v>
      </c>
      <c r="B930" s="4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6" t="str">
        <f t="shared" si="29"/>
        <v>May</v>
      </c>
      <c r="O930" s="1">
        <v>741.33</v>
      </c>
      <c r="T930" s="4"/>
      <c r="U930" s="1" t="str">
        <f t="shared" si="30"/>
        <v>Normal</v>
      </c>
    </row>
    <row r="931" spans="1:21" x14ac:dyDescent="0.25">
      <c r="A931" s="1" t="s">
        <v>943</v>
      </c>
      <c r="B931" s="4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6" t="str">
        <f t="shared" si="29"/>
        <v>Oct</v>
      </c>
      <c r="O931" s="1">
        <v>1072.5</v>
      </c>
      <c r="T931" s="4"/>
      <c r="U931" s="1" t="str">
        <f t="shared" si="30"/>
        <v>Normal</v>
      </c>
    </row>
    <row r="932" spans="1:21" x14ac:dyDescent="0.25">
      <c r="A932" s="1" t="s">
        <v>944</v>
      </c>
      <c r="B932" s="4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6" t="str">
        <f t="shared" si="29"/>
        <v>Dec</v>
      </c>
      <c r="O932" s="1">
        <v>912.08</v>
      </c>
      <c r="T932" s="4"/>
      <c r="U932" s="1" t="str">
        <f t="shared" si="30"/>
        <v>Normal</v>
      </c>
    </row>
    <row r="933" spans="1:21" x14ac:dyDescent="0.25">
      <c r="A933" s="1" t="s">
        <v>945</v>
      </c>
      <c r="B933" s="4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6" t="str">
        <f t="shared" si="29"/>
        <v>Jan</v>
      </c>
      <c r="O933" s="1">
        <v>80.459999999999994</v>
      </c>
      <c r="T933" s="4"/>
      <c r="U933" s="1" t="str">
        <f t="shared" si="30"/>
        <v>Normal</v>
      </c>
    </row>
    <row r="934" spans="1:21" x14ac:dyDescent="0.25">
      <c r="A934" s="1" t="s">
        <v>946</v>
      </c>
      <c r="B934" s="4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6" t="str">
        <f t="shared" si="29"/>
        <v>Mar</v>
      </c>
      <c r="O934" s="1">
        <v>144.78</v>
      </c>
      <c r="T934" s="4"/>
      <c r="U934" s="1" t="str">
        <f t="shared" si="30"/>
        <v>Normal</v>
      </c>
    </row>
    <row r="935" spans="1:21" x14ac:dyDescent="0.25">
      <c r="A935" s="1" t="s">
        <v>947</v>
      </c>
      <c r="B935" s="4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6" t="str">
        <f t="shared" si="29"/>
        <v>Jan</v>
      </c>
      <c r="O935" s="1">
        <v>788.32</v>
      </c>
      <c r="T935" s="4"/>
      <c r="U935" s="1" t="str">
        <f t="shared" si="30"/>
        <v>Normal</v>
      </c>
    </row>
    <row r="936" spans="1:21" x14ac:dyDescent="0.25">
      <c r="A936" s="1" t="s">
        <v>948</v>
      </c>
      <c r="B936" s="4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6" t="str">
        <f t="shared" si="29"/>
        <v>Jun</v>
      </c>
      <c r="O936" s="1">
        <v>479.36</v>
      </c>
      <c r="T936" s="4"/>
      <c r="U936" s="1" t="str">
        <f t="shared" si="30"/>
        <v>Normal</v>
      </c>
    </row>
    <row r="937" spans="1:21" x14ac:dyDescent="0.25">
      <c r="A937" s="1" t="s">
        <v>949</v>
      </c>
      <c r="B937" s="4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6" t="str">
        <f t="shared" si="29"/>
        <v>Nov</v>
      </c>
      <c r="O937" s="1">
        <v>2078.13</v>
      </c>
      <c r="T937" s="4"/>
      <c r="U937" s="1" t="str">
        <f t="shared" si="30"/>
        <v>Normal</v>
      </c>
    </row>
    <row r="938" spans="1:21" x14ac:dyDescent="0.25">
      <c r="A938" s="1" t="s">
        <v>950</v>
      </c>
      <c r="B938" s="4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6" t="str">
        <f t="shared" si="29"/>
        <v>Jan</v>
      </c>
      <c r="O938" s="1">
        <v>226.64</v>
      </c>
      <c r="T938" s="4"/>
      <c r="U938" s="1" t="str">
        <f t="shared" si="30"/>
        <v>Normal</v>
      </c>
    </row>
    <row r="939" spans="1:21" x14ac:dyDescent="0.25">
      <c r="A939" s="1" t="s">
        <v>951</v>
      </c>
      <c r="B939" s="4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6" t="str">
        <f t="shared" si="29"/>
        <v>Jan</v>
      </c>
      <c r="O939" s="1">
        <v>597.05999999999995</v>
      </c>
      <c r="T939" s="4"/>
      <c r="U939" s="1" t="str">
        <f t="shared" si="30"/>
        <v>Normal</v>
      </c>
    </row>
    <row r="940" spans="1:21" x14ac:dyDescent="0.25">
      <c r="A940" s="1" t="s">
        <v>952</v>
      </c>
      <c r="B940" s="4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6" t="str">
        <f t="shared" si="29"/>
        <v>Jul</v>
      </c>
      <c r="O940" s="1">
        <v>994.37999999999988</v>
      </c>
      <c r="T940" s="4"/>
      <c r="U940" s="1" t="str">
        <f t="shared" si="30"/>
        <v>Normal</v>
      </c>
    </row>
    <row r="941" spans="1:21" x14ac:dyDescent="0.25">
      <c r="A941" s="1" t="s">
        <v>953</v>
      </c>
      <c r="B941" s="4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6" t="str">
        <f t="shared" si="29"/>
        <v>Apr</v>
      </c>
      <c r="O941" s="1">
        <v>1042.8</v>
      </c>
      <c r="T941" s="4"/>
      <c r="U941" s="1" t="str">
        <f t="shared" si="30"/>
        <v>Normal</v>
      </c>
    </row>
    <row r="942" spans="1:21" x14ac:dyDescent="0.25">
      <c r="A942" s="1" t="s">
        <v>954</v>
      </c>
      <c r="B942" s="4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6" t="str">
        <f t="shared" si="29"/>
        <v>Mar</v>
      </c>
      <c r="O942" s="1">
        <v>1221.28</v>
      </c>
      <c r="T942" s="4"/>
      <c r="U942" s="1" t="str">
        <f t="shared" si="30"/>
        <v>Normal</v>
      </c>
    </row>
    <row r="943" spans="1:21" x14ac:dyDescent="0.25">
      <c r="A943" s="1" t="s">
        <v>955</v>
      </c>
      <c r="B943" s="4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6" t="str">
        <f t="shared" si="29"/>
        <v>Jul</v>
      </c>
      <c r="O943" s="1">
        <v>558.5</v>
      </c>
      <c r="T943" s="4"/>
      <c r="U943" s="1" t="str">
        <f t="shared" si="30"/>
        <v>Normal</v>
      </c>
    </row>
    <row r="944" spans="1:21" x14ac:dyDescent="0.25">
      <c r="A944" s="1" t="s">
        <v>956</v>
      </c>
      <c r="B944" s="4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6" t="str">
        <f t="shared" si="29"/>
        <v>Sep</v>
      </c>
      <c r="O944" s="1">
        <v>479.76</v>
      </c>
      <c r="T944" s="4"/>
      <c r="U944" s="1" t="str">
        <f t="shared" si="30"/>
        <v>Normal</v>
      </c>
    </row>
    <row r="945" spans="1:21" x14ac:dyDescent="0.25">
      <c r="A945" s="1" t="s">
        <v>957</v>
      </c>
      <c r="B945" s="4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6" t="str">
        <f t="shared" si="29"/>
        <v>Dec</v>
      </c>
      <c r="O945" s="1">
        <v>580.47</v>
      </c>
      <c r="T945" s="4"/>
      <c r="U945" s="1" t="str">
        <f t="shared" si="30"/>
        <v>Normal</v>
      </c>
    </row>
    <row r="946" spans="1:21" x14ac:dyDescent="0.25">
      <c r="A946" s="1" t="s">
        <v>958</v>
      </c>
      <c r="B946" s="4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6" t="str">
        <f t="shared" si="29"/>
        <v>Dec</v>
      </c>
      <c r="O946" s="1">
        <v>852.44</v>
      </c>
      <c r="T946" s="4"/>
      <c r="U946" s="1" t="str">
        <f t="shared" si="30"/>
        <v>Normal</v>
      </c>
    </row>
    <row r="947" spans="1:21" x14ac:dyDescent="0.25">
      <c r="A947" s="1" t="s">
        <v>959</v>
      </c>
      <c r="B947" s="4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6" t="str">
        <f t="shared" si="29"/>
        <v>Aug</v>
      </c>
      <c r="O947" s="1">
        <v>1382.2</v>
      </c>
      <c r="T947" s="4"/>
      <c r="U947" s="1" t="str">
        <f t="shared" si="30"/>
        <v>Normal</v>
      </c>
    </row>
    <row r="948" spans="1:21" x14ac:dyDescent="0.25">
      <c r="A948" s="1" t="s">
        <v>960</v>
      </c>
      <c r="B948" s="4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6" t="str">
        <f t="shared" si="29"/>
        <v>May</v>
      </c>
      <c r="O948" s="1">
        <v>809.92</v>
      </c>
      <c r="T948" s="4"/>
      <c r="U948" s="1" t="str">
        <f t="shared" si="30"/>
        <v>Normal</v>
      </c>
    </row>
    <row r="949" spans="1:21" x14ac:dyDescent="0.25">
      <c r="A949" s="1" t="s">
        <v>961</v>
      </c>
      <c r="B949" s="4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6" t="str">
        <f t="shared" si="29"/>
        <v>Sep</v>
      </c>
      <c r="O949" s="1">
        <v>1862.64</v>
      </c>
      <c r="T949" s="4"/>
      <c r="U949" s="1" t="str">
        <f t="shared" si="30"/>
        <v>Normal</v>
      </c>
    </row>
    <row r="950" spans="1:21" x14ac:dyDescent="0.25">
      <c r="A950" s="1" t="s">
        <v>962</v>
      </c>
      <c r="B950" s="4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6" t="str">
        <f t="shared" si="29"/>
        <v>Jun</v>
      </c>
      <c r="O950" s="1">
        <v>1188.1400000000001</v>
      </c>
      <c r="T950" s="4"/>
      <c r="U950" s="1" t="str">
        <f t="shared" si="30"/>
        <v>Normal</v>
      </c>
    </row>
    <row r="951" spans="1:21" x14ac:dyDescent="0.25">
      <c r="A951" s="1" t="s">
        <v>963</v>
      </c>
      <c r="B951" s="4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6" t="str">
        <f t="shared" si="29"/>
        <v>Nov</v>
      </c>
      <c r="O951" s="1">
        <v>551.9</v>
      </c>
      <c r="T951" s="4"/>
      <c r="U951" s="1" t="str">
        <f t="shared" si="30"/>
        <v>Normal</v>
      </c>
    </row>
    <row r="952" spans="1:21" x14ac:dyDescent="0.25">
      <c r="A952" s="1" t="s">
        <v>964</v>
      </c>
      <c r="B952" s="4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6" t="str">
        <f t="shared" si="29"/>
        <v>May</v>
      </c>
      <c r="O952" s="1">
        <v>596.24</v>
      </c>
      <c r="T952" s="4"/>
      <c r="U952" s="1" t="str">
        <f t="shared" si="30"/>
        <v>Normal</v>
      </c>
    </row>
    <row r="953" spans="1:21" x14ac:dyDescent="0.25">
      <c r="A953" s="1" t="s">
        <v>965</v>
      </c>
      <c r="B953" s="4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6" t="str">
        <f t="shared" si="29"/>
        <v>Jul</v>
      </c>
      <c r="O953" s="1">
        <v>612.48</v>
      </c>
      <c r="T953" s="4"/>
      <c r="U953" s="1" t="str">
        <f t="shared" si="30"/>
        <v>Normal</v>
      </c>
    </row>
    <row r="954" spans="1:21" x14ac:dyDescent="0.25">
      <c r="A954" s="1" t="s">
        <v>966</v>
      </c>
      <c r="B954" s="4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6" t="str">
        <f t="shared" si="29"/>
        <v>Feb</v>
      </c>
      <c r="O954" s="1">
        <v>1510.17</v>
      </c>
      <c r="T954" s="4"/>
      <c r="U954" s="1" t="str">
        <f t="shared" si="30"/>
        <v>Normal</v>
      </c>
    </row>
    <row r="955" spans="1:21" x14ac:dyDescent="0.25">
      <c r="A955" s="1" t="s">
        <v>967</v>
      </c>
      <c r="B955" s="4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6" t="str">
        <f t="shared" si="29"/>
        <v>Feb</v>
      </c>
      <c r="O955" s="1">
        <v>131.61000000000001</v>
      </c>
      <c r="T955" s="4"/>
      <c r="U955" s="1" t="str">
        <f t="shared" si="30"/>
        <v>Normal</v>
      </c>
    </row>
    <row r="956" spans="1:21" x14ac:dyDescent="0.25">
      <c r="A956" s="1" t="s">
        <v>968</v>
      </c>
      <c r="B956" s="4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6" t="str">
        <f t="shared" si="29"/>
        <v>Oct</v>
      </c>
      <c r="O956" s="1">
        <v>1330.32</v>
      </c>
      <c r="T956" s="4"/>
      <c r="U956" s="1" t="str">
        <f t="shared" si="30"/>
        <v>Normal</v>
      </c>
    </row>
    <row r="957" spans="1:21" x14ac:dyDescent="0.25">
      <c r="A957" s="1" t="s">
        <v>969</v>
      </c>
      <c r="B957" s="4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6" t="str">
        <f t="shared" si="29"/>
        <v>Jan</v>
      </c>
      <c r="O957" s="1">
        <v>408.13</v>
      </c>
      <c r="T957" s="4"/>
      <c r="U957" s="1" t="str">
        <f t="shared" si="30"/>
        <v>Normal</v>
      </c>
    </row>
    <row r="958" spans="1:21" x14ac:dyDescent="0.25">
      <c r="A958" s="1" t="s">
        <v>970</v>
      </c>
      <c r="B958" s="4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6" t="str">
        <f t="shared" si="29"/>
        <v>Apr</v>
      </c>
      <c r="O958" s="1">
        <v>321.95999999999998</v>
      </c>
      <c r="T958" s="4"/>
      <c r="U958" s="1" t="str">
        <f t="shared" si="30"/>
        <v>Normal</v>
      </c>
    </row>
    <row r="959" spans="1:21" x14ac:dyDescent="0.25">
      <c r="A959" s="1" t="s">
        <v>971</v>
      </c>
      <c r="B959" s="4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6" t="str">
        <f t="shared" si="29"/>
        <v>Jan</v>
      </c>
      <c r="O959" s="1">
        <v>3219.45</v>
      </c>
      <c r="T959" s="4"/>
      <c r="U959" s="1" t="str">
        <f t="shared" si="30"/>
        <v>Normal</v>
      </c>
    </row>
    <row r="960" spans="1:21" x14ac:dyDescent="0.25">
      <c r="A960" s="1" t="s">
        <v>972</v>
      </c>
      <c r="B960" s="4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6" t="str">
        <f t="shared" si="29"/>
        <v>May</v>
      </c>
      <c r="O960" s="1">
        <v>475.98</v>
      </c>
      <c r="T960" s="4"/>
      <c r="U960" s="1" t="str">
        <f t="shared" si="30"/>
        <v>Normal</v>
      </c>
    </row>
    <row r="961" spans="1:21" x14ac:dyDescent="0.25">
      <c r="A961" s="1" t="s">
        <v>973</v>
      </c>
      <c r="B961" s="4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6" t="str">
        <f t="shared" si="29"/>
        <v>Apr</v>
      </c>
      <c r="O961" s="1">
        <v>287.64</v>
      </c>
      <c r="T961" s="4"/>
      <c r="U961" s="1" t="str">
        <f t="shared" si="30"/>
        <v>Normal</v>
      </c>
    </row>
    <row r="962" spans="1:21" x14ac:dyDescent="0.25">
      <c r="A962" s="1" t="s">
        <v>974</v>
      </c>
      <c r="B962" s="4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6" t="str">
        <f t="shared" ref="N962:N1025" si="31">TEXT(B962,"MMM")</f>
        <v>Dec</v>
      </c>
      <c r="O962" s="1">
        <v>1137.21</v>
      </c>
      <c r="T962" s="4"/>
      <c r="U962" s="1" t="str">
        <f t="shared" si="30"/>
        <v>Normal</v>
      </c>
    </row>
    <row r="963" spans="1:21" x14ac:dyDescent="0.25">
      <c r="A963" s="1" t="s">
        <v>975</v>
      </c>
      <c r="B963" s="4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6" t="str">
        <f t="shared" si="31"/>
        <v>Nov</v>
      </c>
      <c r="O963" s="1">
        <v>601.36</v>
      </c>
      <c r="T963" s="4"/>
      <c r="U963" s="1" t="str">
        <f t="shared" ref="U963:U1026" si="32">IF(O963&gt;$S$2,"Outlier","Normal")</f>
        <v>Normal</v>
      </c>
    </row>
    <row r="964" spans="1:21" x14ac:dyDescent="0.25">
      <c r="A964" s="1" t="s">
        <v>976</v>
      </c>
      <c r="B964" s="4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6" t="str">
        <f t="shared" si="31"/>
        <v>Sep</v>
      </c>
      <c r="O964" s="1">
        <v>284.16000000000003</v>
      </c>
      <c r="T964" s="4"/>
      <c r="U964" s="1" t="str">
        <f t="shared" si="32"/>
        <v>Normal</v>
      </c>
    </row>
    <row r="965" spans="1:21" x14ac:dyDescent="0.25">
      <c r="A965" s="1" t="s">
        <v>977</v>
      </c>
      <c r="B965" s="4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6" t="str">
        <f t="shared" si="31"/>
        <v>Mar</v>
      </c>
      <c r="O965" s="1">
        <v>2651.7</v>
      </c>
      <c r="T965" s="4"/>
      <c r="U965" s="1" t="str">
        <f t="shared" si="32"/>
        <v>Normal</v>
      </c>
    </row>
    <row r="966" spans="1:21" x14ac:dyDescent="0.25">
      <c r="A966" s="1" t="s">
        <v>978</v>
      </c>
      <c r="B966" s="4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6" t="str">
        <f t="shared" si="31"/>
        <v>Aug</v>
      </c>
      <c r="O966" s="1">
        <v>1822.1</v>
      </c>
      <c r="T966" s="4"/>
      <c r="U966" s="1" t="str">
        <f t="shared" si="32"/>
        <v>Normal</v>
      </c>
    </row>
    <row r="967" spans="1:21" x14ac:dyDescent="0.25">
      <c r="A967" s="1" t="s">
        <v>979</v>
      </c>
      <c r="B967" s="4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6" t="str">
        <f t="shared" si="31"/>
        <v>Jun</v>
      </c>
      <c r="O967" s="1">
        <v>2313.12</v>
      </c>
      <c r="T967" s="4"/>
      <c r="U967" s="1" t="str">
        <f t="shared" si="32"/>
        <v>Normal</v>
      </c>
    </row>
    <row r="968" spans="1:21" x14ac:dyDescent="0.25">
      <c r="A968" s="1" t="s">
        <v>980</v>
      </c>
      <c r="B968" s="4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6" t="str">
        <f t="shared" si="31"/>
        <v>May</v>
      </c>
      <c r="O968" s="1">
        <v>1402.6</v>
      </c>
      <c r="T968" s="4"/>
      <c r="U968" s="1" t="str">
        <f t="shared" si="32"/>
        <v>Normal</v>
      </c>
    </row>
    <row r="969" spans="1:21" x14ac:dyDescent="0.25">
      <c r="A969" s="1" t="s">
        <v>981</v>
      </c>
      <c r="B969" s="4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6" t="str">
        <f t="shared" si="31"/>
        <v>May</v>
      </c>
      <c r="O969" s="1">
        <v>3194.6</v>
      </c>
      <c r="T969" s="4"/>
      <c r="U969" s="1" t="str">
        <f t="shared" si="32"/>
        <v>Normal</v>
      </c>
    </row>
    <row r="970" spans="1:21" x14ac:dyDescent="0.25">
      <c r="A970" s="1" t="s">
        <v>982</v>
      </c>
      <c r="B970" s="4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6" t="str">
        <f t="shared" si="31"/>
        <v>Feb</v>
      </c>
      <c r="O970" s="1">
        <v>1648.8</v>
      </c>
      <c r="T970" s="4"/>
      <c r="U970" s="1" t="str">
        <f t="shared" si="32"/>
        <v>Normal</v>
      </c>
    </row>
    <row r="971" spans="1:21" x14ac:dyDescent="0.25">
      <c r="A971" s="1" t="s">
        <v>983</v>
      </c>
      <c r="B971" s="4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6" t="str">
        <f t="shared" si="31"/>
        <v>Jun</v>
      </c>
      <c r="O971" s="1">
        <v>440.34</v>
      </c>
      <c r="T971" s="4"/>
      <c r="U971" s="1" t="str">
        <f t="shared" si="32"/>
        <v>Normal</v>
      </c>
    </row>
    <row r="972" spans="1:21" x14ac:dyDescent="0.25">
      <c r="A972" s="1" t="s">
        <v>984</v>
      </c>
      <c r="B972" s="4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6" t="str">
        <f t="shared" si="31"/>
        <v>Sep</v>
      </c>
      <c r="O972" s="1">
        <v>627.15</v>
      </c>
      <c r="T972" s="4"/>
      <c r="U972" s="1" t="str">
        <f t="shared" si="32"/>
        <v>Normal</v>
      </c>
    </row>
    <row r="973" spans="1:21" x14ac:dyDescent="0.25">
      <c r="A973" s="1" t="s">
        <v>985</v>
      </c>
      <c r="B973" s="4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6" t="str">
        <f t="shared" si="31"/>
        <v>May</v>
      </c>
      <c r="O973" s="1">
        <v>1210.52</v>
      </c>
      <c r="T973" s="4"/>
      <c r="U973" s="1" t="str">
        <f t="shared" si="32"/>
        <v>Normal</v>
      </c>
    </row>
    <row r="974" spans="1:21" x14ac:dyDescent="0.25">
      <c r="A974" s="1" t="s">
        <v>986</v>
      </c>
      <c r="B974" s="4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6" t="str">
        <f t="shared" si="31"/>
        <v>Jun</v>
      </c>
      <c r="O974" s="1">
        <v>90.27</v>
      </c>
      <c r="T974" s="4"/>
      <c r="U974" s="1" t="str">
        <f t="shared" si="32"/>
        <v>Normal</v>
      </c>
    </row>
    <row r="975" spans="1:21" x14ac:dyDescent="0.25">
      <c r="A975" s="1" t="s">
        <v>987</v>
      </c>
      <c r="B975" s="4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6" t="str">
        <f t="shared" si="31"/>
        <v>Jun</v>
      </c>
      <c r="O975" s="1">
        <v>1153.8499999999999</v>
      </c>
      <c r="T975" s="4"/>
      <c r="U975" s="1" t="str">
        <f t="shared" si="32"/>
        <v>Normal</v>
      </c>
    </row>
    <row r="976" spans="1:21" x14ac:dyDescent="0.25">
      <c r="A976" s="1" t="s">
        <v>988</v>
      </c>
      <c r="B976" s="4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6" t="str">
        <f t="shared" si="31"/>
        <v>Sep</v>
      </c>
      <c r="O976" s="1">
        <v>1333.9</v>
      </c>
      <c r="T976" s="4"/>
      <c r="U976" s="1" t="str">
        <f t="shared" si="32"/>
        <v>Normal</v>
      </c>
    </row>
    <row r="977" spans="1:21" x14ac:dyDescent="0.25">
      <c r="A977" s="1" t="s">
        <v>989</v>
      </c>
      <c r="B977" s="4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6" t="str">
        <f t="shared" si="31"/>
        <v>May</v>
      </c>
      <c r="O977" s="1">
        <v>105.92</v>
      </c>
      <c r="T977" s="4"/>
      <c r="U977" s="1" t="str">
        <f t="shared" si="32"/>
        <v>Normal</v>
      </c>
    </row>
    <row r="978" spans="1:21" x14ac:dyDescent="0.25">
      <c r="A978" s="1" t="s">
        <v>990</v>
      </c>
      <c r="B978" s="4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6" t="str">
        <f t="shared" si="31"/>
        <v>Apr</v>
      </c>
      <c r="O978" s="1">
        <v>1767.9</v>
      </c>
      <c r="T978" s="4"/>
      <c r="U978" s="1" t="str">
        <f t="shared" si="32"/>
        <v>Normal</v>
      </c>
    </row>
    <row r="979" spans="1:21" x14ac:dyDescent="0.25">
      <c r="A979" s="1" t="s">
        <v>991</v>
      </c>
      <c r="B979" s="4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6" t="str">
        <f t="shared" si="31"/>
        <v>Jan</v>
      </c>
      <c r="O979" s="1">
        <v>2597.88</v>
      </c>
      <c r="T979" s="4"/>
      <c r="U979" s="1" t="str">
        <f t="shared" si="32"/>
        <v>Normal</v>
      </c>
    </row>
    <row r="980" spans="1:21" x14ac:dyDescent="0.25">
      <c r="A980" s="1" t="s">
        <v>992</v>
      </c>
      <c r="B980" s="4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6" t="str">
        <f t="shared" si="31"/>
        <v>Jun</v>
      </c>
      <c r="O980" s="1">
        <v>429.96</v>
      </c>
      <c r="T980" s="4"/>
      <c r="U980" s="1" t="str">
        <f t="shared" si="32"/>
        <v>Normal</v>
      </c>
    </row>
    <row r="981" spans="1:21" x14ac:dyDescent="0.25">
      <c r="A981" s="1" t="s">
        <v>993</v>
      </c>
      <c r="B981" s="4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6" t="str">
        <f t="shared" si="31"/>
        <v>May</v>
      </c>
      <c r="O981" s="1">
        <v>2007.18</v>
      </c>
      <c r="T981" s="4"/>
      <c r="U981" s="1" t="str">
        <f t="shared" si="32"/>
        <v>Normal</v>
      </c>
    </row>
    <row r="982" spans="1:21" x14ac:dyDescent="0.25">
      <c r="A982" s="1" t="s">
        <v>994</v>
      </c>
      <c r="B982" s="4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6" t="str">
        <f t="shared" si="31"/>
        <v>Oct</v>
      </c>
      <c r="O982" s="1">
        <v>208.95</v>
      </c>
      <c r="T982" s="4"/>
      <c r="U982" s="1" t="str">
        <f t="shared" si="32"/>
        <v>Normal</v>
      </c>
    </row>
    <row r="983" spans="1:21" x14ac:dyDescent="0.25">
      <c r="A983" s="1" t="s">
        <v>995</v>
      </c>
      <c r="B983" s="4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6" t="str">
        <f t="shared" si="31"/>
        <v>Nov</v>
      </c>
      <c r="O983" s="1">
        <v>547.32000000000005</v>
      </c>
      <c r="T983" s="4"/>
      <c r="U983" s="1" t="str">
        <f t="shared" si="32"/>
        <v>Normal</v>
      </c>
    </row>
    <row r="984" spans="1:21" x14ac:dyDescent="0.25">
      <c r="A984" s="1" t="s">
        <v>996</v>
      </c>
      <c r="B984" s="4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6" t="str">
        <f t="shared" si="31"/>
        <v>Sep</v>
      </c>
      <c r="O984" s="1">
        <v>304.11</v>
      </c>
      <c r="T984" s="4"/>
      <c r="U984" s="1" t="str">
        <f t="shared" si="32"/>
        <v>Normal</v>
      </c>
    </row>
    <row r="985" spans="1:21" x14ac:dyDescent="0.25">
      <c r="A985" s="1" t="s">
        <v>997</v>
      </c>
      <c r="B985" s="4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6" t="str">
        <f t="shared" si="31"/>
        <v>Nov</v>
      </c>
      <c r="O985" s="1">
        <v>1185.1199999999999</v>
      </c>
      <c r="T985" s="4"/>
      <c r="U985" s="1" t="str">
        <f t="shared" si="32"/>
        <v>Normal</v>
      </c>
    </row>
    <row r="986" spans="1:21" x14ac:dyDescent="0.25">
      <c r="A986" s="1" t="s">
        <v>998</v>
      </c>
      <c r="B986" s="4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6" t="str">
        <f t="shared" si="31"/>
        <v>Feb</v>
      </c>
      <c r="O986" s="1">
        <v>77.64</v>
      </c>
      <c r="T986" s="4"/>
      <c r="U986" s="1" t="str">
        <f t="shared" si="32"/>
        <v>Normal</v>
      </c>
    </row>
    <row r="987" spans="1:21" x14ac:dyDescent="0.25">
      <c r="A987" s="1" t="s">
        <v>999</v>
      </c>
      <c r="B987" s="4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6" t="str">
        <f t="shared" si="31"/>
        <v>Jul</v>
      </c>
      <c r="O987" s="1">
        <v>243.71</v>
      </c>
      <c r="T987" s="4"/>
      <c r="U987" s="1" t="str">
        <f t="shared" si="32"/>
        <v>Normal</v>
      </c>
    </row>
    <row r="988" spans="1:21" x14ac:dyDescent="0.25">
      <c r="A988" s="1" t="s">
        <v>1000</v>
      </c>
      <c r="B988" s="4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6" t="str">
        <f t="shared" si="31"/>
        <v>Sep</v>
      </c>
      <c r="O988" s="1">
        <v>2579.84</v>
      </c>
      <c r="T988" s="4"/>
      <c r="U988" s="1" t="str">
        <f t="shared" si="32"/>
        <v>Normal</v>
      </c>
    </row>
    <row r="989" spans="1:21" x14ac:dyDescent="0.25">
      <c r="A989" s="1" t="s">
        <v>1001</v>
      </c>
      <c r="B989" s="4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6" t="str">
        <f t="shared" si="31"/>
        <v>Jun</v>
      </c>
      <c r="O989" s="1">
        <v>1418.65</v>
      </c>
      <c r="T989" s="4"/>
      <c r="U989" s="1" t="str">
        <f t="shared" si="32"/>
        <v>Normal</v>
      </c>
    </row>
    <row r="990" spans="1:21" x14ac:dyDescent="0.25">
      <c r="A990" s="1" t="s">
        <v>1002</v>
      </c>
      <c r="B990" s="4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6" t="str">
        <f t="shared" si="31"/>
        <v>Feb</v>
      </c>
      <c r="O990" s="1">
        <v>1259.1199999999999</v>
      </c>
      <c r="T990" s="4"/>
      <c r="U990" s="1" t="str">
        <f t="shared" si="32"/>
        <v>Normal</v>
      </c>
    </row>
    <row r="991" spans="1:21" x14ac:dyDescent="0.25">
      <c r="A991" s="1" t="s">
        <v>1003</v>
      </c>
      <c r="B991" s="4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6" t="str">
        <f t="shared" si="31"/>
        <v>Mar</v>
      </c>
      <c r="O991" s="1">
        <v>984.44</v>
      </c>
      <c r="T991" s="4"/>
      <c r="U991" s="1" t="str">
        <f t="shared" si="32"/>
        <v>Normal</v>
      </c>
    </row>
    <row r="992" spans="1:21" x14ac:dyDescent="0.25">
      <c r="A992" s="1" t="s">
        <v>1004</v>
      </c>
      <c r="B992" s="4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6" t="str">
        <f t="shared" si="31"/>
        <v>Nov</v>
      </c>
      <c r="O992" s="1">
        <v>836.52</v>
      </c>
      <c r="T992" s="4"/>
      <c r="U992" s="1" t="str">
        <f t="shared" si="32"/>
        <v>Normal</v>
      </c>
    </row>
    <row r="993" spans="1:21" x14ac:dyDescent="0.25">
      <c r="A993" s="1" t="s">
        <v>1005</v>
      </c>
      <c r="B993" s="4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6" t="str">
        <f t="shared" si="31"/>
        <v>May</v>
      </c>
      <c r="O993" s="1">
        <v>635.90000000000009</v>
      </c>
      <c r="T993" s="4"/>
      <c r="U993" s="1" t="str">
        <f t="shared" si="32"/>
        <v>Normal</v>
      </c>
    </row>
    <row r="994" spans="1:21" x14ac:dyDescent="0.25">
      <c r="A994" s="1" t="s">
        <v>1006</v>
      </c>
      <c r="B994" s="4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6" t="str">
        <f t="shared" si="31"/>
        <v>Aug</v>
      </c>
      <c r="O994" s="1">
        <v>1758.63</v>
      </c>
      <c r="T994" s="4"/>
      <c r="U994" s="1" t="str">
        <f t="shared" si="32"/>
        <v>Normal</v>
      </c>
    </row>
    <row r="995" spans="1:21" x14ac:dyDescent="0.25">
      <c r="A995" s="1" t="s">
        <v>1007</v>
      </c>
      <c r="B995" s="4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6" t="str">
        <f t="shared" si="31"/>
        <v>Apr</v>
      </c>
      <c r="O995" s="1">
        <v>802.34999999999991</v>
      </c>
      <c r="T995" s="4"/>
      <c r="U995" s="1" t="str">
        <f t="shared" si="32"/>
        <v>Normal</v>
      </c>
    </row>
    <row r="996" spans="1:21" x14ac:dyDescent="0.25">
      <c r="A996" s="1" t="s">
        <v>1008</v>
      </c>
      <c r="B996" s="4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6" t="str">
        <f t="shared" si="31"/>
        <v>Jun</v>
      </c>
      <c r="O996" s="1">
        <v>2462.6</v>
      </c>
      <c r="T996" s="4"/>
      <c r="U996" s="1" t="str">
        <f t="shared" si="32"/>
        <v>Normal</v>
      </c>
    </row>
    <row r="997" spans="1:21" x14ac:dyDescent="0.25">
      <c r="A997" s="1" t="s">
        <v>1009</v>
      </c>
      <c r="B997" s="4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6" t="str">
        <f t="shared" si="31"/>
        <v>Nov</v>
      </c>
      <c r="O997" s="1">
        <v>226.58</v>
      </c>
      <c r="T997" s="4"/>
      <c r="U997" s="1" t="str">
        <f t="shared" si="32"/>
        <v>Normal</v>
      </c>
    </row>
    <row r="998" spans="1:21" x14ac:dyDescent="0.25">
      <c r="A998" s="1" t="s">
        <v>1010</v>
      </c>
      <c r="B998" s="4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6" t="str">
        <f t="shared" si="31"/>
        <v>Apr</v>
      </c>
      <c r="O998" s="1">
        <v>1895.44</v>
      </c>
      <c r="T998" s="4"/>
      <c r="U998" s="1" t="str">
        <f t="shared" si="32"/>
        <v>Normal</v>
      </c>
    </row>
    <row r="999" spans="1:21" x14ac:dyDescent="0.25">
      <c r="A999" s="1" t="s">
        <v>1011</v>
      </c>
      <c r="B999" s="4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6" t="str">
        <f t="shared" si="31"/>
        <v>Nov</v>
      </c>
      <c r="O999" s="1">
        <v>1334.25</v>
      </c>
      <c r="T999" s="4"/>
      <c r="U999" s="1" t="str">
        <f t="shared" si="32"/>
        <v>Normal</v>
      </c>
    </row>
    <row r="1000" spans="1:21" x14ac:dyDescent="0.25">
      <c r="A1000" s="1" t="s">
        <v>1012</v>
      </c>
      <c r="B1000" s="4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6" t="str">
        <f t="shared" si="31"/>
        <v>May</v>
      </c>
      <c r="O1000" s="1">
        <v>367.34</v>
      </c>
      <c r="T1000" s="4"/>
      <c r="U1000" s="1" t="str">
        <f t="shared" si="32"/>
        <v>Normal</v>
      </c>
    </row>
    <row r="1001" spans="1:21" x14ac:dyDescent="0.25">
      <c r="A1001" s="1" t="s">
        <v>1013</v>
      </c>
      <c r="B1001" s="4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6" t="str">
        <f t="shared" si="31"/>
        <v>Dec</v>
      </c>
      <c r="O1001" s="1">
        <v>483.38</v>
      </c>
      <c r="T1001" s="4"/>
      <c r="U1001" s="1" t="str">
        <f t="shared" si="32"/>
        <v>Normal</v>
      </c>
    </row>
    <row r="1002" spans="1:21" x14ac:dyDescent="0.25">
      <c r="A1002" s="1" t="s">
        <v>1014</v>
      </c>
      <c r="B1002" s="4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6" t="str">
        <f t="shared" si="31"/>
        <v>Jun</v>
      </c>
      <c r="O1002" s="1">
        <v>1304.6500000000001</v>
      </c>
      <c r="T1002" s="4"/>
      <c r="U1002" s="1" t="str">
        <f t="shared" si="32"/>
        <v>Normal</v>
      </c>
    </row>
    <row r="1003" spans="1:21" x14ac:dyDescent="0.25">
      <c r="A1003" s="1" t="s">
        <v>1015</v>
      </c>
      <c r="B1003" s="4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6" t="str">
        <f t="shared" si="31"/>
        <v>Dec</v>
      </c>
      <c r="O1003" s="1">
        <v>507.36</v>
      </c>
      <c r="T1003" s="4"/>
      <c r="U1003" s="1" t="str">
        <f t="shared" si="32"/>
        <v>Normal</v>
      </c>
    </row>
    <row r="1004" spans="1:21" x14ac:dyDescent="0.25">
      <c r="A1004" s="1" t="s">
        <v>1016</v>
      </c>
      <c r="B1004" s="4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6" t="str">
        <f t="shared" si="31"/>
        <v>Jun</v>
      </c>
      <c r="O1004" s="1">
        <v>2799.52</v>
      </c>
      <c r="T1004" s="4"/>
      <c r="U1004" s="1" t="str">
        <f t="shared" si="32"/>
        <v>Normal</v>
      </c>
    </row>
    <row r="1005" spans="1:21" x14ac:dyDescent="0.25">
      <c r="A1005" s="1" t="s">
        <v>1017</v>
      </c>
      <c r="B1005" s="4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6" t="str">
        <f t="shared" si="31"/>
        <v>Jan</v>
      </c>
      <c r="O1005" s="1">
        <v>1599.85</v>
      </c>
      <c r="T1005" s="4"/>
      <c r="U1005" s="1" t="str">
        <f t="shared" si="32"/>
        <v>Normal</v>
      </c>
    </row>
    <row r="1006" spans="1:21" x14ac:dyDescent="0.25">
      <c r="A1006" s="1" t="s">
        <v>1018</v>
      </c>
      <c r="B1006" s="4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6" t="str">
        <f t="shared" si="31"/>
        <v>Jun</v>
      </c>
      <c r="O1006" s="1">
        <v>987.64</v>
      </c>
      <c r="T1006" s="4"/>
      <c r="U1006" s="1" t="str">
        <f t="shared" si="32"/>
        <v>Normal</v>
      </c>
    </row>
    <row r="1007" spans="1:21" x14ac:dyDescent="0.25">
      <c r="A1007" s="1" t="s">
        <v>1019</v>
      </c>
      <c r="B1007" s="4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6" t="str">
        <f t="shared" si="31"/>
        <v>Mar</v>
      </c>
      <c r="O1007" s="1">
        <v>1178.55</v>
      </c>
      <c r="T1007" s="4"/>
      <c r="U1007" s="1" t="str">
        <f t="shared" si="32"/>
        <v>Normal</v>
      </c>
    </row>
    <row r="1008" spans="1:21" x14ac:dyDescent="0.25">
      <c r="A1008" s="1" t="s">
        <v>1020</v>
      </c>
      <c r="B1008" s="4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6" t="str">
        <f t="shared" si="31"/>
        <v>May</v>
      </c>
      <c r="O1008" s="1">
        <v>2104.9</v>
      </c>
      <c r="T1008" s="4"/>
      <c r="U1008" s="1" t="str">
        <f t="shared" si="32"/>
        <v>Normal</v>
      </c>
    </row>
    <row r="1009" spans="1:21" x14ac:dyDescent="0.25">
      <c r="A1009" s="1" t="s">
        <v>1021</v>
      </c>
      <c r="B1009" s="4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6" t="str">
        <f t="shared" si="31"/>
        <v>Mar</v>
      </c>
      <c r="O1009" s="1">
        <v>146.52000000000001</v>
      </c>
      <c r="T1009" s="4"/>
      <c r="U1009" s="1" t="str">
        <f t="shared" si="32"/>
        <v>Normal</v>
      </c>
    </row>
    <row r="1010" spans="1:21" x14ac:dyDescent="0.25">
      <c r="A1010" s="1" t="s">
        <v>1022</v>
      </c>
      <c r="B1010" s="4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6" t="str">
        <f t="shared" si="31"/>
        <v>Jan</v>
      </c>
      <c r="O1010" s="1">
        <v>1232.6400000000001</v>
      </c>
      <c r="T1010" s="4"/>
      <c r="U1010" s="1" t="str">
        <f t="shared" si="32"/>
        <v>Normal</v>
      </c>
    </row>
    <row r="1011" spans="1:21" x14ac:dyDescent="0.25">
      <c r="A1011" s="1" t="s">
        <v>1023</v>
      </c>
      <c r="B1011" s="4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6" t="str">
        <f t="shared" si="31"/>
        <v>Sep</v>
      </c>
      <c r="O1011" s="1">
        <v>352.92</v>
      </c>
      <c r="T1011" s="4"/>
      <c r="U1011" s="1" t="str">
        <f t="shared" si="32"/>
        <v>Normal</v>
      </c>
    </row>
    <row r="1012" spans="1:21" x14ac:dyDescent="0.25">
      <c r="A1012" s="1" t="s">
        <v>1024</v>
      </c>
      <c r="B1012" s="4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6" t="str">
        <f t="shared" si="31"/>
        <v>Mar</v>
      </c>
      <c r="O1012" s="1">
        <v>1978.71</v>
      </c>
      <c r="T1012" s="4"/>
      <c r="U1012" s="1" t="str">
        <f t="shared" si="32"/>
        <v>Normal</v>
      </c>
    </row>
    <row r="1013" spans="1:21" x14ac:dyDescent="0.25">
      <c r="A1013" s="1" t="s">
        <v>1025</v>
      </c>
      <c r="B1013" s="4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6" t="str">
        <f t="shared" si="31"/>
        <v>Dec</v>
      </c>
      <c r="O1013" s="1">
        <v>956.72</v>
      </c>
      <c r="T1013" s="4"/>
      <c r="U1013" s="1" t="str">
        <f t="shared" si="32"/>
        <v>Normal</v>
      </c>
    </row>
    <row r="1014" spans="1:21" x14ac:dyDescent="0.25">
      <c r="A1014" s="1" t="s">
        <v>1026</v>
      </c>
      <c r="B1014" s="4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6" t="str">
        <f t="shared" si="31"/>
        <v>Dec</v>
      </c>
      <c r="O1014" s="1">
        <v>120.2</v>
      </c>
      <c r="T1014" s="4"/>
      <c r="U1014" s="1" t="str">
        <f t="shared" si="32"/>
        <v>Normal</v>
      </c>
    </row>
    <row r="1015" spans="1:21" x14ac:dyDescent="0.25">
      <c r="A1015" s="1" t="s">
        <v>1027</v>
      </c>
      <c r="B1015" s="4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6" t="str">
        <f t="shared" si="31"/>
        <v>Apr</v>
      </c>
      <c r="O1015" s="1">
        <v>1202.24</v>
      </c>
      <c r="T1015" s="4"/>
      <c r="U1015" s="1" t="str">
        <f t="shared" si="32"/>
        <v>Normal</v>
      </c>
    </row>
    <row r="1016" spans="1:21" x14ac:dyDescent="0.25">
      <c r="A1016" s="1" t="s">
        <v>1028</v>
      </c>
      <c r="B1016" s="4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6" t="str">
        <f t="shared" si="31"/>
        <v>Feb</v>
      </c>
      <c r="O1016" s="1">
        <v>1132.25</v>
      </c>
      <c r="T1016" s="4"/>
      <c r="U1016" s="1" t="str">
        <f t="shared" si="32"/>
        <v>Normal</v>
      </c>
    </row>
    <row r="1017" spans="1:21" x14ac:dyDescent="0.25">
      <c r="A1017" s="1" t="s">
        <v>1029</v>
      </c>
      <c r="B1017" s="4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6" t="str">
        <f t="shared" si="31"/>
        <v>Jan</v>
      </c>
      <c r="O1017" s="1">
        <v>698.8</v>
      </c>
      <c r="T1017" s="4"/>
      <c r="U1017" s="1" t="str">
        <f t="shared" si="32"/>
        <v>Normal</v>
      </c>
    </row>
    <row r="1018" spans="1:21" x14ac:dyDescent="0.25">
      <c r="A1018" s="1" t="s">
        <v>1030</v>
      </c>
      <c r="B1018" s="4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6" t="str">
        <f t="shared" si="31"/>
        <v>Dec</v>
      </c>
      <c r="O1018" s="1">
        <v>1343.9</v>
      </c>
      <c r="T1018" s="4"/>
      <c r="U1018" s="1" t="str">
        <f t="shared" si="32"/>
        <v>Normal</v>
      </c>
    </row>
    <row r="1019" spans="1:21" x14ac:dyDescent="0.25">
      <c r="A1019" s="1" t="s">
        <v>1031</v>
      </c>
      <c r="B1019" s="4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6" t="str">
        <f t="shared" si="31"/>
        <v>Aug</v>
      </c>
      <c r="O1019" s="1">
        <v>1361.7</v>
      </c>
      <c r="T1019" s="4"/>
      <c r="U1019" s="1" t="str">
        <f t="shared" si="32"/>
        <v>Normal</v>
      </c>
    </row>
    <row r="1020" spans="1:21" x14ac:dyDescent="0.25">
      <c r="A1020" s="1" t="s">
        <v>1032</v>
      </c>
      <c r="B1020" s="4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6" t="str">
        <f t="shared" si="31"/>
        <v>Jul</v>
      </c>
      <c r="O1020" s="1">
        <v>547.43999999999994</v>
      </c>
      <c r="T1020" s="4"/>
      <c r="U1020" s="1" t="str">
        <f t="shared" si="32"/>
        <v>Normal</v>
      </c>
    </row>
    <row r="1021" spans="1:21" x14ac:dyDescent="0.25">
      <c r="A1021" s="1" t="s">
        <v>1033</v>
      </c>
      <c r="B1021" s="4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6" t="str">
        <f t="shared" si="31"/>
        <v>Apr</v>
      </c>
      <c r="O1021" s="1">
        <v>277.08999999999997</v>
      </c>
      <c r="T1021" s="4"/>
      <c r="U1021" s="1" t="str">
        <f t="shared" si="32"/>
        <v>Normal</v>
      </c>
    </row>
    <row r="1022" spans="1:21" x14ac:dyDescent="0.25">
      <c r="A1022" s="1" t="s">
        <v>1034</v>
      </c>
      <c r="B1022" s="4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6" t="str">
        <f t="shared" si="31"/>
        <v>Apr</v>
      </c>
      <c r="O1022" s="1">
        <v>53</v>
      </c>
      <c r="T1022" s="4"/>
      <c r="U1022" s="1" t="str">
        <f t="shared" si="32"/>
        <v>Normal</v>
      </c>
    </row>
    <row r="1023" spans="1:21" x14ac:dyDescent="0.25">
      <c r="A1023" s="1" t="s">
        <v>1035</v>
      </c>
      <c r="B1023" s="4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6" t="str">
        <f t="shared" si="31"/>
        <v>Oct</v>
      </c>
      <c r="O1023" s="1">
        <v>945.81</v>
      </c>
      <c r="T1023" s="4"/>
      <c r="U1023" s="1" t="str">
        <f t="shared" si="32"/>
        <v>Normal</v>
      </c>
    </row>
    <row r="1024" spans="1:21" x14ac:dyDescent="0.25">
      <c r="A1024" s="1" t="s">
        <v>1036</v>
      </c>
      <c r="B1024" s="4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6" t="str">
        <f t="shared" si="31"/>
        <v>Feb</v>
      </c>
      <c r="O1024" s="1">
        <v>1352.94</v>
      </c>
      <c r="T1024" s="4"/>
      <c r="U1024" s="1" t="str">
        <f t="shared" si="32"/>
        <v>Normal</v>
      </c>
    </row>
    <row r="1025" spans="1:21" x14ac:dyDescent="0.25">
      <c r="A1025" s="1" t="s">
        <v>1037</v>
      </c>
      <c r="B1025" s="4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6" t="str">
        <f t="shared" si="31"/>
        <v>Sep</v>
      </c>
      <c r="O1025" s="1">
        <v>1168.3499999999999</v>
      </c>
      <c r="T1025" s="4"/>
      <c r="U1025" s="1" t="str">
        <f t="shared" si="32"/>
        <v>Normal</v>
      </c>
    </row>
    <row r="1026" spans="1:21" x14ac:dyDescent="0.25">
      <c r="A1026" s="1" t="s">
        <v>1038</v>
      </c>
      <c r="B1026" s="4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6" t="str">
        <f t="shared" ref="N1026:N1089" si="33">TEXT(B1026,"MMM")</f>
        <v>Jan</v>
      </c>
      <c r="O1026" s="1">
        <v>1103.25</v>
      </c>
      <c r="T1026" s="4"/>
      <c r="U1026" s="1" t="str">
        <f t="shared" si="32"/>
        <v>Normal</v>
      </c>
    </row>
    <row r="1027" spans="1:21" x14ac:dyDescent="0.25">
      <c r="A1027" s="1" t="s">
        <v>1039</v>
      </c>
      <c r="B1027" s="4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6" t="str">
        <f t="shared" si="33"/>
        <v>May</v>
      </c>
      <c r="O1027" s="1">
        <v>23.53</v>
      </c>
      <c r="T1027" s="4"/>
      <c r="U1027" s="1" t="str">
        <f t="shared" ref="U1027:U1090" si="34">IF(O1027&gt;$S$2,"Outlier","Normal")</f>
        <v>Normal</v>
      </c>
    </row>
    <row r="1028" spans="1:21" x14ac:dyDescent="0.25">
      <c r="A1028" s="1" t="s">
        <v>1040</v>
      </c>
      <c r="B1028" s="4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6" t="str">
        <f t="shared" si="33"/>
        <v>May</v>
      </c>
      <c r="O1028" s="1">
        <v>677.48</v>
      </c>
      <c r="T1028" s="4"/>
      <c r="U1028" s="1" t="str">
        <f t="shared" si="34"/>
        <v>Normal</v>
      </c>
    </row>
    <row r="1029" spans="1:21" x14ac:dyDescent="0.25">
      <c r="A1029" s="1" t="s">
        <v>1041</v>
      </c>
      <c r="B1029" s="4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6" t="str">
        <f t="shared" si="33"/>
        <v>May</v>
      </c>
      <c r="O1029" s="1">
        <v>2219.3200000000002</v>
      </c>
      <c r="T1029" s="4"/>
      <c r="U1029" s="1" t="str">
        <f t="shared" si="34"/>
        <v>Normal</v>
      </c>
    </row>
    <row r="1030" spans="1:21" x14ac:dyDescent="0.25">
      <c r="A1030" s="1" t="s">
        <v>1042</v>
      </c>
      <c r="B1030" s="4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6" t="str">
        <f t="shared" si="33"/>
        <v>Feb</v>
      </c>
      <c r="O1030" s="1">
        <v>1761.24</v>
      </c>
      <c r="T1030" s="4"/>
      <c r="U1030" s="1" t="str">
        <f t="shared" si="34"/>
        <v>Normal</v>
      </c>
    </row>
    <row r="1031" spans="1:21" x14ac:dyDescent="0.25">
      <c r="A1031" s="1" t="s">
        <v>1043</v>
      </c>
      <c r="B1031" s="4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6" t="str">
        <f t="shared" si="33"/>
        <v>Mar</v>
      </c>
      <c r="O1031" s="1">
        <v>87.06</v>
      </c>
      <c r="T1031" s="4"/>
      <c r="U1031" s="1" t="str">
        <f t="shared" si="34"/>
        <v>Normal</v>
      </c>
    </row>
    <row r="1032" spans="1:21" x14ac:dyDescent="0.25">
      <c r="A1032" s="1" t="s">
        <v>1044</v>
      </c>
      <c r="B1032" s="4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6" t="str">
        <f t="shared" si="33"/>
        <v>Oct</v>
      </c>
      <c r="O1032" s="1">
        <v>981.12</v>
      </c>
      <c r="T1032" s="4"/>
      <c r="U1032" s="1" t="str">
        <f t="shared" si="34"/>
        <v>Normal</v>
      </c>
    </row>
    <row r="1033" spans="1:21" x14ac:dyDescent="0.25">
      <c r="A1033" s="1" t="s">
        <v>1045</v>
      </c>
      <c r="B1033" s="4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6" t="str">
        <f t="shared" si="33"/>
        <v>Feb</v>
      </c>
      <c r="O1033" s="1">
        <v>3322.55</v>
      </c>
      <c r="T1033" s="4"/>
      <c r="U1033" s="1" t="str">
        <f t="shared" si="34"/>
        <v>Normal</v>
      </c>
    </row>
    <row r="1034" spans="1:21" x14ac:dyDescent="0.25">
      <c r="A1034" s="1" t="s">
        <v>1046</v>
      </c>
      <c r="B1034" s="4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6" t="str">
        <f t="shared" si="33"/>
        <v>Apr</v>
      </c>
      <c r="O1034" s="1">
        <v>618.67999999999995</v>
      </c>
      <c r="T1034" s="4"/>
      <c r="U1034" s="1" t="str">
        <f t="shared" si="34"/>
        <v>Normal</v>
      </c>
    </row>
    <row r="1035" spans="1:21" x14ac:dyDescent="0.25">
      <c r="A1035" s="1" t="s">
        <v>1047</v>
      </c>
      <c r="B1035" s="4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6" t="str">
        <f t="shared" si="33"/>
        <v>Dec</v>
      </c>
      <c r="O1035" s="1">
        <v>370.85</v>
      </c>
      <c r="T1035" s="4"/>
      <c r="U1035" s="1" t="str">
        <f t="shared" si="34"/>
        <v>Normal</v>
      </c>
    </row>
    <row r="1036" spans="1:21" x14ac:dyDescent="0.25">
      <c r="A1036" s="1" t="s">
        <v>1048</v>
      </c>
      <c r="B1036" s="4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6" t="str">
        <f t="shared" si="33"/>
        <v>Jun</v>
      </c>
      <c r="O1036" s="1">
        <v>2071.92</v>
      </c>
      <c r="T1036" s="4"/>
      <c r="U1036" s="1" t="str">
        <f t="shared" si="34"/>
        <v>Normal</v>
      </c>
    </row>
    <row r="1037" spans="1:21" x14ac:dyDescent="0.25">
      <c r="A1037" s="1" t="s">
        <v>1049</v>
      </c>
      <c r="B1037" s="4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6" t="str">
        <f t="shared" si="33"/>
        <v>Nov</v>
      </c>
      <c r="O1037" s="1">
        <v>2024.44</v>
      </c>
      <c r="T1037" s="4"/>
      <c r="U1037" s="1" t="str">
        <f t="shared" si="34"/>
        <v>Normal</v>
      </c>
    </row>
    <row r="1038" spans="1:21" x14ac:dyDescent="0.25">
      <c r="A1038" s="1" t="s">
        <v>1050</v>
      </c>
      <c r="B1038" s="4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6" t="str">
        <f t="shared" si="33"/>
        <v>May</v>
      </c>
      <c r="O1038" s="1">
        <v>1241.49</v>
      </c>
      <c r="T1038" s="4"/>
      <c r="U1038" s="1" t="str">
        <f t="shared" si="34"/>
        <v>Normal</v>
      </c>
    </row>
    <row r="1039" spans="1:21" x14ac:dyDescent="0.25">
      <c r="A1039" s="1" t="s">
        <v>1051</v>
      </c>
      <c r="B1039" s="4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6" t="str">
        <f t="shared" si="33"/>
        <v>Dec</v>
      </c>
      <c r="O1039" s="1">
        <v>249.81</v>
      </c>
      <c r="T1039" s="4"/>
      <c r="U1039" s="1" t="str">
        <f t="shared" si="34"/>
        <v>Normal</v>
      </c>
    </row>
    <row r="1040" spans="1:21" x14ac:dyDescent="0.25">
      <c r="A1040" s="1" t="s">
        <v>1052</v>
      </c>
      <c r="B1040" s="4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6" t="str">
        <f t="shared" si="33"/>
        <v>Mar</v>
      </c>
      <c r="O1040" s="1">
        <v>1087.5899999999999</v>
      </c>
      <c r="T1040" s="4"/>
      <c r="U1040" s="1" t="str">
        <f t="shared" si="34"/>
        <v>Normal</v>
      </c>
    </row>
    <row r="1041" spans="1:21" x14ac:dyDescent="0.25">
      <c r="A1041" s="1" t="s">
        <v>1053</v>
      </c>
      <c r="B1041" s="4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6" t="str">
        <f t="shared" si="33"/>
        <v>Jun</v>
      </c>
      <c r="O1041" s="1">
        <v>598.46</v>
      </c>
      <c r="T1041" s="4"/>
      <c r="U1041" s="1" t="str">
        <f t="shared" si="34"/>
        <v>Normal</v>
      </c>
    </row>
    <row r="1042" spans="1:21" x14ac:dyDescent="0.25">
      <c r="A1042" s="1" t="s">
        <v>1054</v>
      </c>
      <c r="B1042" s="4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6" t="str">
        <f t="shared" si="33"/>
        <v>Nov</v>
      </c>
      <c r="O1042" s="1">
        <v>536.07000000000005</v>
      </c>
      <c r="T1042" s="4"/>
      <c r="U1042" s="1" t="str">
        <f t="shared" si="34"/>
        <v>Normal</v>
      </c>
    </row>
    <row r="1043" spans="1:21" x14ac:dyDescent="0.25">
      <c r="A1043" s="1" t="s">
        <v>1055</v>
      </c>
      <c r="B1043" s="4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6" t="str">
        <f t="shared" si="33"/>
        <v>Feb</v>
      </c>
      <c r="O1043" s="1">
        <v>2235.6</v>
      </c>
      <c r="T1043" s="4"/>
      <c r="U1043" s="1" t="str">
        <f t="shared" si="34"/>
        <v>Normal</v>
      </c>
    </row>
    <row r="1044" spans="1:21" x14ac:dyDescent="0.25">
      <c r="A1044" s="1" t="s">
        <v>1056</v>
      </c>
      <c r="B1044" s="4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6" t="str">
        <f t="shared" si="33"/>
        <v>Dec</v>
      </c>
      <c r="O1044" s="1">
        <v>819.5</v>
      </c>
      <c r="T1044" s="4"/>
      <c r="U1044" s="1" t="str">
        <f t="shared" si="34"/>
        <v>Normal</v>
      </c>
    </row>
    <row r="1045" spans="1:21" x14ac:dyDescent="0.25">
      <c r="A1045" s="1" t="s">
        <v>1057</v>
      </c>
      <c r="B1045" s="4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6" t="str">
        <f t="shared" si="33"/>
        <v>Jan</v>
      </c>
      <c r="O1045" s="1">
        <v>359.92</v>
      </c>
      <c r="T1045" s="4"/>
      <c r="U1045" s="1" t="str">
        <f t="shared" si="34"/>
        <v>Normal</v>
      </c>
    </row>
    <row r="1046" spans="1:21" x14ac:dyDescent="0.25">
      <c r="A1046" s="1" t="s">
        <v>1058</v>
      </c>
      <c r="B1046" s="4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6" t="str">
        <f t="shared" si="33"/>
        <v>Jun</v>
      </c>
      <c r="O1046" s="1">
        <v>38.49</v>
      </c>
      <c r="T1046" s="4"/>
      <c r="U1046" s="1" t="str">
        <f t="shared" si="34"/>
        <v>Normal</v>
      </c>
    </row>
    <row r="1047" spans="1:21" x14ac:dyDescent="0.25">
      <c r="A1047" s="1" t="s">
        <v>1059</v>
      </c>
      <c r="B1047" s="4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6" t="str">
        <f t="shared" si="33"/>
        <v>Sep</v>
      </c>
      <c r="O1047" s="1">
        <v>1582</v>
      </c>
      <c r="T1047" s="4"/>
      <c r="U1047" s="1" t="str">
        <f t="shared" si="34"/>
        <v>Normal</v>
      </c>
    </row>
    <row r="1048" spans="1:21" x14ac:dyDescent="0.25">
      <c r="A1048" s="1" t="s">
        <v>1060</v>
      </c>
      <c r="B1048" s="4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6" t="str">
        <f t="shared" si="33"/>
        <v>Oct</v>
      </c>
      <c r="O1048" s="1">
        <v>1641.45</v>
      </c>
      <c r="T1048" s="4"/>
      <c r="U1048" s="1" t="str">
        <f t="shared" si="34"/>
        <v>Normal</v>
      </c>
    </row>
    <row r="1049" spans="1:21" x14ac:dyDescent="0.25">
      <c r="A1049" s="1" t="s">
        <v>1061</v>
      </c>
      <c r="B1049" s="4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6" t="str">
        <f t="shared" si="33"/>
        <v>Jun</v>
      </c>
      <c r="O1049" s="1">
        <v>2161.36</v>
      </c>
      <c r="T1049" s="4"/>
      <c r="U1049" s="1" t="str">
        <f t="shared" si="34"/>
        <v>Normal</v>
      </c>
    </row>
    <row r="1050" spans="1:21" x14ac:dyDescent="0.25">
      <c r="A1050" s="1" t="s">
        <v>1062</v>
      </c>
      <c r="B1050" s="4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6" t="str">
        <f t="shared" si="33"/>
        <v>Sep</v>
      </c>
      <c r="O1050" s="1">
        <v>294.60000000000002</v>
      </c>
      <c r="T1050" s="4"/>
      <c r="U1050" s="1" t="str">
        <f t="shared" si="34"/>
        <v>Normal</v>
      </c>
    </row>
    <row r="1051" spans="1:21" x14ac:dyDescent="0.25">
      <c r="A1051" s="1" t="s">
        <v>1063</v>
      </c>
      <c r="B1051" s="4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6" t="str">
        <f t="shared" si="33"/>
        <v>Jul</v>
      </c>
      <c r="O1051" s="1">
        <v>1959.3</v>
      </c>
      <c r="T1051" s="4"/>
      <c r="U1051" s="1" t="str">
        <f t="shared" si="34"/>
        <v>Normal</v>
      </c>
    </row>
    <row r="1052" spans="1:21" x14ac:dyDescent="0.25">
      <c r="A1052" s="1" t="s">
        <v>1064</v>
      </c>
      <c r="B1052" s="4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6" t="str">
        <f t="shared" si="33"/>
        <v>Aug</v>
      </c>
      <c r="O1052" s="1">
        <v>348.5</v>
      </c>
      <c r="T1052" s="4"/>
      <c r="U1052" s="1" t="str">
        <f t="shared" si="34"/>
        <v>Normal</v>
      </c>
    </row>
    <row r="1053" spans="1:21" x14ac:dyDescent="0.25">
      <c r="A1053" s="1" t="s">
        <v>1065</v>
      </c>
      <c r="B1053" s="4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6" t="str">
        <f t="shared" si="33"/>
        <v>Mar</v>
      </c>
      <c r="O1053" s="1">
        <v>132.15</v>
      </c>
      <c r="T1053" s="4"/>
      <c r="U1053" s="1" t="str">
        <f t="shared" si="34"/>
        <v>Normal</v>
      </c>
    </row>
    <row r="1054" spans="1:21" x14ac:dyDescent="0.25">
      <c r="A1054" s="1" t="s">
        <v>1066</v>
      </c>
      <c r="B1054" s="4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6" t="str">
        <f t="shared" si="33"/>
        <v>Sep</v>
      </c>
      <c r="O1054" s="1">
        <v>531.74</v>
      </c>
      <c r="T1054" s="4"/>
      <c r="U1054" s="1" t="str">
        <f t="shared" si="34"/>
        <v>Normal</v>
      </c>
    </row>
    <row r="1055" spans="1:21" x14ac:dyDescent="0.25">
      <c r="A1055" s="1" t="s">
        <v>1067</v>
      </c>
      <c r="B1055" s="4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6" t="str">
        <f t="shared" si="33"/>
        <v>Sep</v>
      </c>
      <c r="O1055" s="1">
        <v>993.24</v>
      </c>
      <c r="T1055" s="4"/>
      <c r="U1055" s="1" t="str">
        <f t="shared" si="34"/>
        <v>Normal</v>
      </c>
    </row>
    <row r="1056" spans="1:21" x14ac:dyDescent="0.25">
      <c r="A1056" s="1" t="s">
        <v>1068</v>
      </c>
      <c r="B1056" s="4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6" t="str">
        <f t="shared" si="33"/>
        <v>Nov</v>
      </c>
      <c r="O1056" s="1">
        <v>660.66</v>
      </c>
      <c r="T1056" s="4"/>
      <c r="U1056" s="1" t="str">
        <f t="shared" si="34"/>
        <v>Normal</v>
      </c>
    </row>
    <row r="1057" spans="1:21" x14ac:dyDescent="0.25">
      <c r="A1057" s="1" t="s">
        <v>1069</v>
      </c>
      <c r="B1057" s="4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6" t="str">
        <f t="shared" si="33"/>
        <v>Oct</v>
      </c>
      <c r="O1057" s="1">
        <v>1099.28</v>
      </c>
      <c r="T1057" s="4"/>
      <c r="U1057" s="1" t="str">
        <f t="shared" si="34"/>
        <v>Normal</v>
      </c>
    </row>
    <row r="1058" spans="1:21" x14ac:dyDescent="0.25">
      <c r="A1058" s="1" t="s">
        <v>1070</v>
      </c>
      <c r="B1058" s="4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6" t="str">
        <f t="shared" si="33"/>
        <v>Jun</v>
      </c>
      <c r="O1058" s="1">
        <v>972.7</v>
      </c>
      <c r="T1058" s="4"/>
      <c r="U1058" s="1" t="str">
        <f t="shared" si="34"/>
        <v>Normal</v>
      </c>
    </row>
    <row r="1059" spans="1:21" x14ac:dyDescent="0.25">
      <c r="A1059" s="1" t="s">
        <v>1071</v>
      </c>
      <c r="B1059" s="4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6" t="str">
        <f t="shared" si="33"/>
        <v>Sep</v>
      </c>
      <c r="O1059" s="1">
        <v>1286.6400000000001</v>
      </c>
      <c r="T1059" s="4"/>
      <c r="U1059" s="1" t="str">
        <f t="shared" si="34"/>
        <v>Normal</v>
      </c>
    </row>
    <row r="1060" spans="1:21" x14ac:dyDescent="0.25">
      <c r="A1060" s="1" t="s">
        <v>1072</v>
      </c>
      <c r="B1060" s="4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6" t="str">
        <f t="shared" si="33"/>
        <v>Sep</v>
      </c>
      <c r="O1060" s="1">
        <v>824.28</v>
      </c>
      <c r="T1060" s="4"/>
      <c r="U1060" s="1" t="str">
        <f t="shared" si="34"/>
        <v>Normal</v>
      </c>
    </row>
    <row r="1061" spans="1:21" x14ac:dyDescent="0.25">
      <c r="A1061" s="1" t="s">
        <v>1073</v>
      </c>
      <c r="B1061" s="4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6" t="str">
        <f t="shared" si="33"/>
        <v>Sep</v>
      </c>
      <c r="O1061" s="1">
        <v>265.64</v>
      </c>
      <c r="T1061" s="4"/>
      <c r="U1061" s="1" t="str">
        <f t="shared" si="34"/>
        <v>Normal</v>
      </c>
    </row>
    <row r="1062" spans="1:21" x14ac:dyDescent="0.25">
      <c r="A1062" s="1" t="s">
        <v>1074</v>
      </c>
      <c r="B1062" s="4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6" t="str">
        <f t="shared" si="33"/>
        <v>May</v>
      </c>
      <c r="O1062" s="1">
        <v>546.86</v>
      </c>
      <c r="T1062" s="4"/>
      <c r="U1062" s="1" t="str">
        <f t="shared" si="34"/>
        <v>Normal</v>
      </c>
    </row>
    <row r="1063" spans="1:21" x14ac:dyDescent="0.25">
      <c r="A1063" s="1" t="s">
        <v>1075</v>
      </c>
      <c r="B1063" s="4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6" t="str">
        <f t="shared" si="33"/>
        <v>Jan</v>
      </c>
      <c r="O1063" s="1">
        <v>658.5</v>
      </c>
      <c r="T1063" s="4"/>
      <c r="U1063" s="1" t="str">
        <f t="shared" si="34"/>
        <v>Normal</v>
      </c>
    </row>
    <row r="1064" spans="1:21" x14ac:dyDescent="0.25">
      <c r="A1064" s="1" t="s">
        <v>1076</v>
      </c>
      <c r="B1064" s="4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6" t="str">
        <f t="shared" si="33"/>
        <v>Aug</v>
      </c>
      <c r="O1064" s="1">
        <v>427.6</v>
      </c>
      <c r="T1064" s="4"/>
      <c r="U1064" s="1" t="str">
        <f t="shared" si="34"/>
        <v>Normal</v>
      </c>
    </row>
    <row r="1065" spans="1:21" x14ac:dyDescent="0.25">
      <c r="A1065" s="1" t="s">
        <v>1077</v>
      </c>
      <c r="B1065" s="4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6" t="str">
        <f t="shared" si="33"/>
        <v>Jun</v>
      </c>
      <c r="O1065" s="1">
        <v>641.36</v>
      </c>
      <c r="T1065" s="4"/>
      <c r="U1065" s="1" t="str">
        <f t="shared" si="34"/>
        <v>Normal</v>
      </c>
    </row>
    <row r="1066" spans="1:21" x14ac:dyDescent="0.25">
      <c r="A1066" s="1" t="s">
        <v>1078</v>
      </c>
      <c r="B1066" s="4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6" t="str">
        <f t="shared" si="33"/>
        <v>Feb</v>
      </c>
      <c r="O1066" s="1">
        <v>795.24</v>
      </c>
      <c r="T1066" s="4"/>
      <c r="U1066" s="1" t="str">
        <f t="shared" si="34"/>
        <v>Normal</v>
      </c>
    </row>
    <row r="1067" spans="1:21" x14ac:dyDescent="0.25">
      <c r="A1067" s="1" t="s">
        <v>1079</v>
      </c>
      <c r="B1067" s="4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6" t="str">
        <f t="shared" si="33"/>
        <v>Oct</v>
      </c>
      <c r="O1067" s="1">
        <v>3334</v>
      </c>
      <c r="T1067" s="4"/>
      <c r="U1067" s="1" t="str">
        <f t="shared" si="34"/>
        <v>Outlier</v>
      </c>
    </row>
    <row r="1068" spans="1:21" x14ac:dyDescent="0.25">
      <c r="A1068" s="1" t="s">
        <v>1080</v>
      </c>
      <c r="B1068" s="4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6" t="str">
        <f t="shared" si="33"/>
        <v>Dec</v>
      </c>
      <c r="O1068" s="1">
        <v>355.09</v>
      </c>
      <c r="T1068" s="4"/>
      <c r="U1068" s="1" t="str">
        <f t="shared" si="34"/>
        <v>Normal</v>
      </c>
    </row>
    <row r="1069" spans="1:21" x14ac:dyDescent="0.25">
      <c r="A1069" s="1" t="s">
        <v>1081</v>
      </c>
      <c r="B1069" s="4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6" t="str">
        <f t="shared" si="33"/>
        <v>Jun</v>
      </c>
      <c r="O1069" s="1">
        <v>632.4</v>
      </c>
      <c r="T1069" s="4"/>
      <c r="U1069" s="1" t="str">
        <f t="shared" si="34"/>
        <v>Normal</v>
      </c>
    </row>
    <row r="1070" spans="1:21" x14ac:dyDescent="0.25">
      <c r="A1070" s="1" t="s">
        <v>1082</v>
      </c>
      <c r="B1070" s="4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6" t="str">
        <f t="shared" si="33"/>
        <v>Aug</v>
      </c>
      <c r="O1070" s="1">
        <v>133.38999999999999</v>
      </c>
      <c r="T1070" s="4"/>
      <c r="U1070" s="1" t="str">
        <f t="shared" si="34"/>
        <v>Normal</v>
      </c>
    </row>
    <row r="1071" spans="1:21" x14ac:dyDescent="0.25">
      <c r="A1071" s="1" t="s">
        <v>1083</v>
      </c>
      <c r="B1071" s="4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6" t="str">
        <f t="shared" si="33"/>
        <v>Feb</v>
      </c>
      <c r="O1071" s="1">
        <v>454.23</v>
      </c>
      <c r="T1071" s="4"/>
      <c r="U1071" s="1" t="str">
        <f t="shared" si="34"/>
        <v>Normal</v>
      </c>
    </row>
    <row r="1072" spans="1:21" x14ac:dyDescent="0.25">
      <c r="A1072" s="1" t="s">
        <v>1084</v>
      </c>
      <c r="B1072" s="4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6" t="str">
        <f t="shared" si="33"/>
        <v>Sep</v>
      </c>
      <c r="O1072" s="1">
        <v>1965.16</v>
      </c>
      <c r="T1072" s="4"/>
      <c r="U1072" s="1" t="str">
        <f t="shared" si="34"/>
        <v>Normal</v>
      </c>
    </row>
    <row r="1073" spans="1:21" x14ac:dyDescent="0.25">
      <c r="A1073" s="1" t="s">
        <v>1085</v>
      </c>
      <c r="B1073" s="4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6" t="str">
        <f t="shared" si="33"/>
        <v>Jun</v>
      </c>
      <c r="O1073" s="1">
        <v>510.28</v>
      </c>
      <c r="T1073" s="4"/>
      <c r="U1073" s="1" t="str">
        <f t="shared" si="34"/>
        <v>Normal</v>
      </c>
    </row>
    <row r="1074" spans="1:21" x14ac:dyDescent="0.25">
      <c r="A1074" s="1" t="s">
        <v>1086</v>
      </c>
      <c r="B1074" s="4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6" t="str">
        <f t="shared" si="33"/>
        <v>Feb</v>
      </c>
      <c r="O1074" s="1">
        <v>392.61</v>
      </c>
      <c r="T1074" s="4"/>
      <c r="U1074" s="1" t="str">
        <f t="shared" si="34"/>
        <v>Normal</v>
      </c>
    </row>
    <row r="1075" spans="1:21" x14ac:dyDescent="0.25">
      <c r="A1075" s="1" t="s">
        <v>1087</v>
      </c>
      <c r="B1075" s="4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6" t="str">
        <f t="shared" si="33"/>
        <v>Oct</v>
      </c>
      <c r="O1075" s="1">
        <v>1448.24</v>
      </c>
      <c r="T1075" s="4"/>
      <c r="U1075" s="1" t="str">
        <f t="shared" si="34"/>
        <v>Normal</v>
      </c>
    </row>
    <row r="1076" spans="1:21" x14ac:dyDescent="0.25">
      <c r="A1076" s="1" t="s">
        <v>1088</v>
      </c>
      <c r="B1076" s="4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6" t="str">
        <f t="shared" si="33"/>
        <v>May</v>
      </c>
      <c r="O1076" s="1">
        <v>222.73</v>
      </c>
      <c r="T1076" s="4"/>
      <c r="U1076" s="1" t="str">
        <f t="shared" si="34"/>
        <v>Normal</v>
      </c>
    </row>
    <row r="1077" spans="1:21" x14ac:dyDescent="0.25">
      <c r="A1077" s="1" t="s">
        <v>1089</v>
      </c>
      <c r="B1077" s="4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6" t="str">
        <f t="shared" si="33"/>
        <v>Aug</v>
      </c>
      <c r="O1077" s="1">
        <v>1105.26</v>
      </c>
      <c r="T1077" s="4"/>
      <c r="U1077" s="1" t="str">
        <f t="shared" si="34"/>
        <v>Normal</v>
      </c>
    </row>
    <row r="1078" spans="1:21" x14ac:dyDescent="0.25">
      <c r="A1078" s="1" t="s">
        <v>1090</v>
      </c>
      <c r="B1078" s="4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6" t="str">
        <f t="shared" si="33"/>
        <v>May</v>
      </c>
      <c r="O1078" s="1">
        <v>2746.44</v>
      </c>
      <c r="T1078" s="4"/>
      <c r="U1078" s="1" t="str">
        <f t="shared" si="34"/>
        <v>Normal</v>
      </c>
    </row>
    <row r="1079" spans="1:21" x14ac:dyDescent="0.25">
      <c r="A1079" s="1" t="s">
        <v>1091</v>
      </c>
      <c r="B1079" s="4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6" t="str">
        <f t="shared" si="33"/>
        <v>Mar</v>
      </c>
      <c r="O1079" s="1">
        <v>915.48</v>
      </c>
      <c r="T1079" s="4"/>
      <c r="U1079" s="1" t="str">
        <f t="shared" si="34"/>
        <v>Normal</v>
      </c>
    </row>
    <row r="1080" spans="1:21" x14ac:dyDescent="0.25">
      <c r="A1080" s="1" t="s">
        <v>1092</v>
      </c>
      <c r="B1080" s="4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6" t="str">
        <f t="shared" si="33"/>
        <v>Mar</v>
      </c>
      <c r="O1080" s="1">
        <v>41.09</v>
      </c>
      <c r="T1080" s="4"/>
      <c r="U1080" s="1" t="str">
        <f t="shared" si="34"/>
        <v>Normal</v>
      </c>
    </row>
    <row r="1081" spans="1:21" x14ac:dyDescent="0.25">
      <c r="A1081" s="1" t="s">
        <v>1093</v>
      </c>
      <c r="B1081" s="4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6" t="str">
        <f t="shared" si="33"/>
        <v>Jun</v>
      </c>
      <c r="O1081" s="1">
        <v>3170</v>
      </c>
      <c r="T1081" s="4"/>
      <c r="U1081" s="1" t="str">
        <f t="shared" si="34"/>
        <v>Normal</v>
      </c>
    </row>
    <row r="1082" spans="1:21" x14ac:dyDescent="0.25">
      <c r="A1082" s="1" t="s">
        <v>1094</v>
      </c>
      <c r="B1082" s="4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6" t="str">
        <f t="shared" si="33"/>
        <v>Jan</v>
      </c>
      <c r="O1082" s="1">
        <v>2323.6999999999998</v>
      </c>
      <c r="T1082" s="4"/>
      <c r="U1082" s="1" t="str">
        <f t="shared" si="34"/>
        <v>Normal</v>
      </c>
    </row>
    <row r="1083" spans="1:21" x14ac:dyDescent="0.25">
      <c r="A1083" s="1" t="s">
        <v>1095</v>
      </c>
      <c r="B1083" s="4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6" t="str">
        <f t="shared" si="33"/>
        <v>Apr</v>
      </c>
      <c r="O1083" s="1">
        <v>1702.4</v>
      </c>
      <c r="T1083" s="4"/>
      <c r="U1083" s="1" t="str">
        <f t="shared" si="34"/>
        <v>Normal</v>
      </c>
    </row>
    <row r="1084" spans="1:21" x14ac:dyDescent="0.25">
      <c r="A1084" s="1" t="s">
        <v>1096</v>
      </c>
      <c r="B1084" s="4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6" t="str">
        <f t="shared" si="33"/>
        <v>Oct</v>
      </c>
      <c r="O1084" s="1">
        <v>1719.66</v>
      </c>
      <c r="T1084" s="4"/>
      <c r="U1084" s="1" t="str">
        <f t="shared" si="34"/>
        <v>Normal</v>
      </c>
    </row>
    <row r="1085" spans="1:21" x14ac:dyDescent="0.25">
      <c r="A1085" s="1" t="s">
        <v>1097</v>
      </c>
      <c r="B1085" s="4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6" t="str">
        <f t="shared" si="33"/>
        <v>Jul</v>
      </c>
      <c r="O1085" s="1">
        <v>123.28</v>
      </c>
      <c r="T1085" s="4"/>
      <c r="U1085" s="1" t="str">
        <f t="shared" si="34"/>
        <v>Normal</v>
      </c>
    </row>
    <row r="1086" spans="1:21" x14ac:dyDescent="0.25">
      <c r="A1086" s="1" t="s">
        <v>1098</v>
      </c>
      <c r="B1086" s="4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6" t="str">
        <f t="shared" si="33"/>
        <v>Jan</v>
      </c>
      <c r="O1086" s="1">
        <v>70.819999999999993</v>
      </c>
      <c r="T1086" s="4"/>
      <c r="U1086" s="1" t="str">
        <f t="shared" si="34"/>
        <v>Normal</v>
      </c>
    </row>
    <row r="1087" spans="1:21" x14ac:dyDescent="0.25">
      <c r="A1087" s="1" t="s">
        <v>1099</v>
      </c>
      <c r="B1087" s="4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6" t="str">
        <f t="shared" si="33"/>
        <v>May</v>
      </c>
      <c r="O1087" s="1">
        <v>1293.3800000000001</v>
      </c>
      <c r="T1087" s="4"/>
      <c r="U1087" s="1" t="str">
        <f t="shared" si="34"/>
        <v>Normal</v>
      </c>
    </row>
    <row r="1088" spans="1:21" x14ac:dyDescent="0.25">
      <c r="A1088" s="1" t="s">
        <v>1100</v>
      </c>
      <c r="B1088" s="4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6" t="str">
        <f t="shared" si="33"/>
        <v>Dec</v>
      </c>
      <c r="O1088" s="1">
        <v>1026.8399999999999</v>
      </c>
      <c r="T1088" s="4"/>
      <c r="U1088" s="1" t="str">
        <f t="shared" si="34"/>
        <v>Normal</v>
      </c>
    </row>
    <row r="1089" spans="1:21" x14ac:dyDescent="0.25">
      <c r="A1089" s="1" t="s">
        <v>1101</v>
      </c>
      <c r="B1089" s="4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6" t="str">
        <f t="shared" si="33"/>
        <v>Mar</v>
      </c>
      <c r="O1089" s="1">
        <v>2772.28</v>
      </c>
      <c r="T1089" s="4"/>
      <c r="U1089" s="1" t="str">
        <f t="shared" si="34"/>
        <v>Normal</v>
      </c>
    </row>
    <row r="1090" spans="1:21" x14ac:dyDescent="0.25">
      <c r="A1090" s="1" t="s">
        <v>1102</v>
      </c>
      <c r="B1090" s="4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6" t="str">
        <f t="shared" ref="N1090:N1153" si="35">TEXT(B1090,"MMM")</f>
        <v>Nov</v>
      </c>
      <c r="O1090" s="1">
        <v>1474.29</v>
      </c>
      <c r="T1090" s="4"/>
      <c r="U1090" s="1" t="str">
        <f t="shared" si="34"/>
        <v>Normal</v>
      </c>
    </row>
    <row r="1091" spans="1:21" x14ac:dyDescent="0.25">
      <c r="A1091" s="1" t="s">
        <v>1103</v>
      </c>
      <c r="B1091" s="4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6" t="str">
        <f t="shared" si="35"/>
        <v>Mar</v>
      </c>
      <c r="O1091" s="1">
        <v>1199.48</v>
      </c>
      <c r="T1091" s="4"/>
      <c r="U1091" s="1" t="str">
        <f t="shared" ref="U1091:U1154" si="36">IF(O1091&gt;$S$2,"Outlier","Normal")</f>
        <v>Normal</v>
      </c>
    </row>
    <row r="1092" spans="1:21" x14ac:dyDescent="0.25">
      <c r="A1092" s="1" t="s">
        <v>1104</v>
      </c>
      <c r="B1092" s="4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6" t="str">
        <f t="shared" si="35"/>
        <v>Feb</v>
      </c>
      <c r="O1092" s="1">
        <v>1300.5</v>
      </c>
      <c r="T1092" s="4"/>
      <c r="U1092" s="1" t="str">
        <f t="shared" si="36"/>
        <v>Normal</v>
      </c>
    </row>
    <row r="1093" spans="1:21" x14ac:dyDescent="0.25">
      <c r="A1093" s="1" t="s">
        <v>1105</v>
      </c>
      <c r="B1093" s="4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6" t="str">
        <f t="shared" si="35"/>
        <v>Oct</v>
      </c>
      <c r="O1093" s="1">
        <v>628.43999999999994</v>
      </c>
      <c r="T1093" s="4"/>
      <c r="U1093" s="1" t="str">
        <f t="shared" si="36"/>
        <v>Normal</v>
      </c>
    </row>
    <row r="1094" spans="1:21" x14ac:dyDescent="0.25">
      <c r="A1094" s="1" t="s">
        <v>1106</v>
      </c>
      <c r="B1094" s="4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6" t="str">
        <f t="shared" si="35"/>
        <v>Aug</v>
      </c>
      <c r="O1094" s="1">
        <v>1046</v>
      </c>
      <c r="T1094" s="4"/>
      <c r="U1094" s="1" t="str">
        <f t="shared" si="36"/>
        <v>Normal</v>
      </c>
    </row>
    <row r="1095" spans="1:21" x14ac:dyDescent="0.25">
      <c r="A1095" s="1" t="s">
        <v>1107</v>
      </c>
      <c r="B1095" s="4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6" t="str">
        <f t="shared" si="35"/>
        <v>Jun</v>
      </c>
      <c r="O1095" s="1">
        <v>789.44</v>
      </c>
      <c r="T1095" s="4"/>
      <c r="U1095" s="1" t="str">
        <f t="shared" si="36"/>
        <v>Normal</v>
      </c>
    </row>
    <row r="1096" spans="1:21" x14ac:dyDescent="0.25">
      <c r="A1096" s="1" t="s">
        <v>1108</v>
      </c>
      <c r="B1096" s="4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6" t="str">
        <f t="shared" si="35"/>
        <v>Jun</v>
      </c>
      <c r="O1096" s="1">
        <v>2595.64</v>
      </c>
      <c r="T1096" s="4"/>
      <c r="U1096" s="1" t="str">
        <f t="shared" si="36"/>
        <v>Normal</v>
      </c>
    </row>
    <row r="1097" spans="1:21" x14ac:dyDescent="0.25">
      <c r="A1097" s="1" t="s">
        <v>1109</v>
      </c>
      <c r="B1097" s="4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6" t="str">
        <f t="shared" si="35"/>
        <v>Apr</v>
      </c>
      <c r="O1097" s="1">
        <v>883.08</v>
      </c>
      <c r="T1097" s="4"/>
      <c r="U1097" s="1" t="str">
        <f t="shared" si="36"/>
        <v>Normal</v>
      </c>
    </row>
    <row r="1098" spans="1:21" x14ac:dyDescent="0.25">
      <c r="A1098" s="1" t="s">
        <v>1110</v>
      </c>
      <c r="B1098" s="4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6" t="str">
        <f t="shared" si="35"/>
        <v>May</v>
      </c>
      <c r="O1098" s="1">
        <v>929.84</v>
      </c>
      <c r="T1098" s="4"/>
      <c r="U1098" s="1" t="str">
        <f t="shared" si="36"/>
        <v>Normal</v>
      </c>
    </row>
    <row r="1099" spans="1:21" x14ac:dyDescent="0.25">
      <c r="A1099" s="1" t="s">
        <v>1111</v>
      </c>
      <c r="B1099" s="4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6" t="str">
        <f t="shared" si="35"/>
        <v>Dec</v>
      </c>
      <c r="O1099" s="1">
        <v>2532.25</v>
      </c>
      <c r="T1099" s="4"/>
      <c r="U1099" s="1" t="str">
        <f t="shared" si="36"/>
        <v>Normal</v>
      </c>
    </row>
    <row r="1100" spans="1:21" x14ac:dyDescent="0.25">
      <c r="A1100" s="1" t="s">
        <v>1112</v>
      </c>
      <c r="B1100" s="4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6" t="str">
        <f t="shared" si="35"/>
        <v>Jun</v>
      </c>
      <c r="O1100" s="1">
        <v>1023.44</v>
      </c>
      <c r="T1100" s="4"/>
      <c r="U1100" s="1" t="str">
        <f t="shared" si="36"/>
        <v>Normal</v>
      </c>
    </row>
    <row r="1101" spans="1:21" x14ac:dyDescent="0.25">
      <c r="A1101" s="1" t="s">
        <v>1113</v>
      </c>
      <c r="B1101" s="4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6" t="str">
        <f t="shared" si="35"/>
        <v>Sep</v>
      </c>
      <c r="O1101" s="1">
        <v>250.46</v>
      </c>
      <c r="T1101" s="4"/>
      <c r="U1101" s="1" t="str">
        <f t="shared" si="36"/>
        <v>Normal</v>
      </c>
    </row>
    <row r="1102" spans="1:21" x14ac:dyDescent="0.25">
      <c r="A1102" s="1" t="s">
        <v>1114</v>
      </c>
      <c r="B1102" s="4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6" t="str">
        <f t="shared" si="35"/>
        <v>Aug</v>
      </c>
      <c r="O1102" s="1">
        <v>190.55</v>
      </c>
      <c r="T1102" s="4"/>
      <c r="U1102" s="1" t="str">
        <f t="shared" si="36"/>
        <v>Normal</v>
      </c>
    </row>
    <row r="1103" spans="1:21" x14ac:dyDescent="0.25">
      <c r="A1103" s="1" t="s">
        <v>1115</v>
      </c>
      <c r="B1103" s="4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6" t="str">
        <f t="shared" si="35"/>
        <v>Jun</v>
      </c>
      <c r="O1103" s="1">
        <v>485.91</v>
      </c>
      <c r="T1103" s="4"/>
      <c r="U1103" s="1" t="str">
        <f t="shared" si="36"/>
        <v>Normal</v>
      </c>
    </row>
    <row r="1104" spans="1:21" x14ac:dyDescent="0.25">
      <c r="A1104" s="1" t="s">
        <v>1116</v>
      </c>
      <c r="B1104" s="4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6" t="str">
        <f t="shared" si="35"/>
        <v>Jun</v>
      </c>
      <c r="O1104" s="1">
        <v>1388.68</v>
      </c>
      <c r="T1104" s="4"/>
      <c r="U1104" s="1" t="str">
        <f t="shared" si="36"/>
        <v>Normal</v>
      </c>
    </row>
    <row r="1105" spans="1:21" x14ac:dyDescent="0.25">
      <c r="A1105" s="1" t="s">
        <v>1117</v>
      </c>
      <c r="B1105" s="4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6" t="str">
        <f t="shared" si="35"/>
        <v>Apr</v>
      </c>
      <c r="O1105" s="1">
        <v>1105.28</v>
      </c>
      <c r="T1105" s="4"/>
      <c r="U1105" s="1" t="str">
        <f t="shared" si="36"/>
        <v>Normal</v>
      </c>
    </row>
    <row r="1106" spans="1:21" x14ac:dyDescent="0.25">
      <c r="A1106" s="1" t="s">
        <v>1118</v>
      </c>
      <c r="B1106" s="4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6" t="str">
        <f t="shared" si="35"/>
        <v>Jul</v>
      </c>
      <c r="O1106" s="1">
        <v>1259.04</v>
      </c>
      <c r="T1106" s="4"/>
      <c r="U1106" s="1" t="str">
        <f t="shared" si="36"/>
        <v>Normal</v>
      </c>
    </row>
    <row r="1107" spans="1:21" x14ac:dyDescent="0.25">
      <c r="A1107" s="1" t="s">
        <v>1119</v>
      </c>
      <c r="B1107" s="4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6" t="str">
        <f t="shared" si="35"/>
        <v>Jan</v>
      </c>
      <c r="O1107" s="1">
        <v>1427.07</v>
      </c>
      <c r="T1107" s="4"/>
      <c r="U1107" s="1" t="str">
        <f t="shared" si="36"/>
        <v>Normal</v>
      </c>
    </row>
    <row r="1108" spans="1:21" x14ac:dyDescent="0.25">
      <c r="A1108" s="1" t="s">
        <v>1120</v>
      </c>
      <c r="B1108" s="4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6" t="str">
        <f t="shared" si="35"/>
        <v>Mar</v>
      </c>
      <c r="O1108" s="1">
        <v>372.8</v>
      </c>
      <c r="T1108" s="4"/>
      <c r="U1108" s="1" t="str">
        <f t="shared" si="36"/>
        <v>Normal</v>
      </c>
    </row>
    <row r="1109" spans="1:21" x14ac:dyDescent="0.25">
      <c r="A1109" s="1" t="s">
        <v>1121</v>
      </c>
      <c r="B1109" s="4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6" t="str">
        <f t="shared" si="35"/>
        <v>Jun</v>
      </c>
      <c r="O1109" s="1">
        <v>126.42</v>
      </c>
      <c r="T1109" s="4"/>
      <c r="U1109" s="1" t="str">
        <f t="shared" si="36"/>
        <v>Normal</v>
      </c>
    </row>
    <row r="1110" spans="1:21" x14ac:dyDescent="0.25">
      <c r="A1110" s="1" t="s">
        <v>1122</v>
      </c>
      <c r="B1110" s="4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6" t="str">
        <f t="shared" si="35"/>
        <v>Mar</v>
      </c>
      <c r="O1110" s="1">
        <v>634.94000000000005</v>
      </c>
      <c r="T1110" s="4"/>
      <c r="U1110" s="1" t="str">
        <f t="shared" si="36"/>
        <v>Normal</v>
      </c>
    </row>
    <row r="1111" spans="1:21" x14ac:dyDescent="0.25">
      <c r="A1111" s="1" t="s">
        <v>1123</v>
      </c>
      <c r="B1111" s="4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6" t="str">
        <f t="shared" si="35"/>
        <v>Apr</v>
      </c>
      <c r="O1111" s="1">
        <v>309.88</v>
      </c>
      <c r="T1111" s="4"/>
      <c r="U1111" s="1" t="str">
        <f t="shared" si="36"/>
        <v>Normal</v>
      </c>
    </row>
    <row r="1112" spans="1:21" x14ac:dyDescent="0.25">
      <c r="A1112" s="1" t="s">
        <v>1124</v>
      </c>
      <c r="B1112" s="4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6" t="str">
        <f t="shared" si="35"/>
        <v>Feb</v>
      </c>
      <c r="O1112" s="1">
        <v>252.93</v>
      </c>
      <c r="T1112" s="4"/>
      <c r="U1112" s="1" t="str">
        <f t="shared" si="36"/>
        <v>Normal</v>
      </c>
    </row>
    <row r="1113" spans="1:21" x14ac:dyDescent="0.25">
      <c r="A1113" s="1" t="s">
        <v>1125</v>
      </c>
      <c r="B1113" s="4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6" t="str">
        <f t="shared" si="35"/>
        <v>May</v>
      </c>
      <c r="O1113" s="1">
        <v>937.8</v>
      </c>
      <c r="T1113" s="4"/>
      <c r="U1113" s="1" t="str">
        <f t="shared" si="36"/>
        <v>Normal</v>
      </c>
    </row>
    <row r="1114" spans="1:21" x14ac:dyDescent="0.25">
      <c r="A1114" s="1" t="s">
        <v>1126</v>
      </c>
      <c r="B1114" s="4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6" t="str">
        <f t="shared" si="35"/>
        <v>Oct</v>
      </c>
      <c r="O1114" s="1">
        <v>356.81</v>
      </c>
      <c r="T1114" s="4"/>
      <c r="U1114" s="1" t="str">
        <f t="shared" si="36"/>
        <v>Normal</v>
      </c>
    </row>
    <row r="1115" spans="1:21" x14ac:dyDescent="0.25">
      <c r="A1115" s="1" t="s">
        <v>1127</v>
      </c>
      <c r="B1115" s="4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6" t="str">
        <f t="shared" si="35"/>
        <v>Mar</v>
      </c>
      <c r="O1115" s="1">
        <v>839.96</v>
      </c>
      <c r="T1115" s="4"/>
      <c r="U1115" s="1" t="str">
        <f t="shared" si="36"/>
        <v>Normal</v>
      </c>
    </row>
    <row r="1116" spans="1:21" x14ac:dyDescent="0.25">
      <c r="A1116" s="1" t="s">
        <v>1128</v>
      </c>
      <c r="B1116" s="4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6" t="str">
        <f t="shared" si="35"/>
        <v>Mar</v>
      </c>
      <c r="O1116" s="1">
        <v>1979.64</v>
      </c>
      <c r="T1116" s="4"/>
      <c r="U1116" s="1" t="str">
        <f t="shared" si="36"/>
        <v>Normal</v>
      </c>
    </row>
    <row r="1117" spans="1:21" x14ac:dyDescent="0.25">
      <c r="A1117" s="1" t="s">
        <v>1129</v>
      </c>
      <c r="B1117" s="4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6" t="str">
        <f t="shared" si="35"/>
        <v>Jun</v>
      </c>
      <c r="O1117" s="1">
        <v>672.64</v>
      </c>
      <c r="T1117" s="4"/>
      <c r="U1117" s="1" t="str">
        <f t="shared" si="36"/>
        <v>Normal</v>
      </c>
    </row>
    <row r="1118" spans="1:21" x14ac:dyDescent="0.25">
      <c r="A1118" s="1" t="s">
        <v>1130</v>
      </c>
      <c r="B1118" s="4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6" t="str">
        <f t="shared" si="35"/>
        <v>Oct</v>
      </c>
      <c r="O1118" s="1">
        <v>1062.98</v>
      </c>
      <c r="T1118" s="4"/>
      <c r="U1118" s="1" t="str">
        <f t="shared" si="36"/>
        <v>Normal</v>
      </c>
    </row>
    <row r="1119" spans="1:21" x14ac:dyDescent="0.25">
      <c r="A1119" s="1" t="s">
        <v>1131</v>
      </c>
      <c r="B1119" s="4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6" t="str">
        <f t="shared" si="35"/>
        <v>May</v>
      </c>
      <c r="O1119" s="1">
        <v>1765.32</v>
      </c>
      <c r="T1119" s="4"/>
      <c r="U1119" s="1" t="str">
        <f t="shared" si="36"/>
        <v>Normal</v>
      </c>
    </row>
    <row r="1120" spans="1:21" x14ac:dyDescent="0.25">
      <c r="A1120" s="1" t="s">
        <v>1132</v>
      </c>
      <c r="B1120" s="4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6" t="str">
        <f t="shared" si="35"/>
        <v>May</v>
      </c>
      <c r="O1120" s="1">
        <v>754.43999999999994</v>
      </c>
      <c r="T1120" s="4"/>
      <c r="U1120" s="1" t="str">
        <f t="shared" si="36"/>
        <v>Normal</v>
      </c>
    </row>
    <row r="1121" spans="1:21" x14ac:dyDescent="0.25">
      <c r="A1121" s="1" t="s">
        <v>1133</v>
      </c>
      <c r="B1121" s="4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6" t="str">
        <f t="shared" si="35"/>
        <v>Nov</v>
      </c>
      <c r="O1121" s="1">
        <v>684.65</v>
      </c>
      <c r="T1121" s="4"/>
      <c r="U1121" s="1" t="str">
        <f t="shared" si="36"/>
        <v>Normal</v>
      </c>
    </row>
    <row r="1122" spans="1:21" x14ac:dyDescent="0.25">
      <c r="A1122" s="1" t="s">
        <v>1134</v>
      </c>
      <c r="B1122" s="4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6" t="str">
        <f t="shared" si="35"/>
        <v>May</v>
      </c>
      <c r="O1122" s="1">
        <v>195.86</v>
      </c>
      <c r="T1122" s="4"/>
      <c r="U1122" s="1" t="str">
        <f t="shared" si="36"/>
        <v>Normal</v>
      </c>
    </row>
    <row r="1123" spans="1:21" x14ac:dyDescent="0.25">
      <c r="A1123" s="1" t="s">
        <v>1135</v>
      </c>
      <c r="B1123" s="4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6" t="str">
        <f t="shared" si="35"/>
        <v>May</v>
      </c>
      <c r="O1123" s="1">
        <v>151.02000000000001</v>
      </c>
      <c r="T1123" s="4"/>
      <c r="U1123" s="1" t="str">
        <f t="shared" si="36"/>
        <v>Normal</v>
      </c>
    </row>
    <row r="1124" spans="1:21" x14ac:dyDescent="0.25">
      <c r="A1124" s="1" t="s">
        <v>1136</v>
      </c>
      <c r="B1124" s="4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6" t="str">
        <f t="shared" si="35"/>
        <v>Jun</v>
      </c>
      <c r="O1124" s="1">
        <v>3390.95</v>
      </c>
      <c r="T1124" s="4"/>
      <c r="U1124" s="1" t="str">
        <f t="shared" si="36"/>
        <v>Outlier</v>
      </c>
    </row>
    <row r="1125" spans="1:21" x14ac:dyDescent="0.25">
      <c r="A1125" s="1" t="s">
        <v>1137</v>
      </c>
      <c r="B1125" s="4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6" t="str">
        <f t="shared" si="35"/>
        <v>Apr</v>
      </c>
      <c r="O1125" s="1">
        <v>1662.75</v>
      </c>
      <c r="T1125" s="4"/>
      <c r="U1125" s="1" t="str">
        <f t="shared" si="36"/>
        <v>Normal</v>
      </c>
    </row>
    <row r="1126" spans="1:21" x14ac:dyDescent="0.25">
      <c r="A1126" s="1" t="s">
        <v>1138</v>
      </c>
      <c r="B1126" s="4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6" t="str">
        <f t="shared" si="35"/>
        <v>May</v>
      </c>
      <c r="O1126" s="1">
        <v>2307.48</v>
      </c>
      <c r="T1126" s="4"/>
      <c r="U1126" s="1" t="str">
        <f t="shared" si="36"/>
        <v>Normal</v>
      </c>
    </row>
    <row r="1127" spans="1:21" x14ac:dyDescent="0.25">
      <c r="A1127" s="1" t="s">
        <v>1139</v>
      </c>
      <c r="B1127" s="4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6" t="str">
        <f t="shared" si="35"/>
        <v>Oct</v>
      </c>
      <c r="O1127" s="1">
        <v>1633.44</v>
      </c>
      <c r="T1127" s="4"/>
      <c r="U1127" s="1" t="str">
        <f t="shared" si="36"/>
        <v>Normal</v>
      </c>
    </row>
    <row r="1128" spans="1:21" x14ac:dyDescent="0.25">
      <c r="A1128" s="1" t="s">
        <v>1140</v>
      </c>
      <c r="B1128" s="4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6" t="str">
        <f t="shared" si="35"/>
        <v>Jul</v>
      </c>
      <c r="O1128" s="1">
        <v>950.55000000000007</v>
      </c>
      <c r="T1128" s="4"/>
      <c r="U1128" s="1" t="str">
        <f t="shared" si="36"/>
        <v>Normal</v>
      </c>
    </row>
    <row r="1129" spans="1:21" x14ac:dyDescent="0.25">
      <c r="A1129" s="1" t="s">
        <v>1141</v>
      </c>
      <c r="B1129" s="4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6" t="str">
        <f t="shared" si="35"/>
        <v>Mar</v>
      </c>
      <c r="O1129" s="1">
        <v>1808.25</v>
      </c>
      <c r="T1129" s="4"/>
      <c r="U1129" s="1" t="str">
        <f t="shared" si="36"/>
        <v>Normal</v>
      </c>
    </row>
    <row r="1130" spans="1:21" x14ac:dyDescent="0.25">
      <c r="A1130" s="1" t="s">
        <v>1142</v>
      </c>
      <c r="B1130" s="4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6" t="str">
        <f t="shared" si="35"/>
        <v>Aug</v>
      </c>
      <c r="O1130" s="1">
        <v>1940.37</v>
      </c>
      <c r="T1130" s="4"/>
      <c r="U1130" s="1" t="str">
        <f t="shared" si="36"/>
        <v>Normal</v>
      </c>
    </row>
    <row r="1131" spans="1:21" x14ac:dyDescent="0.25">
      <c r="A1131" s="1" t="s">
        <v>1143</v>
      </c>
      <c r="B1131" s="4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6" t="str">
        <f t="shared" si="35"/>
        <v>Jun</v>
      </c>
      <c r="O1131" s="1">
        <v>1674.84</v>
      </c>
      <c r="T1131" s="4"/>
      <c r="U1131" s="1" t="str">
        <f t="shared" si="36"/>
        <v>Normal</v>
      </c>
    </row>
    <row r="1132" spans="1:21" x14ac:dyDescent="0.25">
      <c r="A1132" s="1" t="s">
        <v>1144</v>
      </c>
      <c r="B1132" s="4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6" t="str">
        <f t="shared" si="35"/>
        <v>Feb</v>
      </c>
      <c r="O1132" s="1">
        <v>646.9</v>
      </c>
      <c r="T1132" s="4"/>
      <c r="U1132" s="1" t="str">
        <f t="shared" si="36"/>
        <v>Normal</v>
      </c>
    </row>
    <row r="1133" spans="1:21" x14ac:dyDescent="0.25">
      <c r="A1133" s="1" t="s">
        <v>1145</v>
      </c>
      <c r="B1133" s="4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6" t="str">
        <f t="shared" si="35"/>
        <v>Jul</v>
      </c>
      <c r="O1133" s="1">
        <v>694.5</v>
      </c>
      <c r="T1133" s="4"/>
      <c r="U1133" s="1" t="str">
        <f t="shared" si="36"/>
        <v>Normal</v>
      </c>
    </row>
    <row r="1134" spans="1:21" x14ac:dyDescent="0.25">
      <c r="A1134" s="1" t="s">
        <v>1146</v>
      </c>
      <c r="B1134" s="4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6" t="str">
        <f t="shared" si="35"/>
        <v>Dec</v>
      </c>
      <c r="O1134" s="1">
        <v>674.64</v>
      </c>
      <c r="T1134" s="4"/>
      <c r="U1134" s="1" t="str">
        <f t="shared" si="36"/>
        <v>Normal</v>
      </c>
    </row>
    <row r="1135" spans="1:21" x14ac:dyDescent="0.25">
      <c r="A1135" s="1" t="s">
        <v>1147</v>
      </c>
      <c r="B1135" s="4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6" t="str">
        <f t="shared" si="35"/>
        <v>Apr</v>
      </c>
      <c r="O1135" s="1">
        <v>935.82</v>
      </c>
      <c r="T1135" s="4"/>
      <c r="U1135" s="1" t="str">
        <f t="shared" si="36"/>
        <v>Normal</v>
      </c>
    </row>
    <row r="1136" spans="1:21" x14ac:dyDescent="0.25">
      <c r="A1136" s="1" t="s">
        <v>1148</v>
      </c>
      <c r="B1136" s="4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6" t="str">
        <f t="shared" si="35"/>
        <v>Jun</v>
      </c>
      <c r="O1136" s="1">
        <v>153.12</v>
      </c>
      <c r="T1136" s="4"/>
      <c r="U1136" s="1" t="str">
        <f t="shared" si="36"/>
        <v>Normal</v>
      </c>
    </row>
    <row r="1137" spans="1:21" x14ac:dyDescent="0.25">
      <c r="A1137" s="1" t="s">
        <v>1149</v>
      </c>
      <c r="B1137" s="4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6" t="str">
        <f t="shared" si="35"/>
        <v>Dec</v>
      </c>
      <c r="O1137" s="1">
        <v>146.82</v>
      </c>
      <c r="T1137" s="4"/>
      <c r="U1137" s="1" t="str">
        <f t="shared" si="36"/>
        <v>Normal</v>
      </c>
    </row>
    <row r="1138" spans="1:21" x14ac:dyDescent="0.25">
      <c r="A1138" s="1" t="s">
        <v>1150</v>
      </c>
      <c r="B1138" s="4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6" t="str">
        <f t="shared" si="35"/>
        <v>Sep</v>
      </c>
      <c r="O1138" s="1">
        <v>2004.99</v>
      </c>
      <c r="T1138" s="4"/>
      <c r="U1138" s="1" t="str">
        <f t="shared" si="36"/>
        <v>Normal</v>
      </c>
    </row>
    <row r="1139" spans="1:21" x14ac:dyDescent="0.25">
      <c r="A1139" s="1" t="s">
        <v>1151</v>
      </c>
      <c r="B1139" s="4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6" t="str">
        <f t="shared" si="35"/>
        <v>Jul</v>
      </c>
      <c r="O1139" s="1">
        <v>1640.84</v>
      </c>
      <c r="T1139" s="4"/>
      <c r="U1139" s="1" t="str">
        <f t="shared" si="36"/>
        <v>Normal</v>
      </c>
    </row>
    <row r="1140" spans="1:21" x14ac:dyDescent="0.25">
      <c r="A1140" s="1" t="s">
        <v>1152</v>
      </c>
      <c r="B1140" s="4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6" t="str">
        <f t="shared" si="35"/>
        <v>Dec</v>
      </c>
      <c r="O1140" s="1">
        <v>1177.6400000000001</v>
      </c>
      <c r="T1140" s="4"/>
      <c r="U1140" s="1" t="str">
        <f t="shared" si="36"/>
        <v>Normal</v>
      </c>
    </row>
    <row r="1141" spans="1:21" x14ac:dyDescent="0.25">
      <c r="A1141" s="1" t="s">
        <v>1153</v>
      </c>
      <c r="B1141" s="4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6" t="str">
        <f t="shared" si="35"/>
        <v>Mar</v>
      </c>
      <c r="O1141" s="1">
        <v>1505.46</v>
      </c>
      <c r="T1141" s="4"/>
      <c r="U1141" s="1" t="str">
        <f t="shared" si="36"/>
        <v>Normal</v>
      </c>
    </row>
    <row r="1142" spans="1:21" x14ac:dyDescent="0.25">
      <c r="A1142" s="1" t="s">
        <v>1154</v>
      </c>
      <c r="B1142" s="4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6" t="str">
        <f t="shared" si="35"/>
        <v>Jun</v>
      </c>
      <c r="O1142" s="1">
        <v>1105.6600000000001</v>
      </c>
      <c r="T1142" s="4"/>
      <c r="U1142" s="1" t="str">
        <f t="shared" si="36"/>
        <v>Normal</v>
      </c>
    </row>
    <row r="1143" spans="1:21" x14ac:dyDescent="0.25">
      <c r="A1143" s="1" t="s">
        <v>1155</v>
      </c>
      <c r="B1143" s="4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6" t="str">
        <f t="shared" si="35"/>
        <v>Feb</v>
      </c>
      <c r="O1143" s="1">
        <v>1495.98</v>
      </c>
      <c r="T1143" s="4"/>
      <c r="U1143" s="1" t="str">
        <f t="shared" si="36"/>
        <v>Normal</v>
      </c>
    </row>
    <row r="1144" spans="1:21" x14ac:dyDescent="0.25">
      <c r="A1144" s="1" t="s">
        <v>1156</v>
      </c>
      <c r="B1144" s="4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6" t="str">
        <f t="shared" si="35"/>
        <v>Aug</v>
      </c>
      <c r="O1144" s="1">
        <v>2780.4</v>
      </c>
      <c r="T1144" s="4"/>
      <c r="U1144" s="1" t="str">
        <f t="shared" si="36"/>
        <v>Normal</v>
      </c>
    </row>
    <row r="1145" spans="1:21" x14ac:dyDescent="0.25">
      <c r="A1145" s="1" t="s">
        <v>1157</v>
      </c>
      <c r="B1145" s="4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6" t="str">
        <f t="shared" si="35"/>
        <v>Apr</v>
      </c>
      <c r="O1145" s="1">
        <v>381.61</v>
      </c>
      <c r="T1145" s="4"/>
      <c r="U1145" s="1" t="str">
        <f t="shared" si="36"/>
        <v>Normal</v>
      </c>
    </row>
    <row r="1146" spans="1:21" x14ac:dyDescent="0.25">
      <c r="A1146" s="1" t="s">
        <v>1158</v>
      </c>
      <c r="B1146" s="4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6" t="str">
        <f t="shared" si="35"/>
        <v>Feb</v>
      </c>
      <c r="O1146" s="1">
        <v>2539.6999999999998</v>
      </c>
      <c r="T1146" s="4"/>
      <c r="U1146" s="1" t="str">
        <f t="shared" si="36"/>
        <v>Normal</v>
      </c>
    </row>
    <row r="1147" spans="1:21" x14ac:dyDescent="0.25">
      <c r="A1147" s="1" t="s">
        <v>1159</v>
      </c>
      <c r="B1147" s="4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6" t="str">
        <f t="shared" si="35"/>
        <v>May</v>
      </c>
      <c r="O1147" s="1">
        <v>1714.59</v>
      </c>
      <c r="T1147" s="4"/>
      <c r="U1147" s="1" t="str">
        <f t="shared" si="36"/>
        <v>Normal</v>
      </c>
    </row>
    <row r="1148" spans="1:21" x14ac:dyDescent="0.25">
      <c r="A1148" s="1" t="s">
        <v>1160</v>
      </c>
      <c r="B1148" s="4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6" t="str">
        <f t="shared" si="35"/>
        <v>Oct</v>
      </c>
      <c r="O1148" s="1">
        <v>2107.1999999999998</v>
      </c>
      <c r="T1148" s="4"/>
      <c r="U1148" s="1" t="str">
        <f t="shared" si="36"/>
        <v>Normal</v>
      </c>
    </row>
    <row r="1149" spans="1:21" x14ac:dyDescent="0.25">
      <c r="A1149" s="1" t="s">
        <v>1161</v>
      </c>
      <c r="B1149" s="4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6" t="str">
        <f t="shared" si="35"/>
        <v>Jan</v>
      </c>
      <c r="O1149" s="1">
        <v>1176.5999999999999</v>
      </c>
      <c r="T1149" s="4"/>
      <c r="U1149" s="1" t="str">
        <f t="shared" si="36"/>
        <v>Normal</v>
      </c>
    </row>
    <row r="1150" spans="1:21" x14ac:dyDescent="0.25">
      <c r="A1150" s="1" t="s">
        <v>1162</v>
      </c>
      <c r="B1150" s="4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6" t="str">
        <f t="shared" si="35"/>
        <v>Jun</v>
      </c>
      <c r="O1150" s="1">
        <v>355.15</v>
      </c>
      <c r="T1150" s="4"/>
      <c r="U1150" s="1" t="str">
        <f t="shared" si="36"/>
        <v>Normal</v>
      </c>
    </row>
    <row r="1151" spans="1:21" x14ac:dyDescent="0.25">
      <c r="A1151" s="1" t="s">
        <v>1163</v>
      </c>
      <c r="B1151" s="4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6" t="str">
        <f t="shared" si="35"/>
        <v>Jul</v>
      </c>
      <c r="O1151" s="1">
        <v>1390.58</v>
      </c>
      <c r="T1151" s="4"/>
      <c r="U1151" s="1" t="str">
        <f t="shared" si="36"/>
        <v>Normal</v>
      </c>
    </row>
    <row r="1152" spans="1:21" x14ac:dyDescent="0.25">
      <c r="A1152" s="1" t="s">
        <v>1164</v>
      </c>
      <c r="B1152" s="4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6" t="str">
        <f t="shared" si="35"/>
        <v>Feb</v>
      </c>
      <c r="O1152" s="1">
        <v>1210.5999999999999</v>
      </c>
      <c r="T1152" s="4"/>
      <c r="U1152" s="1" t="str">
        <f t="shared" si="36"/>
        <v>Normal</v>
      </c>
    </row>
    <row r="1153" spans="1:21" x14ac:dyDescent="0.25">
      <c r="A1153" s="1" t="s">
        <v>1165</v>
      </c>
      <c r="B1153" s="4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6" t="str">
        <f t="shared" si="35"/>
        <v>Jan</v>
      </c>
      <c r="O1153" s="1">
        <v>1216.08</v>
      </c>
      <c r="T1153" s="4"/>
      <c r="U1153" s="1" t="str">
        <f t="shared" si="36"/>
        <v>Normal</v>
      </c>
    </row>
    <row r="1154" spans="1:21" x14ac:dyDescent="0.25">
      <c r="A1154" s="1" t="s">
        <v>1166</v>
      </c>
      <c r="B1154" s="4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6" t="str">
        <f t="shared" ref="N1154:N1201" si="37">TEXT(B1154,"MMM")</f>
        <v>Nov</v>
      </c>
      <c r="O1154" s="1">
        <v>688.36</v>
      </c>
      <c r="T1154" s="4"/>
      <c r="U1154" s="1" t="str">
        <f t="shared" si="36"/>
        <v>Normal</v>
      </c>
    </row>
    <row r="1155" spans="1:21" x14ac:dyDescent="0.25">
      <c r="A1155" s="1" t="s">
        <v>1167</v>
      </c>
      <c r="B1155" s="4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6" t="str">
        <f t="shared" si="37"/>
        <v>Dec</v>
      </c>
      <c r="O1155" s="1">
        <v>2786.84</v>
      </c>
      <c r="T1155" s="4"/>
      <c r="U1155" s="1" t="str">
        <f t="shared" ref="U1155:U1201" si="38">IF(O1155&gt;$S$2,"Outlier","Normal")</f>
        <v>Normal</v>
      </c>
    </row>
    <row r="1156" spans="1:21" x14ac:dyDescent="0.25">
      <c r="A1156" s="1" t="s">
        <v>1168</v>
      </c>
      <c r="B1156" s="4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6" t="str">
        <f t="shared" si="37"/>
        <v>Jun</v>
      </c>
      <c r="O1156" s="1">
        <v>595.89</v>
      </c>
      <c r="T1156" s="4"/>
      <c r="U1156" s="1" t="str">
        <f t="shared" si="38"/>
        <v>Normal</v>
      </c>
    </row>
    <row r="1157" spans="1:21" x14ac:dyDescent="0.25">
      <c r="A1157" s="1" t="s">
        <v>1169</v>
      </c>
      <c r="B1157" s="4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6" t="str">
        <f t="shared" si="37"/>
        <v>Aug</v>
      </c>
      <c r="O1157" s="1">
        <v>2138.2800000000002</v>
      </c>
      <c r="T1157" s="4"/>
      <c r="U1157" s="1" t="str">
        <f t="shared" si="38"/>
        <v>Normal</v>
      </c>
    </row>
    <row r="1158" spans="1:21" x14ac:dyDescent="0.25">
      <c r="A1158" s="1" t="s">
        <v>1170</v>
      </c>
      <c r="B1158" s="4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6" t="str">
        <f t="shared" si="37"/>
        <v>Jul</v>
      </c>
      <c r="O1158" s="1">
        <v>2763.12</v>
      </c>
      <c r="T1158" s="4"/>
      <c r="U1158" s="1" t="str">
        <f t="shared" si="38"/>
        <v>Normal</v>
      </c>
    </row>
    <row r="1159" spans="1:21" x14ac:dyDescent="0.25">
      <c r="A1159" s="1" t="s">
        <v>1171</v>
      </c>
      <c r="B1159" s="4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6" t="str">
        <f t="shared" si="37"/>
        <v>May</v>
      </c>
      <c r="O1159" s="1">
        <v>904.65000000000009</v>
      </c>
      <c r="T1159" s="4"/>
      <c r="U1159" s="1" t="str">
        <f t="shared" si="38"/>
        <v>Normal</v>
      </c>
    </row>
    <row r="1160" spans="1:21" x14ac:dyDescent="0.25">
      <c r="A1160" s="1" t="s">
        <v>1172</v>
      </c>
      <c r="B1160" s="4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6" t="str">
        <f t="shared" si="37"/>
        <v>Apr</v>
      </c>
      <c r="O1160" s="1">
        <v>109.68</v>
      </c>
      <c r="T1160" s="4"/>
      <c r="U1160" s="1" t="str">
        <f t="shared" si="38"/>
        <v>Normal</v>
      </c>
    </row>
    <row r="1161" spans="1:21" x14ac:dyDescent="0.25">
      <c r="A1161" s="1" t="s">
        <v>1173</v>
      </c>
      <c r="B1161" s="4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6" t="str">
        <f t="shared" si="37"/>
        <v>Feb</v>
      </c>
      <c r="O1161" s="1">
        <v>1866.8</v>
      </c>
      <c r="T1161" s="4"/>
      <c r="U1161" s="1" t="str">
        <f t="shared" si="38"/>
        <v>Normal</v>
      </c>
    </row>
    <row r="1162" spans="1:21" x14ac:dyDescent="0.25">
      <c r="A1162" s="1" t="s">
        <v>1174</v>
      </c>
      <c r="B1162" s="4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6" t="str">
        <f t="shared" si="37"/>
        <v>Sep</v>
      </c>
      <c r="O1162" s="1">
        <v>541.64</v>
      </c>
      <c r="T1162" s="4"/>
      <c r="U1162" s="1" t="str">
        <f t="shared" si="38"/>
        <v>Normal</v>
      </c>
    </row>
    <row r="1163" spans="1:21" x14ac:dyDescent="0.25">
      <c r="A1163" s="1" t="s">
        <v>1175</v>
      </c>
      <c r="B1163" s="4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6" t="str">
        <f t="shared" si="37"/>
        <v>Oct</v>
      </c>
      <c r="O1163" s="1">
        <v>11.39</v>
      </c>
      <c r="T1163" s="4"/>
      <c r="U1163" s="1" t="str">
        <f t="shared" si="38"/>
        <v>Normal</v>
      </c>
    </row>
    <row r="1164" spans="1:21" x14ac:dyDescent="0.25">
      <c r="A1164" s="1" t="s">
        <v>1176</v>
      </c>
      <c r="B1164" s="4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6" t="str">
        <f t="shared" si="37"/>
        <v>Mar</v>
      </c>
      <c r="O1164" s="1">
        <v>448.74</v>
      </c>
      <c r="T1164" s="4"/>
      <c r="U1164" s="1" t="str">
        <f t="shared" si="38"/>
        <v>Normal</v>
      </c>
    </row>
    <row r="1165" spans="1:21" x14ac:dyDescent="0.25">
      <c r="A1165" s="1" t="s">
        <v>1177</v>
      </c>
      <c r="B1165" s="4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6" t="str">
        <f t="shared" si="37"/>
        <v>Jun</v>
      </c>
      <c r="O1165" s="1">
        <v>918.87000000000012</v>
      </c>
      <c r="T1165" s="4"/>
      <c r="U1165" s="1" t="str">
        <f t="shared" si="38"/>
        <v>Normal</v>
      </c>
    </row>
    <row r="1166" spans="1:21" x14ac:dyDescent="0.25">
      <c r="A1166" s="1" t="s">
        <v>1178</v>
      </c>
      <c r="B1166" s="4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6" t="str">
        <f t="shared" si="37"/>
        <v>Jan</v>
      </c>
      <c r="O1166" s="1">
        <v>1577.85</v>
      </c>
      <c r="T1166" s="4"/>
      <c r="U1166" s="1" t="str">
        <f t="shared" si="38"/>
        <v>Normal</v>
      </c>
    </row>
    <row r="1167" spans="1:21" x14ac:dyDescent="0.25">
      <c r="A1167" s="1" t="s">
        <v>1179</v>
      </c>
      <c r="B1167" s="4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6" t="str">
        <f t="shared" si="37"/>
        <v>Jul</v>
      </c>
      <c r="O1167" s="1">
        <v>671.37</v>
      </c>
      <c r="T1167" s="4"/>
      <c r="U1167" s="1" t="str">
        <f t="shared" si="38"/>
        <v>Normal</v>
      </c>
    </row>
    <row r="1168" spans="1:21" x14ac:dyDescent="0.25">
      <c r="A1168" s="1" t="s">
        <v>1180</v>
      </c>
      <c r="B1168" s="4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6" t="str">
        <f t="shared" si="37"/>
        <v>Jul</v>
      </c>
      <c r="O1168" s="1">
        <v>973.41000000000008</v>
      </c>
      <c r="T1168" s="4"/>
      <c r="U1168" s="1" t="str">
        <f t="shared" si="38"/>
        <v>Normal</v>
      </c>
    </row>
    <row r="1169" spans="1:21" x14ac:dyDescent="0.25">
      <c r="A1169" s="1" t="s">
        <v>1181</v>
      </c>
      <c r="B1169" s="4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6" t="str">
        <f t="shared" si="37"/>
        <v>Oct</v>
      </c>
      <c r="O1169" s="1">
        <v>185.74</v>
      </c>
      <c r="T1169" s="4"/>
      <c r="U1169" s="1" t="str">
        <f t="shared" si="38"/>
        <v>Normal</v>
      </c>
    </row>
    <row r="1170" spans="1:21" x14ac:dyDescent="0.25">
      <c r="A1170" s="1" t="s">
        <v>1182</v>
      </c>
      <c r="B1170" s="4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6" t="str">
        <f t="shared" si="37"/>
        <v>Apr</v>
      </c>
      <c r="O1170" s="1">
        <v>662.84</v>
      </c>
      <c r="T1170" s="4"/>
      <c r="U1170" s="1" t="str">
        <f t="shared" si="38"/>
        <v>Normal</v>
      </c>
    </row>
    <row r="1171" spans="1:21" x14ac:dyDescent="0.25">
      <c r="A1171" s="1" t="s">
        <v>1183</v>
      </c>
      <c r="B1171" s="4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6" t="str">
        <f t="shared" si="37"/>
        <v>Dec</v>
      </c>
      <c r="O1171" s="1">
        <v>525.42999999999995</v>
      </c>
      <c r="T1171" s="4"/>
      <c r="U1171" s="1" t="str">
        <f t="shared" si="38"/>
        <v>Normal</v>
      </c>
    </row>
    <row r="1172" spans="1:21" x14ac:dyDescent="0.25">
      <c r="A1172" s="1" t="s">
        <v>1184</v>
      </c>
      <c r="B1172" s="4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6" t="str">
        <f t="shared" si="37"/>
        <v>Aug</v>
      </c>
      <c r="O1172" s="1">
        <v>1394.38</v>
      </c>
      <c r="T1172" s="4"/>
      <c r="U1172" s="1" t="str">
        <f t="shared" si="38"/>
        <v>Normal</v>
      </c>
    </row>
    <row r="1173" spans="1:21" x14ac:dyDescent="0.25">
      <c r="A1173" s="1" t="s">
        <v>1185</v>
      </c>
      <c r="B1173" s="4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6" t="str">
        <f t="shared" si="37"/>
        <v>Aug</v>
      </c>
      <c r="O1173" s="1">
        <v>2073.6</v>
      </c>
      <c r="T1173" s="4"/>
      <c r="U1173" s="1" t="str">
        <f t="shared" si="38"/>
        <v>Normal</v>
      </c>
    </row>
    <row r="1174" spans="1:21" x14ac:dyDescent="0.25">
      <c r="A1174" s="1" t="s">
        <v>1186</v>
      </c>
      <c r="B1174" s="4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6" t="str">
        <f t="shared" si="37"/>
        <v>Feb</v>
      </c>
      <c r="O1174" s="1">
        <v>395.88</v>
      </c>
      <c r="T1174" s="4"/>
      <c r="U1174" s="1" t="str">
        <f t="shared" si="38"/>
        <v>Normal</v>
      </c>
    </row>
    <row r="1175" spans="1:21" x14ac:dyDescent="0.25">
      <c r="A1175" s="1" t="s">
        <v>1187</v>
      </c>
      <c r="B1175" s="4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6" t="str">
        <f t="shared" si="37"/>
        <v>Oct</v>
      </c>
      <c r="O1175" s="1">
        <v>208.36</v>
      </c>
      <c r="T1175" s="4"/>
      <c r="U1175" s="1" t="str">
        <f t="shared" si="38"/>
        <v>Normal</v>
      </c>
    </row>
    <row r="1176" spans="1:21" x14ac:dyDescent="0.25">
      <c r="A1176" s="1" t="s">
        <v>1188</v>
      </c>
      <c r="B1176" s="4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6" t="str">
        <f t="shared" si="37"/>
        <v>Nov</v>
      </c>
      <c r="O1176" s="1">
        <v>667.02</v>
      </c>
      <c r="T1176" s="4"/>
      <c r="U1176" s="1" t="str">
        <f t="shared" si="38"/>
        <v>Normal</v>
      </c>
    </row>
    <row r="1177" spans="1:21" x14ac:dyDescent="0.25">
      <c r="A1177" s="1" t="s">
        <v>1189</v>
      </c>
      <c r="B1177" s="4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6" t="str">
        <f t="shared" si="37"/>
        <v>Sep</v>
      </c>
      <c r="O1177" s="1">
        <v>275.22000000000003</v>
      </c>
      <c r="T1177" s="4"/>
      <c r="U1177" s="1" t="str">
        <f t="shared" si="38"/>
        <v>Normal</v>
      </c>
    </row>
    <row r="1178" spans="1:21" x14ac:dyDescent="0.25">
      <c r="A1178" s="1" t="s">
        <v>1190</v>
      </c>
      <c r="B1178" s="4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6" t="str">
        <f t="shared" si="37"/>
        <v>Aug</v>
      </c>
      <c r="O1178" s="1">
        <v>427.66</v>
      </c>
      <c r="T1178" s="4"/>
      <c r="U1178" s="1" t="str">
        <f t="shared" si="38"/>
        <v>Normal</v>
      </c>
    </row>
    <row r="1179" spans="1:21" x14ac:dyDescent="0.25">
      <c r="A1179" s="1" t="s">
        <v>1191</v>
      </c>
      <c r="B1179" s="4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6" t="str">
        <f t="shared" si="37"/>
        <v>Apr</v>
      </c>
      <c r="O1179" s="1">
        <v>127.55</v>
      </c>
      <c r="T1179" s="4"/>
      <c r="U1179" s="1" t="str">
        <f t="shared" si="38"/>
        <v>Normal</v>
      </c>
    </row>
    <row r="1180" spans="1:21" x14ac:dyDescent="0.25">
      <c r="A1180" s="1" t="s">
        <v>1192</v>
      </c>
      <c r="B1180" s="4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6" t="str">
        <f t="shared" si="37"/>
        <v>Sep</v>
      </c>
      <c r="O1180" s="1">
        <v>70.239999999999995</v>
      </c>
      <c r="T1180" s="4"/>
      <c r="U1180" s="1" t="str">
        <f t="shared" si="38"/>
        <v>Normal</v>
      </c>
    </row>
    <row r="1181" spans="1:21" x14ac:dyDescent="0.25">
      <c r="A1181" s="1" t="s">
        <v>1193</v>
      </c>
      <c r="B1181" s="4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6" t="str">
        <f t="shared" si="37"/>
        <v>Jan</v>
      </c>
      <c r="O1181" s="1">
        <v>2592.75</v>
      </c>
      <c r="T1181" s="4"/>
      <c r="U1181" s="1" t="str">
        <f t="shared" si="38"/>
        <v>Normal</v>
      </c>
    </row>
    <row r="1182" spans="1:21" x14ac:dyDescent="0.25">
      <c r="A1182" s="1" t="s">
        <v>1194</v>
      </c>
      <c r="B1182" s="4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6" t="str">
        <f t="shared" si="37"/>
        <v>Oct</v>
      </c>
      <c r="O1182" s="1">
        <v>1193.44</v>
      </c>
      <c r="T1182" s="4"/>
      <c r="U1182" s="1" t="str">
        <f t="shared" si="38"/>
        <v>Normal</v>
      </c>
    </row>
    <row r="1183" spans="1:21" x14ac:dyDescent="0.25">
      <c r="A1183" s="1" t="s">
        <v>1195</v>
      </c>
      <c r="B1183" s="4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6" t="str">
        <f t="shared" si="37"/>
        <v>Jul</v>
      </c>
      <c r="O1183" s="1">
        <v>476.22</v>
      </c>
      <c r="T1183" s="4"/>
      <c r="U1183" s="1" t="str">
        <f t="shared" si="38"/>
        <v>Normal</v>
      </c>
    </row>
    <row r="1184" spans="1:21" x14ac:dyDescent="0.25">
      <c r="A1184" s="1" t="s">
        <v>1196</v>
      </c>
      <c r="B1184" s="4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6" t="str">
        <f t="shared" si="37"/>
        <v>Jun</v>
      </c>
      <c r="O1184" s="1">
        <v>840.58</v>
      </c>
      <c r="T1184" s="4"/>
      <c r="U1184" s="1" t="str">
        <f t="shared" si="38"/>
        <v>Normal</v>
      </c>
    </row>
    <row r="1185" spans="1:21" x14ac:dyDescent="0.25">
      <c r="A1185" s="1" t="s">
        <v>1197</v>
      </c>
      <c r="B1185" s="4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6" t="str">
        <f t="shared" si="37"/>
        <v>Apr</v>
      </c>
      <c r="O1185" s="1">
        <v>281.52</v>
      </c>
      <c r="T1185" s="4"/>
      <c r="U1185" s="1" t="str">
        <f t="shared" si="38"/>
        <v>Normal</v>
      </c>
    </row>
    <row r="1186" spans="1:21" x14ac:dyDescent="0.25">
      <c r="A1186" s="1" t="s">
        <v>1198</v>
      </c>
      <c r="B1186" s="4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6" t="str">
        <f t="shared" si="37"/>
        <v>Sep</v>
      </c>
      <c r="O1186" s="1">
        <v>204.08</v>
      </c>
      <c r="T1186" s="4"/>
      <c r="U1186" s="1" t="str">
        <f t="shared" si="38"/>
        <v>Normal</v>
      </c>
    </row>
    <row r="1187" spans="1:21" x14ac:dyDescent="0.25">
      <c r="A1187" s="1" t="s">
        <v>1199</v>
      </c>
      <c r="B1187" s="4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6" t="str">
        <f t="shared" si="37"/>
        <v>Jul</v>
      </c>
      <c r="O1187" s="1">
        <v>343.31</v>
      </c>
      <c r="T1187" s="4"/>
      <c r="U1187" s="1" t="str">
        <f t="shared" si="38"/>
        <v>Normal</v>
      </c>
    </row>
    <row r="1188" spans="1:21" x14ac:dyDescent="0.25">
      <c r="A1188" s="1" t="s">
        <v>1200</v>
      </c>
      <c r="B1188" s="4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6" t="str">
        <f t="shared" si="37"/>
        <v>Nov</v>
      </c>
      <c r="O1188" s="1">
        <v>163.32</v>
      </c>
      <c r="T1188" s="4"/>
      <c r="U1188" s="1" t="str">
        <f t="shared" si="38"/>
        <v>Normal</v>
      </c>
    </row>
    <row r="1189" spans="1:21" x14ac:dyDescent="0.25">
      <c r="A1189" s="1" t="s">
        <v>1201</v>
      </c>
      <c r="B1189" s="4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6" t="str">
        <f t="shared" si="37"/>
        <v>Mar</v>
      </c>
      <c r="O1189" s="1">
        <v>369.2</v>
      </c>
      <c r="T1189" s="4"/>
      <c r="U1189" s="1" t="str">
        <f t="shared" si="38"/>
        <v>Normal</v>
      </c>
    </row>
    <row r="1190" spans="1:21" x14ac:dyDescent="0.25">
      <c r="A1190" s="1" t="s">
        <v>1202</v>
      </c>
      <c r="B1190" s="4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6" t="str">
        <f t="shared" si="37"/>
        <v>Oct</v>
      </c>
      <c r="O1190" s="1">
        <v>742.58</v>
      </c>
      <c r="T1190" s="4"/>
      <c r="U1190" s="1" t="str">
        <f t="shared" si="38"/>
        <v>Normal</v>
      </c>
    </row>
    <row r="1191" spans="1:21" x14ac:dyDescent="0.25">
      <c r="A1191" s="1" t="s">
        <v>1203</v>
      </c>
      <c r="B1191" s="4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6" t="str">
        <f t="shared" si="37"/>
        <v>Aug</v>
      </c>
      <c r="O1191" s="1">
        <v>1946.1</v>
      </c>
      <c r="T1191" s="4"/>
      <c r="U1191" s="1" t="str">
        <f t="shared" si="38"/>
        <v>Normal</v>
      </c>
    </row>
    <row r="1192" spans="1:21" x14ac:dyDescent="0.25">
      <c r="A1192" s="1" t="s">
        <v>1204</v>
      </c>
      <c r="B1192" s="4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6" t="str">
        <f t="shared" si="37"/>
        <v>Jun</v>
      </c>
      <c r="O1192" s="1">
        <v>1849.17</v>
      </c>
      <c r="T1192" s="4"/>
      <c r="U1192" s="1" t="str">
        <f t="shared" si="38"/>
        <v>Normal</v>
      </c>
    </row>
    <row r="1193" spans="1:21" x14ac:dyDescent="0.25">
      <c r="A1193" s="1" t="s">
        <v>1205</v>
      </c>
      <c r="B1193" s="4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6" t="str">
        <f t="shared" si="37"/>
        <v>Feb</v>
      </c>
      <c r="O1193" s="1">
        <v>1505.72</v>
      </c>
      <c r="T1193" s="4"/>
      <c r="U1193" s="1" t="str">
        <f t="shared" si="38"/>
        <v>Normal</v>
      </c>
    </row>
    <row r="1194" spans="1:21" x14ac:dyDescent="0.25">
      <c r="A1194" s="1" t="s">
        <v>1206</v>
      </c>
      <c r="B1194" s="4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6" t="str">
        <f t="shared" si="37"/>
        <v>Feb</v>
      </c>
      <c r="O1194" s="1">
        <v>1298.55</v>
      </c>
      <c r="T1194" s="4"/>
      <c r="U1194" s="1" t="str">
        <f t="shared" si="38"/>
        <v>Normal</v>
      </c>
    </row>
    <row r="1195" spans="1:21" x14ac:dyDescent="0.25">
      <c r="A1195" s="1" t="s">
        <v>1207</v>
      </c>
      <c r="B1195" s="4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6" t="str">
        <f t="shared" si="37"/>
        <v>Jun</v>
      </c>
      <c r="O1195" s="1">
        <v>687.89</v>
      </c>
      <c r="T1195" s="4"/>
      <c r="U1195" s="1" t="str">
        <f t="shared" si="38"/>
        <v>Normal</v>
      </c>
    </row>
    <row r="1196" spans="1:21" x14ac:dyDescent="0.25">
      <c r="A1196" s="1" t="s">
        <v>1208</v>
      </c>
      <c r="B1196" s="4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6" t="str">
        <f t="shared" si="37"/>
        <v>Nov</v>
      </c>
      <c r="O1196" s="1">
        <v>568.31999999999994</v>
      </c>
      <c r="T1196" s="4"/>
      <c r="U1196" s="1" t="str">
        <f t="shared" si="38"/>
        <v>Normal</v>
      </c>
    </row>
    <row r="1197" spans="1:21" x14ac:dyDescent="0.25">
      <c r="A1197" s="1" t="s">
        <v>1209</v>
      </c>
      <c r="B1197" s="4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6" t="str">
        <f t="shared" si="37"/>
        <v>Jun</v>
      </c>
      <c r="O1197" s="1">
        <v>107.04</v>
      </c>
      <c r="T1197" s="4"/>
      <c r="U1197" s="1" t="str">
        <f t="shared" si="38"/>
        <v>Normal</v>
      </c>
    </row>
    <row r="1198" spans="1:21" x14ac:dyDescent="0.25">
      <c r="A1198" s="1" t="s">
        <v>1210</v>
      </c>
      <c r="B1198" s="4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6" t="str">
        <f t="shared" si="37"/>
        <v>Mar</v>
      </c>
      <c r="O1198" s="1">
        <v>1325.06</v>
      </c>
      <c r="T1198" s="4"/>
      <c r="U1198" s="1" t="str">
        <f t="shared" si="38"/>
        <v>Normal</v>
      </c>
    </row>
    <row r="1199" spans="1:21" x14ac:dyDescent="0.25">
      <c r="A1199" s="1" t="s">
        <v>1211</v>
      </c>
      <c r="B1199" s="4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6" t="str">
        <f t="shared" si="37"/>
        <v>Jul</v>
      </c>
      <c r="O1199" s="1">
        <v>873.68</v>
      </c>
      <c r="T1199" s="4"/>
      <c r="U1199" s="1" t="str">
        <f t="shared" si="38"/>
        <v>Normal</v>
      </c>
    </row>
    <row r="1200" spans="1:21" x14ac:dyDescent="0.25">
      <c r="A1200" s="1" t="s">
        <v>1212</v>
      </c>
      <c r="B1200" s="4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6" t="str">
        <f t="shared" si="37"/>
        <v>Aug</v>
      </c>
      <c r="O1200" s="1">
        <v>1050.08</v>
      </c>
      <c r="T1200" s="4"/>
      <c r="U1200" s="1" t="str">
        <f t="shared" si="38"/>
        <v>Normal</v>
      </c>
    </row>
    <row r="1201" spans="1:21" x14ac:dyDescent="0.25">
      <c r="A1201" s="1" t="s">
        <v>1213</v>
      </c>
      <c r="B1201" s="4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6" t="str">
        <f t="shared" si="37"/>
        <v>Jun</v>
      </c>
      <c r="O1201" s="1">
        <v>2242.3200000000002</v>
      </c>
      <c r="T1201" s="4"/>
      <c r="U1201" s="1" t="str">
        <f t="shared" si="38"/>
        <v>Normal</v>
      </c>
    </row>
  </sheetData>
  <phoneticPr fontId="5" type="noConversion"/>
  <conditionalFormatting sqref="U2:U1201">
    <cfRule type="containsText" dxfId="6" priority="2" operator="containsText" text="Outlier">
      <formula>NOT(ISERROR(SEARCH("Outlier",U2)))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35FE3A-50DD-44CD-8F11-720E6EE997C4}">
            <xm:f>NOT(ISERROR(SEARCH($L$23,L1)))</xm:f>
            <xm:f>$L$23</xm:f>
            <x14:dxf>
              <fill>
                <patternFill>
                  <bgColor rgb="FFFB5A71"/>
                </patternFill>
              </fill>
            </x14:dxf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D8D2-1586-4946-9B51-37177DCEB9F3}">
  <dimension ref="A1:GBG2430"/>
  <sheetViews>
    <sheetView zoomScale="65" zoomScaleNormal="55" workbookViewId="0">
      <selection activeCell="D20" sqref="D20"/>
    </sheetView>
  </sheetViews>
  <sheetFormatPr defaultRowHeight="13.8" x14ac:dyDescent="0.25"/>
  <cols>
    <col min="1" max="1" width="15.8984375" style="1" bestFit="1" customWidth="1"/>
    <col min="2" max="2" width="20.09765625" style="1" bestFit="1" customWidth="1"/>
    <col min="3" max="3" width="1.796875" style="1" customWidth="1"/>
    <col min="4" max="4" width="19.19921875" style="1" bestFit="1" customWidth="1"/>
    <col min="5" max="5" width="15.69921875" style="1" bestFit="1" customWidth="1"/>
    <col min="6" max="6" width="2.5" style="1" customWidth="1"/>
    <col min="7" max="7" width="26.3984375" style="1" bestFit="1" customWidth="1"/>
    <col min="8" max="8" width="19.19921875" style="1" bestFit="1" customWidth="1"/>
    <col min="9" max="9" width="4.8984375" style="1" customWidth="1"/>
    <col min="10" max="10" width="21.19921875" style="1" bestFit="1" customWidth="1"/>
    <col min="11" max="11" width="16.69921875" style="1" bestFit="1" customWidth="1"/>
    <col min="12" max="12" width="3.3984375" style="1" customWidth="1"/>
    <col min="13" max="13" width="16.3984375" style="1" bestFit="1" customWidth="1"/>
    <col min="14" max="14" width="18" style="1" bestFit="1" customWidth="1"/>
    <col min="15" max="15" width="2.09765625" style="1" customWidth="1"/>
    <col min="16" max="2393" width="19.19921875" style="1" bestFit="1" customWidth="1"/>
    <col min="2394" max="2394" width="23.5" style="1" bestFit="1" customWidth="1"/>
    <col min="2395" max="2395" width="24.09765625" style="1" bestFit="1" customWidth="1"/>
    <col min="2396" max="3588" width="20" style="1" bestFit="1" customWidth="1"/>
    <col min="3589" max="3589" width="23.5" style="1" bestFit="1" customWidth="1"/>
    <col min="3590" max="3590" width="24.09765625" style="1" bestFit="1" customWidth="1"/>
    <col min="3591" max="3591" width="24.8984375" style="1" bestFit="1" customWidth="1"/>
    <col min="3592" max="3592" width="23.5" style="1" bestFit="1" customWidth="1"/>
    <col min="3593" max="3593" width="24.09765625" style="1" bestFit="1" customWidth="1"/>
    <col min="3594" max="3594" width="24.8984375" style="1" bestFit="1" customWidth="1"/>
    <col min="3595" max="4787" width="20" style="1" bestFit="1" customWidth="1"/>
    <col min="4788" max="4788" width="23.5" style="1" bestFit="1" customWidth="1"/>
    <col min="4789" max="4789" width="24.09765625" style="1" bestFit="1" customWidth="1"/>
    <col min="4790" max="4790" width="24.8984375" style="1" bestFit="1" customWidth="1"/>
    <col min="4791" max="4791" width="21.5" style="1" bestFit="1" customWidth="1"/>
    <col min="4792" max="16384" width="8.796875" style="1"/>
  </cols>
  <sheetData>
    <row r="1" spans="1:26" x14ac:dyDescent="0.25">
      <c r="B1" s="19" t="s">
        <v>4315</v>
      </c>
      <c r="E1" s="19" t="s">
        <v>4316</v>
      </c>
      <c r="G1" s="19" t="s">
        <v>4317</v>
      </c>
      <c r="J1" s="17" t="s">
        <v>4320</v>
      </c>
      <c r="K1" s="17"/>
      <c r="M1" s="17" t="s">
        <v>4319</v>
      </c>
      <c r="N1" s="17"/>
      <c r="Q1" s="18" t="s">
        <v>4321</v>
      </c>
    </row>
    <row r="2" spans="1:26" x14ac:dyDescent="0.25">
      <c r="B2" s="19"/>
      <c r="E2" s="19"/>
      <c r="G2" s="19"/>
      <c r="J2" s="17"/>
      <c r="K2" s="17"/>
      <c r="M2" s="17"/>
      <c r="N2" s="17"/>
      <c r="Q2" s="18"/>
    </row>
    <row r="3" spans="1:26" x14ac:dyDescent="0.25">
      <c r="B3" s="1" t="s">
        <v>4286</v>
      </c>
      <c r="E3" s="1" t="s">
        <v>4285</v>
      </c>
      <c r="G3" s="9" t="s">
        <v>4318</v>
      </c>
      <c r="J3" s="8" t="s">
        <v>3</v>
      </c>
      <c r="K3" s="1" t="s">
        <v>4286</v>
      </c>
      <c r="M3" s="8" t="s">
        <v>3</v>
      </c>
      <c r="N3" s="1" t="s">
        <v>4285</v>
      </c>
      <c r="Q3" s="9" t="s">
        <v>3073</v>
      </c>
    </row>
    <row r="4" spans="1:26" x14ac:dyDescent="0.25">
      <c r="B4" s="12">
        <v>1264761.9600000004</v>
      </c>
      <c r="E4" s="1">
        <v>1200</v>
      </c>
      <c r="G4" s="16">
        <f>B4/E4</f>
        <v>1053.9683000000005</v>
      </c>
      <c r="J4" s="1" t="s">
        <v>2406</v>
      </c>
      <c r="K4" s="12">
        <v>195620.11000000002</v>
      </c>
      <c r="M4" s="1" t="s">
        <v>2407</v>
      </c>
      <c r="N4" s="1">
        <v>181</v>
      </c>
      <c r="Q4" s="11">
        <f>K31</f>
        <v>0.1925</v>
      </c>
    </row>
    <row r="5" spans="1:26" x14ac:dyDescent="0.25">
      <c r="G5"/>
      <c r="J5" s="1" t="s">
        <v>2407</v>
      </c>
      <c r="K5" s="12">
        <v>195612.60999999996</v>
      </c>
      <c r="M5" s="1" t="s">
        <v>2405</v>
      </c>
      <c r="N5" s="1">
        <v>179</v>
      </c>
    </row>
    <row r="6" spans="1:26" x14ac:dyDescent="0.25">
      <c r="J6" s="1" t="s">
        <v>2408</v>
      </c>
      <c r="K6" s="12">
        <v>192126.55999999994</v>
      </c>
      <c r="M6" s="1" t="s">
        <v>2406</v>
      </c>
      <c r="N6" s="1">
        <v>178</v>
      </c>
    </row>
    <row r="7" spans="1:26" x14ac:dyDescent="0.25">
      <c r="J7" s="1" t="s">
        <v>2405</v>
      </c>
      <c r="K7" s="12">
        <v>186568.95000000007</v>
      </c>
      <c r="M7" s="1" t="s">
        <v>2408</v>
      </c>
      <c r="N7" s="1">
        <v>173</v>
      </c>
    </row>
    <row r="8" spans="1:26" x14ac:dyDescent="0.25">
      <c r="J8" s="1" t="s">
        <v>2403</v>
      </c>
      <c r="K8" s="12">
        <v>175651.40999999997</v>
      </c>
      <c r="M8" s="1" t="s">
        <v>2409</v>
      </c>
      <c r="N8" s="1">
        <v>170</v>
      </c>
    </row>
    <row r="9" spans="1:26" x14ac:dyDescent="0.25">
      <c r="J9" s="1" t="s">
        <v>2409</v>
      </c>
      <c r="K9" s="12">
        <v>167459.93</v>
      </c>
      <c r="M9" s="1" t="s">
        <v>2403</v>
      </c>
      <c r="N9" s="1">
        <v>163</v>
      </c>
    </row>
    <row r="10" spans="1:26" x14ac:dyDescent="0.25">
      <c r="J10" s="1" t="s">
        <v>2404</v>
      </c>
      <c r="K10" s="12">
        <v>151722.39000000001</v>
      </c>
      <c r="M10" s="1" t="s">
        <v>2404</v>
      </c>
      <c r="N10" s="1">
        <v>156</v>
      </c>
    </row>
    <row r="11" spans="1:26" x14ac:dyDescent="0.25">
      <c r="J11" s="1" t="s">
        <v>4284</v>
      </c>
      <c r="K11" s="1">
        <v>1264761.9600000004</v>
      </c>
      <c r="M11" s="1" t="s">
        <v>4284</v>
      </c>
      <c r="N11" s="1">
        <v>1200</v>
      </c>
      <c r="V11"/>
      <c r="W11"/>
      <c r="X11"/>
      <c r="Y11"/>
      <c r="Z11"/>
    </row>
    <row r="12" spans="1:26" x14ac:dyDescent="0.25">
      <c r="V12"/>
      <c r="W12"/>
      <c r="X12"/>
      <c r="Y12"/>
      <c r="Z12"/>
    </row>
    <row r="13" spans="1:26" x14ac:dyDescent="0.25">
      <c r="V13"/>
      <c r="W13"/>
      <c r="X13"/>
      <c r="Y13"/>
      <c r="Z13"/>
    </row>
    <row r="14" spans="1:26" x14ac:dyDescent="0.25">
      <c r="V14"/>
      <c r="W14"/>
      <c r="X14"/>
      <c r="Y14"/>
      <c r="Z14"/>
    </row>
    <row r="15" spans="1:26" x14ac:dyDescent="0.25">
      <c r="V15"/>
      <c r="W15"/>
      <c r="X15"/>
      <c r="Y15"/>
      <c r="Z15"/>
    </row>
    <row r="16" spans="1:26" x14ac:dyDescent="0.25">
      <c r="A16" s="20" t="s">
        <v>4303</v>
      </c>
      <c r="B16" s="21"/>
      <c r="G16" s="20" t="s">
        <v>4305</v>
      </c>
      <c r="H16" s="20"/>
      <c r="J16" s="20" t="s">
        <v>4307</v>
      </c>
      <c r="K16" s="20"/>
      <c r="M16" s="20" t="s">
        <v>4308</v>
      </c>
      <c r="N16" s="20"/>
      <c r="V16"/>
      <c r="W16"/>
      <c r="X16"/>
      <c r="Y16"/>
      <c r="Z16"/>
    </row>
    <row r="17" spans="1:4791" x14ac:dyDescent="0.25">
      <c r="A17" s="21"/>
      <c r="B17" s="21"/>
      <c r="G17" s="20"/>
      <c r="H17" s="20"/>
      <c r="J17" s="20"/>
      <c r="K17" s="20"/>
      <c r="M17" s="20"/>
      <c r="N17" s="20"/>
      <c r="V17"/>
      <c r="W17"/>
      <c r="X17"/>
      <c r="Y17"/>
      <c r="Z17"/>
    </row>
    <row r="18" spans="1:4791" x14ac:dyDescent="0.25">
      <c r="A18" s="8" t="s">
        <v>3</v>
      </c>
      <c r="B18" s="1" t="s">
        <v>4285</v>
      </c>
      <c r="G18" s="8" t="s">
        <v>4287</v>
      </c>
      <c r="H18" s="1" t="s">
        <v>4285</v>
      </c>
      <c r="J18" s="8" t="s">
        <v>4289</v>
      </c>
      <c r="K18" s="1" t="s">
        <v>4286</v>
      </c>
      <c r="M18" s="8" t="s">
        <v>4302</v>
      </c>
      <c r="N18" s="1" t="s">
        <v>4286</v>
      </c>
      <c r="V18"/>
      <c r="W18"/>
      <c r="X18"/>
      <c r="Y18"/>
      <c r="Z18"/>
    </row>
    <row r="19" spans="1:4791" x14ac:dyDescent="0.25">
      <c r="A19" s="1" t="s">
        <v>2407</v>
      </c>
      <c r="B19" s="1">
        <v>181</v>
      </c>
      <c r="G19" s="1" t="s">
        <v>3071</v>
      </c>
      <c r="H19" s="1">
        <v>250</v>
      </c>
      <c r="J19" s="1" t="s">
        <v>4278</v>
      </c>
      <c r="K19" s="22">
        <v>275285.45000000007</v>
      </c>
      <c r="M19" s="1" t="s">
        <v>4293</v>
      </c>
      <c r="N19" s="1">
        <v>109186.05</v>
      </c>
      <c r="V19"/>
      <c r="W19"/>
      <c r="X19"/>
      <c r="Y19"/>
      <c r="Z19"/>
    </row>
    <row r="20" spans="1:4791" x14ac:dyDescent="0.25">
      <c r="A20" s="1" t="s">
        <v>2405</v>
      </c>
      <c r="B20" s="1">
        <v>179</v>
      </c>
      <c r="G20" s="1" t="s">
        <v>3073</v>
      </c>
      <c r="H20" s="1">
        <v>231</v>
      </c>
      <c r="J20" s="1" t="s">
        <v>4280</v>
      </c>
      <c r="K20" s="22">
        <v>261808.55000000002</v>
      </c>
      <c r="M20" s="1" t="s">
        <v>4297</v>
      </c>
      <c r="N20" s="1">
        <v>86343.210000000036</v>
      </c>
      <c r="V20"/>
      <c r="W20"/>
      <c r="X20"/>
      <c r="Y20"/>
      <c r="Z20"/>
    </row>
    <row r="21" spans="1:4791" x14ac:dyDescent="0.25">
      <c r="A21" s="1" t="s">
        <v>2406</v>
      </c>
      <c r="B21" s="1">
        <v>178</v>
      </c>
      <c r="G21" s="1" t="s">
        <v>3074</v>
      </c>
      <c r="H21" s="1">
        <v>237</v>
      </c>
      <c r="J21" s="1" t="s">
        <v>4282</v>
      </c>
      <c r="K21" s="22">
        <v>250441.47999999998</v>
      </c>
      <c r="M21" s="1" t="s">
        <v>4301</v>
      </c>
      <c r="N21" s="1">
        <v>82540.5</v>
      </c>
      <c r="V21"/>
      <c r="W21"/>
      <c r="X21"/>
      <c r="Y21"/>
      <c r="Z21"/>
    </row>
    <row r="22" spans="1:4791" x14ac:dyDescent="0.25">
      <c r="A22" s="1" t="s">
        <v>2408</v>
      </c>
      <c r="B22" s="1">
        <v>173</v>
      </c>
      <c r="G22" s="1" t="s">
        <v>3072</v>
      </c>
      <c r="H22" s="1">
        <v>247</v>
      </c>
      <c r="J22" s="1" t="s">
        <v>4281</v>
      </c>
      <c r="K22" s="22">
        <v>250410.9</v>
      </c>
      <c r="M22" s="1" t="s">
        <v>4291</v>
      </c>
      <c r="N22" s="1">
        <v>112344.77999999998</v>
      </c>
      <c r="V22"/>
      <c r="W22"/>
      <c r="X22"/>
      <c r="Y22"/>
      <c r="Z22"/>
    </row>
    <row r="23" spans="1:4791" x14ac:dyDescent="0.25">
      <c r="A23" s="1" t="s">
        <v>2409</v>
      </c>
      <c r="B23" s="1">
        <v>170</v>
      </c>
      <c r="G23" s="1" t="s">
        <v>3070</v>
      </c>
      <c r="H23" s="1">
        <v>235</v>
      </c>
      <c r="J23" s="1" t="s">
        <v>4279</v>
      </c>
      <c r="K23" s="22">
        <v>226815.5799999999</v>
      </c>
      <c r="M23" s="1" t="s">
        <v>4290</v>
      </c>
      <c r="N23" s="1">
        <v>124313.23000000005</v>
      </c>
      <c r="V23"/>
      <c r="W23"/>
      <c r="X23"/>
      <c r="Y23"/>
      <c r="Z23"/>
    </row>
    <row r="24" spans="1:4791" x14ac:dyDescent="0.25">
      <c r="A24" s="1" t="s">
        <v>2403</v>
      </c>
      <c r="B24" s="1">
        <v>163</v>
      </c>
      <c r="G24" s="1" t="s">
        <v>4284</v>
      </c>
      <c r="H24" s="1">
        <v>1200</v>
      </c>
      <c r="J24" s="1" t="s">
        <v>4284</v>
      </c>
      <c r="K24" s="22">
        <v>1264761.9600000004</v>
      </c>
      <c r="M24" s="1" t="s">
        <v>4296</v>
      </c>
      <c r="N24" s="1">
        <v>85784.63999999997</v>
      </c>
      <c r="V24"/>
      <c r="W24"/>
      <c r="X24"/>
      <c r="Y24"/>
      <c r="Z24"/>
    </row>
    <row r="25" spans="1:4791" x14ac:dyDescent="0.25">
      <c r="A25" s="1" t="s">
        <v>2404</v>
      </c>
      <c r="B25" s="1">
        <v>156</v>
      </c>
      <c r="M25" s="1" t="s">
        <v>4295</v>
      </c>
      <c r="N25" s="1">
        <v>170616.13000000006</v>
      </c>
      <c r="T25"/>
      <c r="U25"/>
      <c r="V25"/>
      <c r="W25"/>
      <c r="X25"/>
      <c r="Y25"/>
      <c r="Z25"/>
    </row>
    <row r="26" spans="1:4791" x14ac:dyDescent="0.25">
      <c r="A26" s="1" t="s">
        <v>4284</v>
      </c>
      <c r="B26" s="1">
        <v>1200</v>
      </c>
      <c r="M26" s="1" t="s">
        <v>4292</v>
      </c>
      <c r="N26" s="1">
        <v>123840.92999999995</v>
      </c>
      <c r="Q26" s="9" t="s">
        <v>4318</v>
      </c>
      <c r="T26"/>
      <c r="U26"/>
      <c r="V26"/>
      <c r="W26"/>
      <c r="X26"/>
      <c r="Y26"/>
      <c r="Z26"/>
    </row>
    <row r="27" spans="1:4791" x14ac:dyDescent="0.25">
      <c r="J27" s="17" t="s">
        <v>4321</v>
      </c>
      <c r="K27" s="17"/>
      <c r="M27" s="1" t="s">
        <v>4294</v>
      </c>
      <c r="N27" s="1">
        <v>135142.59</v>
      </c>
      <c r="Q27" t="e">
        <f>L27/O27</f>
        <v>#DIV/0!</v>
      </c>
      <c r="T27"/>
      <c r="U27"/>
      <c r="V27"/>
      <c r="W27"/>
      <c r="X27"/>
      <c r="Y27"/>
      <c r="Z27"/>
    </row>
    <row r="28" spans="1:4791" ht="16.8" customHeight="1" x14ac:dyDescent="0.25">
      <c r="A28" s="17" t="s">
        <v>4304</v>
      </c>
      <c r="B28" s="17"/>
      <c r="D28"/>
      <c r="E28"/>
      <c r="G28" s="20" t="s">
        <v>4306</v>
      </c>
      <c r="H28" s="20"/>
      <c r="J28" s="17"/>
      <c r="K28" s="17"/>
      <c r="M28" s="1" t="s">
        <v>4300</v>
      </c>
      <c r="N28" s="1">
        <v>75493.430000000008</v>
      </c>
      <c r="T28"/>
      <c r="U28"/>
      <c r="V28"/>
      <c r="W28"/>
      <c r="X28"/>
      <c r="Y28"/>
      <c r="Z28"/>
    </row>
    <row r="29" spans="1:4791" ht="16.8" customHeight="1" x14ac:dyDescent="0.25">
      <c r="A29" s="17"/>
      <c r="B29" s="17"/>
      <c r="E29"/>
      <c r="G29" s="20"/>
      <c r="H29" s="20"/>
      <c r="J29" s="8" t="s">
        <v>3</v>
      </c>
      <c r="K29" s="1" t="s">
        <v>4285</v>
      </c>
      <c r="M29" s="1" t="s">
        <v>4299</v>
      </c>
      <c r="N29" s="1">
        <v>89834.820000000022</v>
      </c>
      <c r="T29"/>
      <c r="U29"/>
      <c r="V29"/>
      <c r="W29"/>
      <c r="X29"/>
      <c r="Y29"/>
      <c r="Z29"/>
    </row>
    <row r="30" spans="1:4791" x14ac:dyDescent="0.25">
      <c r="A30" s="8" t="s">
        <v>3</v>
      </c>
      <c r="B30" s="1" t="s">
        <v>4286</v>
      </c>
      <c r="E30"/>
      <c r="G30" s="8" t="s">
        <v>4288</v>
      </c>
      <c r="H30" s="1" t="s">
        <v>4285</v>
      </c>
      <c r="J30" s="1" t="s">
        <v>3071</v>
      </c>
      <c r="K30" s="10">
        <v>0.20833333333333334</v>
      </c>
      <c r="M30" s="1" t="s">
        <v>4298</v>
      </c>
      <c r="N30" s="1">
        <v>69321.650000000023</v>
      </c>
      <c r="T30"/>
      <c r="U30"/>
      <c r="V30"/>
      <c r="W30"/>
      <c r="X30"/>
      <c r="Y30"/>
      <c r="Z30"/>
    </row>
    <row r="31" spans="1:4791" x14ac:dyDescent="0.25">
      <c r="A31" s="1" t="s">
        <v>2406</v>
      </c>
      <c r="B31" s="1">
        <v>195620.11000000002</v>
      </c>
      <c r="G31" s="1" t="s">
        <v>3069</v>
      </c>
      <c r="H31" s="1">
        <v>246</v>
      </c>
      <c r="J31" s="1" t="s">
        <v>3073</v>
      </c>
      <c r="K31" s="10">
        <v>0.1925</v>
      </c>
      <c r="M31" s="1" t="s">
        <v>4284</v>
      </c>
      <c r="N31" s="1">
        <v>1264761.9600000004</v>
      </c>
      <c r="T31"/>
      <c r="U31"/>
      <c r="V31"/>
      <c r="W31"/>
      <c r="X31"/>
      <c r="Y31"/>
      <c r="Z31"/>
    </row>
    <row r="32" spans="1:4791" x14ac:dyDescent="0.25">
      <c r="A32" s="1" t="s">
        <v>2409</v>
      </c>
      <c r="B32" s="1">
        <v>167459.93</v>
      </c>
      <c r="E32"/>
      <c r="F32"/>
      <c r="G32" s="1" t="s">
        <v>3067</v>
      </c>
      <c r="H32" s="1">
        <v>234</v>
      </c>
      <c r="I32"/>
      <c r="J32" s="1" t="s">
        <v>3074</v>
      </c>
      <c r="K32" s="10">
        <v>0.19750000000000001</v>
      </c>
      <c r="L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</row>
    <row r="33" spans="1:4791" ht="13.8" customHeight="1" x14ac:dyDescent="0.25">
      <c r="A33" s="1" t="s">
        <v>2408</v>
      </c>
      <c r="B33" s="1">
        <v>192126.55999999994</v>
      </c>
      <c r="E33"/>
      <c r="F33"/>
      <c r="G33" s="1" t="s">
        <v>3065</v>
      </c>
      <c r="H33" s="1">
        <v>232</v>
      </c>
      <c r="I33"/>
      <c r="J33" s="1" t="s">
        <v>3072</v>
      </c>
      <c r="K33" s="10">
        <v>0.20583333333333334</v>
      </c>
      <c r="L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</row>
    <row r="34" spans="1:4791" ht="13.8" customHeight="1" x14ac:dyDescent="0.25">
      <c r="A34" s="1" t="s">
        <v>2403</v>
      </c>
      <c r="B34" s="1">
        <v>175651.40999999997</v>
      </c>
      <c r="E34"/>
      <c r="F34"/>
      <c r="G34" s="1" t="s">
        <v>3068</v>
      </c>
      <c r="H34" s="1">
        <v>230</v>
      </c>
      <c r="I34"/>
      <c r="J34" s="1" t="s">
        <v>3070</v>
      </c>
      <c r="K34" s="10">
        <v>0.19583333333333333</v>
      </c>
      <c r="L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</row>
    <row r="35" spans="1:4791" x14ac:dyDescent="0.25">
      <c r="A35" s="1" t="s">
        <v>2404</v>
      </c>
      <c r="B35" s="1">
        <v>151722.39000000001</v>
      </c>
      <c r="E35"/>
      <c r="F35"/>
      <c r="G35" s="1" t="s">
        <v>3066</v>
      </c>
      <c r="H35" s="1">
        <v>258</v>
      </c>
      <c r="I35"/>
      <c r="J35" s="1" t="s">
        <v>4284</v>
      </c>
      <c r="K35" s="10">
        <v>1</v>
      </c>
      <c r="L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</row>
    <row r="36" spans="1:4791" x14ac:dyDescent="0.25">
      <c r="A36" s="1" t="s">
        <v>2407</v>
      </c>
      <c r="B36" s="1">
        <v>195612.60999999996</v>
      </c>
      <c r="E36"/>
      <c r="F36"/>
      <c r="G36" s="1" t="s">
        <v>4284</v>
      </c>
      <c r="H36" s="1">
        <v>1200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</row>
    <row r="37" spans="1:4791" x14ac:dyDescent="0.25">
      <c r="A37" s="1" t="s">
        <v>2405</v>
      </c>
      <c r="B37" s="1">
        <v>186568.95000000007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</row>
    <row r="38" spans="1:4791" ht="13.8" customHeight="1" x14ac:dyDescent="0.25">
      <c r="A38" s="1" t="s">
        <v>4284</v>
      </c>
      <c r="B38" s="1">
        <v>1264761.9600000004</v>
      </c>
      <c r="E38"/>
      <c r="F38"/>
      <c r="G38"/>
      <c r="H38"/>
      <c r="I38"/>
      <c r="J38"/>
      <c r="K38"/>
      <c r="L38"/>
      <c r="M38"/>
      <c r="N38"/>
      <c r="O38"/>
      <c r="P38" s="17" t="s">
        <v>4333</v>
      </c>
      <c r="Q38" s="17"/>
      <c r="R38" s="17"/>
      <c r="S38" s="17"/>
      <c r="T38"/>
      <c r="U38"/>
      <c r="V38"/>
      <c r="W38"/>
      <c r="X38"/>
      <c r="Y38"/>
      <c r="Z38"/>
      <c r="AA38"/>
      <c r="AB38"/>
    </row>
    <row r="39" spans="1:4791" ht="13.8" customHeight="1" x14ac:dyDescent="0.25">
      <c r="E39"/>
      <c r="F39"/>
      <c r="G39"/>
      <c r="H39"/>
      <c r="I39"/>
      <c r="J39"/>
      <c r="K39"/>
      <c r="L39"/>
      <c r="M39"/>
      <c r="N39"/>
      <c r="O39"/>
      <c r="P39" s="17"/>
      <c r="Q39" s="17"/>
      <c r="R39" s="17"/>
      <c r="S39" s="17"/>
      <c r="T39"/>
      <c r="U39"/>
      <c r="V39"/>
      <c r="W39"/>
      <c r="X39"/>
      <c r="Y39"/>
      <c r="Z39"/>
      <c r="AA39"/>
      <c r="AB39"/>
    </row>
    <row r="40" spans="1:4791" x14ac:dyDescent="0.25">
      <c r="E40"/>
      <c r="F40"/>
      <c r="G40"/>
      <c r="H40"/>
      <c r="I40"/>
      <c r="J40"/>
      <c r="K40"/>
      <c r="L40"/>
      <c r="O40"/>
      <c r="P40" t="s">
        <v>4325</v>
      </c>
      <c r="Q40" t="s">
        <v>4326</v>
      </c>
      <c r="R40" t="s">
        <v>4327</v>
      </c>
      <c r="S40" t="s">
        <v>13</v>
      </c>
      <c r="T40"/>
      <c r="U40"/>
      <c r="V40"/>
      <c r="W40"/>
      <c r="X40"/>
      <c r="Y40"/>
      <c r="Z40"/>
      <c r="AA40"/>
      <c r="AB40"/>
    </row>
    <row r="41" spans="1:4791" x14ac:dyDescent="0.25">
      <c r="E41"/>
      <c r="F41"/>
      <c r="G41"/>
      <c r="H41"/>
      <c r="I41"/>
      <c r="J41"/>
      <c r="K41" s="9" t="s">
        <v>4331</v>
      </c>
      <c r="L41"/>
      <c r="M41" s="1" t="s">
        <v>4328</v>
      </c>
      <c r="N41" s="1" t="s">
        <v>4322</v>
      </c>
      <c r="O41"/>
      <c r="P41" t="s">
        <v>4</v>
      </c>
      <c r="Q41" s="12">
        <v>2.9458333333333333</v>
      </c>
      <c r="R41" s="1">
        <f>MEDIAN(Table1[Quantity])</f>
        <v>3</v>
      </c>
      <c r="S41" s="12">
        <v>1200</v>
      </c>
      <c r="T41"/>
      <c r="U41"/>
      <c r="V41"/>
      <c r="W41"/>
      <c r="X41"/>
      <c r="Y41"/>
      <c r="Z41"/>
      <c r="AA41"/>
      <c r="AB41"/>
    </row>
    <row r="42" spans="1:4791" x14ac:dyDescent="0.25">
      <c r="E42"/>
      <c r="F42"/>
      <c r="G42"/>
      <c r="H42"/>
      <c r="I42"/>
      <c r="J42"/>
      <c r="K42" s="1">
        <f>MEDIAN(Table1[Quantity])</f>
        <v>3</v>
      </c>
      <c r="L42"/>
      <c r="M42" s="12">
        <v>1200</v>
      </c>
      <c r="N42" s="12">
        <v>2.9458333333333333</v>
      </c>
      <c r="O42"/>
      <c r="P42" t="s">
        <v>5</v>
      </c>
      <c r="Q42" s="7">
        <v>356.41275000000002</v>
      </c>
      <c r="R42" s="1">
        <f>MEDIAN(Table1[UnitPrice])</f>
        <v>364.21</v>
      </c>
      <c r="S42" s="12">
        <v>1200</v>
      </c>
      <c r="T42"/>
      <c r="U42"/>
      <c r="V42"/>
      <c r="W42"/>
      <c r="X42"/>
      <c r="Y42"/>
      <c r="Z42"/>
      <c r="AA42"/>
      <c r="AB42"/>
    </row>
    <row r="43" spans="1:4791" x14ac:dyDescent="0.25">
      <c r="E43"/>
      <c r="F43"/>
      <c r="G43"/>
      <c r="H43"/>
      <c r="I43"/>
      <c r="J43"/>
      <c r="L43"/>
      <c r="M43"/>
      <c r="N43"/>
      <c r="O43"/>
      <c r="P43" t="s">
        <v>13</v>
      </c>
      <c r="Q43" s="13">
        <v>1053.9683000000005</v>
      </c>
      <c r="R43" s="1">
        <f>MEDIAN(Table1[TotalPrice])</f>
        <v>823.61500000000001</v>
      </c>
      <c r="S43" s="12">
        <v>1200</v>
      </c>
      <c r="T43"/>
      <c r="U43"/>
      <c r="V43"/>
      <c r="W43"/>
      <c r="X43"/>
      <c r="Y43"/>
      <c r="Z43"/>
      <c r="AA43"/>
      <c r="AB43"/>
    </row>
    <row r="44" spans="1:4791" x14ac:dyDescent="0.25">
      <c r="E44"/>
      <c r="F44"/>
      <c r="G44"/>
      <c r="H44"/>
      <c r="I44"/>
      <c r="J44"/>
      <c r="K44" s="9" t="s">
        <v>4332</v>
      </c>
      <c r="L44"/>
      <c r="M44" s="1" t="s">
        <v>4329</v>
      </c>
      <c r="N44" s="1" t="s">
        <v>4323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4791" x14ac:dyDescent="0.25">
      <c r="E45"/>
      <c r="F45"/>
      <c r="G45"/>
      <c r="H45"/>
      <c r="I45"/>
      <c r="J45"/>
      <c r="K45" s="1">
        <f>MEDIAN(Table1[UnitPrice])</f>
        <v>364.21</v>
      </c>
      <c r="L45"/>
      <c r="M45" s="7">
        <v>1200</v>
      </c>
      <c r="N45" s="7">
        <v>356.41275000000002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4791" x14ac:dyDescent="0.25"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4791" x14ac:dyDescent="0.25">
      <c r="D47"/>
      <c r="E47"/>
      <c r="F47"/>
      <c r="G47"/>
      <c r="H47"/>
      <c r="I47"/>
      <c r="J47"/>
      <c r="K47" s="9" t="s">
        <v>4332</v>
      </c>
      <c r="L47"/>
      <c r="M47" s="1" t="s">
        <v>4330</v>
      </c>
      <c r="N47" s="1" t="s">
        <v>4324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4791" x14ac:dyDescent="0.25">
      <c r="D48"/>
      <c r="E48"/>
      <c r="F48"/>
      <c r="G48"/>
      <c r="H48"/>
      <c r="I48"/>
      <c r="J48"/>
      <c r="K48" s="1">
        <f>MEDIAN(Table1[TotalPrice])</f>
        <v>823.61500000000001</v>
      </c>
      <c r="L48"/>
      <c r="M48" s="13">
        <v>1200</v>
      </c>
      <c r="N48" s="13">
        <v>1053.9683000000005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4:28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4:28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4:28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4:28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4:28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4:28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4:28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4:28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4:28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4:28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4:28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4:28" x14ac:dyDescent="0.2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4:28" x14ac:dyDescent="0.2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4:28" x14ac:dyDescent="0.2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4:28" x14ac:dyDescent="0.2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4:28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4:28" x14ac:dyDescent="0.25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4:28" x14ac:dyDescent="0.25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4:28" x14ac:dyDescent="0.25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4:28" x14ac:dyDescent="0.25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4:28" x14ac:dyDescent="0.2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4:28" x14ac:dyDescent="0.25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4:28" x14ac:dyDescent="0.25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4:28" x14ac:dyDescent="0.25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4:28" x14ac:dyDescent="0.2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4:28" x14ac:dyDescent="0.25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4:28" x14ac:dyDescent="0.25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4:28" x14ac:dyDescent="0.25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4:28" x14ac:dyDescent="0.25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4:28" x14ac:dyDescent="0.25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4:28" x14ac:dyDescent="0.25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4:28" x14ac:dyDescent="0.25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4:28" x14ac:dyDescent="0.25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4:28" x14ac:dyDescent="0.25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4:28" x14ac:dyDescent="0.25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4:28" x14ac:dyDescent="0.25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4:28" x14ac:dyDescent="0.25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4:28" x14ac:dyDescent="0.25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4:28" x14ac:dyDescent="0.25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4:28" x14ac:dyDescent="0.25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4:28" x14ac:dyDescent="0.25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4:28" x14ac:dyDescent="0.25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4:28" x14ac:dyDescent="0.25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4:28" x14ac:dyDescent="0.25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4:28" x14ac:dyDescent="0.25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4:28" x14ac:dyDescent="0.25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4:28" x14ac:dyDescent="0.25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4:28" x14ac:dyDescent="0.25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4:28" x14ac:dyDescent="0.25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4:28" x14ac:dyDescent="0.25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4:28" x14ac:dyDescent="0.25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4:28" x14ac:dyDescent="0.25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4:28" x14ac:dyDescent="0.25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4:28" x14ac:dyDescent="0.25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4:28" x14ac:dyDescent="0.25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4:28" x14ac:dyDescent="0.25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4:28" x14ac:dyDescent="0.25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4:28" x14ac:dyDescent="0.25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4:28" x14ac:dyDescent="0.25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4:28" x14ac:dyDescent="0.25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4:28" x14ac:dyDescent="0.25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4:28" x14ac:dyDescent="0.25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4:28" x14ac:dyDescent="0.25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4:28" x14ac:dyDescent="0.25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4:28" x14ac:dyDescent="0.25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4:28" x14ac:dyDescent="0.25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4:28" x14ac:dyDescent="0.25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4:28" x14ac:dyDescent="0.25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4:28" x14ac:dyDescent="0.25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4:28" x14ac:dyDescent="0.25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4:28" x14ac:dyDescent="0.25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4:28" x14ac:dyDescent="0.25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4:28" x14ac:dyDescent="0.25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4:28" x14ac:dyDescent="0.25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4:28" x14ac:dyDescent="0.25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4:28" x14ac:dyDescent="0.25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4:28" x14ac:dyDescent="0.25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4:28" x14ac:dyDescent="0.25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4:28" x14ac:dyDescent="0.25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4:28" x14ac:dyDescent="0.25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4:28" x14ac:dyDescent="0.25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4:28" x14ac:dyDescent="0.25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4:28" x14ac:dyDescent="0.25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4:28" x14ac:dyDescent="0.25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4:28" x14ac:dyDescent="0.25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4:28" x14ac:dyDescent="0.25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4:28" x14ac:dyDescent="0.25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4:28" x14ac:dyDescent="0.25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4:28" x14ac:dyDescent="0.25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4:28" x14ac:dyDescent="0.25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4:28" x14ac:dyDescent="0.25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4:28" x14ac:dyDescent="0.25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4:28" x14ac:dyDescent="0.25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4:28" x14ac:dyDescent="0.25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4:28" x14ac:dyDescent="0.25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4:28" x14ac:dyDescent="0.25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4:28" x14ac:dyDescent="0.25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4:28" x14ac:dyDescent="0.25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4:28" x14ac:dyDescent="0.25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4:28" x14ac:dyDescent="0.25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4:28" x14ac:dyDescent="0.25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4:28" x14ac:dyDescent="0.25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4:28" x14ac:dyDescent="0.25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4:28" x14ac:dyDescent="0.25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4:28" x14ac:dyDescent="0.25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4:28" x14ac:dyDescent="0.25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4:28" x14ac:dyDescent="0.25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4:28" x14ac:dyDescent="0.25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4:28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4:28" x14ac:dyDescent="0.25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4:28" x14ac:dyDescent="0.25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4:28" x14ac:dyDescent="0.25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4:28" x14ac:dyDescent="0.25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4:28" x14ac:dyDescent="0.25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4:28" x14ac:dyDescent="0.25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4:28" x14ac:dyDescent="0.25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4:28" x14ac:dyDescent="0.25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4:28" x14ac:dyDescent="0.25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4:28" x14ac:dyDescent="0.25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4:28" x14ac:dyDescent="0.25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4:28" x14ac:dyDescent="0.25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4:28" x14ac:dyDescent="0.25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4:28" x14ac:dyDescent="0.25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4:28" x14ac:dyDescent="0.25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4:28" x14ac:dyDescent="0.25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4:28" x14ac:dyDescent="0.25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4:28" x14ac:dyDescent="0.25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4:28" x14ac:dyDescent="0.25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4:28" x14ac:dyDescent="0.25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4:28" x14ac:dyDescent="0.25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4:28" x14ac:dyDescent="0.25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4:28" x14ac:dyDescent="0.25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4:28" x14ac:dyDescent="0.25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4:28" x14ac:dyDescent="0.25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4:28" x14ac:dyDescent="0.25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4:28" x14ac:dyDescent="0.25"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4:28" x14ac:dyDescent="0.25"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4:28" x14ac:dyDescent="0.25"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4:28" x14ac:dyDescent="0.25"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4:28" x14ac:dyDescent="0.25"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4:28" x14ac:dyDescent="0.25"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4:28" x14ac:dyDescent="0.25"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4:28" x14ac:dyDescent="0.25"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4:28" x14ac:dyDescent="0.25"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4:28" x14ac:dyDescent="0.25"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4:28" x14ac:dyDescent="0.25"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4:28" x14ac:dyDescent="0.25"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4:28" x14ac:dyDescent="0.25"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4:28" x14ac:dyDescent="0.25"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4:28" x14ac:dyDescent="0.25"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4:28" x14ac:dyDescent="0.25"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4:28" x14ac:dyDescent="0.25"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4:28" x14ac:dyDescent="0.25"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4:28" x14ac:dyDescent="0.25"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4:28" x14ac:dyDescent="0.25"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4:28" x14ac:dyDescent="0.25"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4:28" x14ac:dyDescent="0.25"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4:28" x14ac:dyDescent="0.25"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4:28" x14ac:dyDescent="0.25"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4:28" x14ac:dyDescent="0.25"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4:28" x14ac:dyDescent="0.25"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4:28" x14ac:dyDescent="0.25"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4:28" x14ac:dyDescent="0.25"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4:28" x14ac:dyDescent="0.25"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4:28" x14ac:dyDescent="0.25"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4:28" x14ac:dyDescent="0.25"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4:28" x14ac:dyDescent="0.25"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4:28" x14ac:dyDescent="0.25"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4:28" x14ac:dyDescent="0.25"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4:28" x14ac:dyDescent="0.25"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4:28" x14ac:dyDescent="0.25"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4:28" x14ac:dyDescent="0.25"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4:28" x14ac:dyDescent="0.25"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4:28" x14ac:dyDescent="0.25"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4:28" x14ac:dyDescent="0.25"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4:28" x14ac:dyDescent="0.25"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4:28" x14ac:dyDescent="0.25"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4:28" x14ac:dyDescent="0.25"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4:28" x14ac:dyDescent="0.25"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4:28" x14ac:dyDescent="0.25"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4:28" x14ac:dyDescent="0.25"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4:28" x14ac:dyDescent="0.25"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4:28" x14ac:dyDescent="0.25"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4:28" x14ac:dyDescent="0.25"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4:28" x14ac:dyDescent="0.25"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4:28" x14ac:dyDescent="0.25"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4:28" x14ac:dyDescent="0.25"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4:28" x14ac:dyDescent="0.25"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4:28" x14ac:dyDescent="0.25"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4:28" x14ac:dyDescent="0.25"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4:28" x14ac:dyDescent="0.25"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4:28" x14ac:dyDescent="0.25"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4:28" x14ac:dyDescent="0.25"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4:28" x14ac:dyDescent="0.25"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4:28" x14ac:dyDescent="0.25"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4:28" x14ac:dyDescent="0.25"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4:28" x14ac:dyDescent="0.25"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4:28" x14ac:dyDescent="0.25"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4:28" x14ac:dyDescent="0.25"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4:28" x14ac:dyDescent="0.25"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4:28" x14ac:dyDescent="0.25"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4:28" x14ac:dyDescent="0.25"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4:28" x14ac:dyDescent="0.25"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4:28" x14ac:dyDescent="0.25"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4:28" x14ac:dyDescent="0.25"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4:28" x14ac:dyDescent="0.25"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4:28" x14ac:dyDescent="0.25"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4:28" x14ac:dyDescent="0.25"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4:28" x14ac:dyDescent="0.25"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4:28" x14ac:dyDescent="0.25"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4:28" x14ac:dyDescent="0.25"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4:28" x14ac:dyDescent="0.25"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4:28" x14ac:dyDescent="0.25"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4:28" x14ac:dyDescent="0.25"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4:28" x14ac:dyDescent="0.25"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4:28" x14ac:dyDescent="0.25"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4:28" x14ac:dyDescent="0.25"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4:28" x14ac:dyDescent="0.25"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4:28" x14ac:dyDescent="0.25"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4:28" x14ac:dyDescent="0.25"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4:28" x14ac:dyDescent="0.25"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4:28" x14ac:dyDescent="0.25"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4:28" x14ac:dyDescent="0.25"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4:28" x14ac:dyDescent="0.25"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4:28" x14ac:dyDescent="0.25"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4:28" x14ac:dyDescent="0.25"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4:28" x14ac:dyDescent="0.25"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4:28" x14ac:dyDescent="0.25"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4:28" x14ac:dyDescent="0.25"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4:28" x14ac:dyDescent="0.25"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4:28" x14ac:dyDescent="0.25"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4:28" x14ac:dyDescent="0.25"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4:28" x14ac:dyDescent="0.25"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4:28" x14ac:dyDescent="0.25"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4:28" x14ac:dyDescent="0.25"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4:28" x14ac:dyDescent="0.25"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4:28" x14ac:dyDescent="0.25"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4:28" x14ac:dyDescent="0.25"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4:28" x14ac:dyDescent="0.25"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4:28" x14ac:dyDescent="0.25"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4:28" x14ac:dyDescent="0.25"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4:28" x14ac:dyDescent="0.25"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4:28" x14ac:dyDescent="0.25"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4:28" x14ac:dyDescent="0.25"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4:28" x14ac:dyDescent="0.25"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4:28" x14ac:dyDescent="0.25"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4:28" x14ac:dyDescent="0.25"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4:28" x14ac:dyDescent="0.25"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4:28" x14ac:dyDescent="0.25"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4:28" x14ac:dyDescent="0.25"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4:28" x14ac:dyDescent="0.25"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4:28" x14ac:dyDescent="0.25"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4:28" x14ac:dyDescent="0.25"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4:28" x14ac:dyDescent="0.25"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4:28" x14ac:dyDescent="0.25"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4:28" x14ac:dyDescent="0.25"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4:28" x14ac:dyDescent="0.25"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4:28" x14ac:dyDescent="0.25"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4:28" x14ac:dyDescent="0.25"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4:28" x14ac:dyDescent="0.25"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4:28" x14ac:dyDescent="0.25"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4:28" x14ac:dyDescent="0.25"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4:28" x14ac:dyDescent="0.25"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4:28" x14ac:dyDescent="0.25"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4:28" x14ac:dyDescent="0.25"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4:28" x14ac:dyDescent="0.25"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4:28" x14ac:dyDescent="0.25"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4:28" x14ac:dyDescent="0.25"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4:28" x14ac:dyDescent="0.25"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4:28" x14ac:dyDescent="0.25"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4:28" x14ac:dyDescent="0.25"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4:28" x14ac:dyDescent="0.25"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4:28" x14ac:dyDescent="0.25"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4:28" x14ac:dyDescent="0.25"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4:28" x14ac:dyDescent="0.25"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4:28" x14ac:dyDescent="0.25"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4:28" x14ac:dyDescent="0.25"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4:28" x14ac:dyDescent="0.25"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4:28" x14ac:dyDescent="0.25"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4:28" x14ac:dyDescent="0.25"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4:28" x14ac:dyDescent="0.25"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4:28" x14ac:dyDescent="0.25"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4:28" x14ac:dyDescent="0.25"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4:28" x14ac:dyDescent="0.25"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4:28" x14ac:dyDescent="0.25"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4:28" x14ac:dyDescent="0.25"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4:28" x14ac:dyDescent="0.25"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4:28" x14ac:dyDescent="0.25"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4:28" x14ac:dyDescent="0.25"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4:28" x14ac:dyDescent="0.25"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4:28" x14ac:dyDescent="0.25"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4:28" x14ac:dyDescent="0.25"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4:28" x14ac:dyDescent="0.25"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4:28" x14ac:dyDescent="0.25"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4:28" x14ac:dyDescent="0.25"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4:28" x14ac:dyDescent="0.25"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4:28" x14ac:dyDescent="0.25"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4:28" x14ac:dyDescent="0.25"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4:28" x14ac:dyDescent="0.25"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4:28" x14ac:dyDescent="0.25"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4:28" x14ac:dyDescent="0.25"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4:28" x14ac:dyDescent="0.25"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4:28" x14ac:dyDescent="0.25"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4:28" x14ac:dyDescent="0.25"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4:28" x14ac:dyDescent="0.25"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4:28" x14ac:dyDescent="0.25"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4:28" x14ac:dyDescent="0.25"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4:28" x14ac:dyDescent="0.25"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4:28" x14ac:dyDescent="0.25"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4:28" x14ac:dyDescent="0.25"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4:28" x14ac:dyDescent="0.25"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4:28" x14ac:dyDescent="0.25"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4:28" x14ac:dyDescent="0.25"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4:28" x14ac:dyDescent="0.25"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4:28" x14ac:dyDescent="0.25"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4:28" x14ac:dyDescent="0.25"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4:28" x14ac:dyDescent="0.25"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4:28" x14ac:dyDescent="0.25"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4:28" x14ac:dyDescent="0.25"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4:28" x14ac:dyDescent="0.25"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4:28" x14ac:dyDescent="0.25"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4:28" x14ac:dyDescent="0.25"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4:28" x14ac:dyDescent="0.25"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4:28" x14ac:dyDescent="0.25"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4:28" x14ac:dyDescent="0.25"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4:28" x14ac:dyDescent="0.25"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4:28" x14ac:dyDescent="0.25"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4:28" x14ac:dyDescent="0.25"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4:28" x14ac:dyDescent="0.25"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4:28" x14ac:dyDescent="0.25"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4:28" x14ac:dyDescent="0.25"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4:28" x14ac:dyDescent="0.25"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4:28" x14ac:dyDescent="0.25"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4:28" x14ac:dyDescent="0.25"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4:28" x14ac:dyDescent="0.25"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4:28" x14ac:dyDescent="0.25"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4:28" x14ac:dyDescent="0.25"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4:28" x14ac:dyDescent="0.25"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4:28" x14ac:dyDescent="0.25"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4:28" x14ac:dyDescent="0.25"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4:28" x14ac:dyDescent="0.25"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4:28" x14ac:dyDescent="0.25"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4:28" x14ac:dyDescent="0.25"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4:28" x14ac:dyDescent="0.25"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4:28" x14ac:dyDescent="0.25"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4:28" x14ac:dyDescent="0.25"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4:28" x14ac:dyDescent="0.25"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4:28" x14ac:dyDescent="0.25"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4:28" x14ac:dyDescent="0.25"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4:28" x14ac:dyDescent="0.25"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4:28" x14ac:dyDescent="0.25"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4:28" x14ac:dyDescent="0.25"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4:28" x14ac:dyDescent="0.25"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4:28" x14ac:dyDescent="0.25"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4:28" x14ac:dyDescent="0.25"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4:28" x14ac:dyDescent="0.25"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4:28" x14ac:dyDescent="0.25"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4:28" x14ac:dyDescent="0.25"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4:28" x14ac:dyDescent="0.25"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4:28" x14ac:dyDescent="0.25"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4:28" x14ac:dyDescent="0.25"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4:28" x14ac:dyDescent="0.25"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4:28" x14ac:dyDescent="0.25"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4:28" x14ac:dyDescent="0.25"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4:28" x14ac:dyDescent="0.25"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4:28" x14ac:dyDescent="0.25"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4:28" x14ac:dyDescent="0.25"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4:28" x14ac:dyDescent="0.25"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4:28" x14ac:dyDescent="0.25"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4:28" x14ac:dyDescent="0.25"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4:28" x14ac:dyDescent="0.25"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4:28" x14ac:dyDescent="0.25"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4:28" x14ac:dyDescent="0.25"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4:28" x14ac:dyDescent="0.25"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4:28" x14ac:dyDescent="0.25"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4:28" x14ac:dyDescent="0.25"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4:28" x14ac:dyDescent="0.25"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4:28" x14ac:dyDescent="0.25"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4:28" x14ac:dyDescent="0.25"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4:28" x14ac:dyDescent="0.25"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4:28" x14ac:dyDescent="0.25"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4:28" x14ac:dyDescent="0.25"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4:28" x14ac:dyDescent="0.25"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4:28" x14ac:dyDescent="0.25"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4:28" x14ac:dyDescent="0.25"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4:28" x14ac:dyDescent="0.25"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4:28" x14ac:dyDescent="0.25"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4:28" x14ac:dyDescent="0.25"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4:28" x14ac:dyDescent="0.25"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4:28" x14ac:dyDescent="0.25"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4:28" x14ac:dyDescent="0.25"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4:28" x14ac:dyDescent="0.25"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4:28" x14ac:dyDescent="0.25"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4:28" x14ac:dyDescent="0.25"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4:28" x14ac:dyDescent="0.25"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4:28" x14ac:dyDescent="0.25"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4:28" x14ac:dyDescent="0.25"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4:28" x14ac:dyDescent="0.25"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4:28" x14ac:dyDescent="0.25"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4:28" x14ac:dyDescent="0.25"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4:28" x14ac:dyDescent="0.25"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4:28" x14ac:dyDescent="0.25"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4:28" x14ac:dyDescent="0.25"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4:28" x14ac:dyDescent="0.25"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4:28" x14ac:dyDescent="0.25"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4:28" x14ac:dyDescent="0.25"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4:28" x14ac:dyDescent="0.25"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4:28" x14ac:dyDescent="0.25"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4:28" x14ac:dyDescent="0.25"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4:28" x14ac:dyDescent="0.25"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4:28" x14ac:dyDescent="0.25"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 spans="4:28" x14ac:dyDescent="0.25"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 spans="4:28" x14ac:dyDescent="0.25"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4:28" x14ac:dyDescent="0.25"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 spans="4:28" x14ac:dyDescent="0.25"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4:28" x14ac:dyDescent="0.25"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 spans="4:28" x14ac:dyDescent="0.25"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 spans="4:28" x14ac:dyDescent="0.25"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 spans="4:28" x14ac:dyDescent="0.25"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 spans="4:28" x14ac:dyDescent="0.25"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 spans="4:28" x14ac:dyDescent="0.25"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4:28" x14ac:dyDescent="0.25"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 spans="4:28" x14ac:dyDescent="0.25"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 spans="4:28" x14ac:dyDescent="0.25"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4:28" x14ac:dyDescent="0.25"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 spans="4:28" x14ac:dyDescent="0.25"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 spans="4:28" x14ac:dyDescent="0.25"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 spans="4:28" x14ac:dyDescent="0.25"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 spans="4:28" x14ac:dyDescent="0.25"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 spans="4:28" x14ac:dyDescent="0.25"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 spans="4:28" x14ac:dyDescent="0.25"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 spans="4:28" x14ac:dyDescent="0.25"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4:28" x14ac:dyDescent="0.25"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 spans="4:28" x14ac:dyDescent="0.25"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 spans="4:28" x14ac:dyDescent="0.25"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 spans="4:28" x14ac:dyDescent="0.25"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 spans="4:28" x14ac:dyDescent="0.25"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 spans="4:28" x14ac:dyDescent="0.25"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 spans="4:28" x14ac:dyDescent="0.25"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 spans="4:28" x14ac:dyDescent="0.25"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 spans="4:28" x14ac:dyDescent="0.25"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 spans="4:28" x14ac:dyDescent="0.25"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 spans="4:28" x14ac:dyDescent="0.25"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 spans="4:28" x14ac:dyDescent="0.25"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 spans="4:28" x14ac:dyDescent="0.25"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 spans="4:28" x14ac:dyDescent="0.25"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 spans="4:28" x14ac:dyDescent="0.25"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 spans="4:28" x14ac:dyDescent="0.25"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 spans="4:28" x14ac:dyDescent="0.25"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 spans="4:28" x14ac:dyDescent="0.25"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 spans="4:28" x14ac:dyDescent="0.25"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 spans="4:28" x14ac:dyDescent="0.25"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 spans="4:28" x14ac:dyDescent="0.25"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</row>
    <row r="502" spans="4:28" x14ac:dyDescent="0.25"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 spans="4:28" x14ac:dyDescent="0.25"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 spans="4:28" x14ac:dyDescent="0.25"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 spans="4:28" x14ac:dyDescent="0.25"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 spans="4:28" x14ac:dyDescent="0.25"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</row>
    <row r="507" spans="4:28" x14ac:dyDescent="0.25"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 spans="4:28" x14ac:dyDescent="0.25"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4:28" x14ac:dyDescent="0.25"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</row>
    <row r="510" spans="4:28" x14ac:dyDescent="0.25"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</row>
    <row r="511" spans="4:28" x14ac:dyDescent="0.25"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 spans="4:28" x14ac:dyDescent="0.25"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 spans="4:28" x14ac:dyDescent="0.25"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</row>
    <row r="514" spans="4:28" x14ac:dyDescent="0.25"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 spans="4:28" x14ac:dyDescent="0.25"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 spans="4:28" x14ac:dyDescent="0.25"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 spans="4:28" x14ac:dyDescent="0.25"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</row>
    <row r="518" spans="4:28" x14ac:dyDescent="0.25"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</row>
    <row r="519" spans="4:28" x14ac:dyDescent="0.25"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 spans="4:28" x14ac:dyDescent="0.25"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</row>
    <row r="521" spans="4:28" x14ac:dyDescent="0.25"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 spans="4:28" x14ac:dyDescent="0.25"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</row>
    <row r="523" spans="4:28" x14ac:dyDescent="0.25"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 spans="4:28" x14ac:dyDescent="0.25"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</row>
    <row r="525" spans="4:28" x14ac:dyDescent="0.25"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</row>
    <row r="526" spans="4:28" x14ac:dyDescent="0.25"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 spans="4:28" x14ac:dyDescent="0.25"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</row>
    <row r="528" spans="4:28" x14ac:dyDescent="0.25"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</row>
    <row r="529" spans="4:28" x14ac:dyDescent="0.25"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4:28" x14ac:dyDescent="0.25"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</row>
    <row r="531" spans="4:28" x14ac:dyDescent="0.25"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4:28" x14ac:dyDescent="0.25"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4:28" x14ac:dyDescent="0.25"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4:28" x14ac:dyDescent="0.25"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4:28" x14ac:dyDescent="0.25"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  <row r="536" spans="4:28" x14ac:dyDescent="0.25"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</row>
    <row r="537" spans="4:28" x14ac:dyDescent="0.25"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</row>
    <row r="538" spans="4:28" x14ac:dyDescent="0.25"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</row>
    <row r="539" spans="4:28" x14ac:dyDescent="0.25"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</row>
    <row r="540" spans="4:28" x14ac:dyDescent="0.25"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</row>
    <row r="541" spans="4:28" x14ac:dyDescent="0.25"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</row>
    <row r="542" spans="4:28" x14ac:dyDescent="0.25"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</row>
    <row r="543" spans="4:28" x14ac:dyDescent="0.25"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</row>
    <row r="544" spans="4:28" x14ac:dyDescent="0.25"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4:28" x14ac:dyDescent="0.25"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 spans="4:28" x14ac:dyDescent="0.25"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</row>
    <row r="547" spans="4:28" x14ac:dyDescent="0.25"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</row>
    <row r="548" spans="4:28" x14ac:dyDescent="0.25"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</row>
    <row r="549" spans="4:28" x14ac:dyDescent="0.25"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</row>
    <row r="550" spans="4:28" x14ac:dyDescent="0.25"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</row>
    <row r="551" spans="4:28" x14ac:dyDescent="0.25"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 spans="4:28" x14ac:dyDescent="0.25"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 spans="4:28" x14ac:dyDescent="0.25"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 spans="4:28" x14ac:dyDescent="0.25"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</row>
    <row r="555" spans="4:28" x14ac:dyDescent="0.25"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 spans="4:28" x14ac:dyDescent="0.25"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 spans="4:28" x14ac:dyDescent="0.25"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 spans="4:28" x14ac:dyDescent="0.25"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</row>
    <row r="559" spans="4:28" x14ac:dyDescent="0.25"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 spans="4:28" x14ac:dyDescent="0.25"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4:28" x14ac:dyDescent="0.25"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</row>
    <row r="562" spans="4:28" x14ac:dyDescent="0.25"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</row>
    <row r="563" spans="4:28" x14ac:dyDescent="0.25"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4:28" x14ac:dyDescent="0.25"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 spans="4:28" x14ac:dyDescent="0.25"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 spans="4:28" x14ac:dyDescent="0.25"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 spans="4:28" x14ac:dyDescent="0.25"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</row>
    <row r="568" spans="4:28" x14ac:dyDescent="0.25"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 spans="4:28" x14ac:dyDescent="0.25"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 spans="4:28" x14ac:dyDescent="0.25"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</row>
    <row r="571" spans="4:28" x14ac:dyDescent="0.25"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</row>
    <row r="572" spans="4:28" x14ac:dyDescent="0.25"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</row>
    <row r="573" spans="4:28" x14ac:dyDescent="0.25"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</row>
    <row r="574" spans="4:28" x14ac:dyDescent="0.25"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</row>
    <row r="575" spans="4:28" x14ac:dyDescent="0.25"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</row>
    <row r="576" spans="4:28" x14ac:dyDescent="0.25"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</row>
    <row r="577" spans="4:28" x14ac:dyDescent="0.25"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4:28" x14ac:dyDescent="0.25"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 spans="4:28" x14ac:dyDescent="0.25"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 spans="4:28" x14ac:dyDescent="0.25"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4:28" x14ac:dyDescent="0.25"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 spans="4:28" x14ac:dyDescent="0.25"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</row>
    <row r="583" spans="4:28" x14ac:dyDescent="0.25"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 spans="4:28" x14ac:dyDescent="0.25"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</row>
    <row r="585" spans="4:28" x14ac:dyDescent="0.25"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</row>
    <row r="586" spans="4:28" x14ac:dyDescent="0.25"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</row>
    <row r="587" spans="4:28" x14ac:dyDescent="0.25"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</row>
    <row r="588" spans="4:28" x14ac:dyDescent="0.25"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4:28" x14ac:dyDescent="0.25"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 spans="4:28" x14ac:dyDescent="0.25"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 spans="4:28" x14ac:dyDescent="0.25"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 spans="4:28" x14ac:dyDescent="0.25"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</row>
    <row r="593" spans="4:28" x14ac:dyDescent="0.25"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 spans="4:28" x14ac:dyDescent="0.25"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</row>
    <row r="595" spans="4:28" x14ac:dyDescent="0.25"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</row>
    <row r="596" spans="4:28" x14ac:dyDescent="0.25"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4:28" x14ac:dyDescent="0.25"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 spans="4:28" x14ac:dyDescent="0.25"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 spans="4:28" x14ac:dyDescent="0.25"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 spans="4:28" x14ac:dyDescent="0.25"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4:28" x14ac:dyDescent="0.25"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 spans="4:28" x14ac:dyDescent="0.25"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 spans="4:28" x14ac:dyDescent="0.25"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 spans="4:28" x14ac:dyDescent="0.25"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 spans="4:28" x14ac:dyDescent="0.25"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 spans="4:28" x14ac:dyDescent="0.25"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 spans="4:28" x14ac:dyDescent="0.25"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 spans="4:28" x14ac:dyDescent="0.25"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 spans="4:28" x14ac:dyDescent="0.25"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 spans="4:28" x14ac:dyDescent="0.25"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 spans="4:28" x14ac:dyDescent="0.25"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 spans="4:28" x14ac:dyDescent="0.25"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 spans="4:28" x14ac:dyDescent="0.25"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 spans="4:28" x14ac:dyDescent="0.25"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 spans="4:28" x14ac:dyDescent="0.25"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 spans="4:28" x14ac:dyDescent="0.25"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 spans="4:28" x14ac:dyDescent="0.25"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 spans="4:28" x14ac:dyDescent="0.25"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 spans="4:28" x14ac:dyDescent="0.25"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 spans="4:28" x14ac:dyDescent="0.25"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 spans="4:28" x14ac:dyDescent="0.25"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 spans="4:28" x14ac:dyDescent="0.25"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 spans="4:28" x14ac:dyDescent="0.25"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 spans="4:28" x14ac:dyDescent="0.25"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 spans="4:28" x14ac:dyDescent="0.25"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 spans="4:28" x14ac:dyDescent="0.25"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 spans="4:28" x14ac:dyDescent="0.25"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 spans="4:28" x14ac:dyDescent="0.25"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 spans="4:28" x14ac:dyDescent="0.25"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 spans="4:28" x14ac:dyDescent="0.25"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 spans="4:28" x14ac:dyDescent="0.25"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 spans="4:28" x14ac:dyDescent="0.25"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 spans="4:28" x14ac:dyDescent="0.25"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 spans="4:28" x14ac:dyDescent="0.25"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 spans="4:28" x14ac:dyDescent="0.25"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 spans="4:28" x14ac:dyDescent="0.25"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 spans="4:28" x14ac:dyDescent="0.25"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4:28" x14ac:dyDescent="0.25"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 spans="4:28" x14ac:dyDescent="0.25"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 spans="4:28" x14ac:dyDescent="0.25"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 spans="4:28" x14ac:dyDescent="0.25"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 spans="4:28" x14ac:dyDescent="0.25"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 spans="4:28" x14ac:dyDescent="0.25"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 spans="4:28" x14ac:dyDescent="0.25"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 spans="4:28" x14ac:dyDescent="0.25"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 spans="4:28" x14ac:dyDescent="0.25"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 spans="4:28" x14ac:dyDescent="0.25"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 spans="4:28" x14ac:dyDescent="0.25"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 spans="4:28" x14ac:dyDescent="0.25"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 spans="4:28" x14ac:dyDescent="0.25"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 spans="4:28" x14ac:dyDescent="0.25"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 spans="4:28" x14ac:dyDescent="0.25"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 spans="4:28" x14ac:dyDescent="0.25"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 spans="4:28" x14ac:dyDescent="0.25"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 spans="4:28" x14ac:dyDescent="0.25"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 spans="4:28" x14ac:dyDescent="0.25"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 spans="4:28" x14ac:dyDescent="0.25"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 spans="4:28" x14ac:dyDescent="0.25"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 spans="4:28" x14ac:dyDescent="0.25"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 spans="4:28" x14ac:dyDescent="0.25"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 spans="4:28" x14ac:dyDescent="0.25"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 spans="4:28" x14ac:dyDescent="0.25"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 spans="4:28" x14ac:dyDescent="0.25"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 spans="4:28" x14ac:dyDescent="0.25"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 spans="4:28" x14ac:dyDescent="0.25"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 spans="4:28" x14ac:dyDescent="0.25"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 spans="4:28" x14ac:dyDescent="0.25"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 spans="4:28" x14ac:dyDescent="0.25"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 spans="4:28" x14ac:dyDescent="0.25"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 spans="4:28" x14ac:dyDescent="0.25"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 spans="4:28" x14ac:dyDescent="0.25"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 spans="4:28" x14ac:dyDescent="0.25"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4:28" x14ac:dyDescent="0.25"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 spans="4:28" x14ac:dyDescent="0.25"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 spans="4:28" x14ac:dyDescent="0.25"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 spans="4:28" x14ac:dyDescent="0.25"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 spans="4:28" x14ac:dyDescent="0.25"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 spans="4:28" x14ac:dyDescent="0.25"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4:28" x14ac:dyDescent="0.25"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 spans="4:28" x14ac:dyDescent="0.25"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 spans="4:28" x14ac:dyDescent="0.25"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  <row r="682" spans="4:28" x14ac:dyDescent="0.25"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 spans="4:28" x14ac:dyDescent="0.25"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</row>
    <row r="684" spans="4:28" x14ac:dyDescent="0.25"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</row>
    <row r="685" spans="4:28" x14ac:dyDescent="0.25"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 spans="4:28" x14ac:dyDescent="0.25"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</row>
    <row r="687" spans="4:28" x14ac:dyDescent="0.25"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 spans="4:28" x14ac:dyDescent="0.25"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</row>
    <row r="689" spans="4:28" x14ac:dyDescent="0.25"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</row>
    <row r="690" spans="4:28" x14ac:dyDescent="0.25"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</row>
    <row r="691" spans="4:28" x14ac:dyDescent="0.25"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</row>
    <row r="692" spans="4:28" x14ac:dyDescent="0.25"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</row>
    <row r="693" spans="4:28" x14ac:dyDescent="0.25"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 spans="4:28" x14ac:dyDescent="0.25"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</row>
    <row r="695" spans="4:28" x14ac:dyDescent="0.25"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</row>
    <row r="696" spans="4:28" x14ac:dyDescent="0.25"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</row>
    <row r="697" spans="4:28" x14ac:dyDescent="0.25"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</row>
    <row r="698" spans="4:28" x14ac:dyDescent="0.25"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</row>
    <row r="699" spans="4:28" x14ac:dyDescent="0.25"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</row>
    <row r="700" spans="4:28" x14ac:dyDescent="0.25"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</row>
    <row r="701" spans="4:28" x14ac:dyDescent="0.25"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4:28" x14ac:dyDescent="0.25"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 spans="4:28" x14ac:dyDescent="0.25"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4:28" x14ac:dyDescent="0.25"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</row>
    <row r="705" spans="4:28" x14ac:dyDescent="0.25"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</row>
    <row r="706" spans="4:28" x14ac:dyDescent="0.25"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4:28" x14ac:dyDescent="0.25"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 spans="4:28" x14ac:dyDescent="0.25"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</row>
    <row r="709" spans="4:28" x14ac:dyDescent="0.25"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</row>
    <row r="710" spans="4:28" x14ac:dyDescent="0.25"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</row>
    <row r="711" spans="4:28" x14ac:dyDescent="0.25"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</row>
    <row r="712" spans="4:28" x14ac:dyDescent="0.25"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4:28" x14ac:dyDescent="0.25"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4:28" x14ac:dyDescent="0.25"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4:28" x14ac:dyDescent="0.25"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</row>
    <row r="716" spans="4:28" x14ac:dyDescent="0.25"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</row>
    <row r="717" spans="4:28" x14ac:dyDescent="0.25"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</row>
    <row r="718" spans="4:28" x14ac:dyDescent="0.25"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</row>
    <row r="719" spans="4:28" x14ac:dyDescent="0.25"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</row>
    <row r="720" spans="4:28" x14ac:dyDescent="0.25"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</row>
    <row r="721" spans="4:28" x14ac:dyDescent="0.25"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</row>
    <row r="722" spans="4:28" x14ac:dyDescent="0.25"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</row>
    <row r="723" spans="4:28" x14ac:dyDescent="0.25"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</row>
    <row r="724" spans="4:28" x14ac:dyDescent="0.25"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 spans="4:28" x14ac:dyDescent="0.25"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4:28" x14ac:dyDescent="0.25"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 spans="4:28" x14ac:dyDescent="0.25"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</row>
    <row r="728" spans="4:28" x14ac:dyDescent="0.25"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 spans="4:28" x14ac:dyDescent="0.25"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</row>
    <row r="730" spans="4:28" x14ac:dyDescent="0.25"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</row>
    <row r="731" spans="4:28" x14ac:dyDescent="0.25"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4:28" x14ac:dyDescent="0.25"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4:28" x14ac:dyDescent="0.25"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</row>
    <row r="734" spans="4:28" x14ac:dyDescent="0.25"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4:28" x14ac:dyDescent="0.25"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</row>
    <row r="736" spans="4:28" x14ac:dyDescent="0.25"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</row>
    <row r="737" spans="4:28" x14ac:dyDescent="0.25"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 spans="4:28" x14ac:dyDescent="0.25"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</row>
    <row r="739" spans="4:28" x14ac:dyDescent="0.25"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</row>
    <row r="740" spans="4:28" x14ac:dyDescent="0.25"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</row>
    <row r="741" spans="4:28" x14ac:dyDescent="0.25"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</row>
    <row r="742" spans="4:28" x14ac:dyDescent="0.25"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</row>
    <row r="743" spans="4:28" x14ac:dyDescent="0.25"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</row>
    <row r="744" spans="4:28" x14ac:dyDescent="0.25"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 spans="4:28" x14ac:dyDescent="0.25"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</row>
    <row r="746" spans="4:28" x14ac:dyDescent="0.25"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</row>
    <row r="747" spans="4:28" x14ac:dyDescent="0.25"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</row>
    <row r="748" spans="4:28" x14ac:dyDescent="0.25"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</row>
    <row r="749" spans="4:28" x14ac:dyDescent="0.25"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</row>
    <row r="750" spans="4:28" x14ac:dyDescent="0.25"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</row>
    <row r="751" spans="4:28" x14ac:dyDescent="0.25"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 spans="4:28" x14ac:dyDescent="0.25"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 spans="4:28" x14ac:dyDescent="0.25"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</row>
    <row r="754" spans="4:28" x14ac:dyDescent="0.25"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</row>
    <row r="755" spans="4:28" x14ac:dyDescent="0.25"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 spans="4:28" x14ac:dyDescent="0.25"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</row>
    <row r="757" spans="4:28" x14ac:dyDescent="0.25"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</row>
    <row r="758" spans="4:28" x14ac:dyDescent="0.25"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</row>
    <row r="759" spans="4:28" x14ac:dyDescent="0.25"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</row>
    <row r="760" spans="4:28" x14ac:dyDescent="0.25"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</row>
    <row r="761" spans="4:28" x14ac:dyDescent="0.25"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</row>
    <row r="762" spans="4:28" x14ac:dyDescent="0.25"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</row>
    <row r="763" spans="4:28" x14ac:dyDescent="0.25"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</row>
    <row r="764" spans="4:28" x14ac:dyDescent="0.25"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 spans="4:28" x14ac:dyDescent="0.25"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 spans="4:28" x14ac:dyDescent="0.25"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</row>
    <row r="767" spans="4:28" x14ac:dyDescent="0.25"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 spans="4:28" x14ac:dyDescent="0.25"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</row>
    <row r="769" spans="4:28" x14ac:dyDescent="0.25"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</row>
    <row r="770" spans="4:28" x14ac:dyDescent="0.25"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</row>
    <row r="771" spans="4:28" x14ac:dyDescent="0.25"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</row>
    <row r="772" spans="4:28" x14ac:dyDescent="0.25"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</row>
    <row r="773" spans="4:28" x14ac:dyDescent="0.25"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</row>
    <row r="774" spans="4:28" x14ac:dyDescent="0.25"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</row>
    <row r="775" spans="4:28" x14ac:dyDescent="0.25"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</row>
    <row r="776" spans="4:28" x14ac:dyDescent="0.25"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</row>
    <row r="777" spans="4:28" x14ac:dyDescent="0.25"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</row>
    <row r="778" spans="4:28" x14ac:dyDescent="0.25"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</row>
    <row r="779" spans="4:28" x14ac:dyDescent="0.25"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 spans="4:28" x14ac:dyDescent="0.25"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</row>
    <row r="781" spans="4:28" x14ac:dyDescent="0.25"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 spans="4:28" x14ac:dyDescent="0.25"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</row>
    <row r="783" spans="4:28" x14ac:dyDescent="0.25"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 spans="4:28" x14ac:dyDescent="0.25"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4:28" x14ac:dyDescent="0.25"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</row>
    <row r="786" spans="4:28" x14ac:dyDescent="0.25"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 spans="4:28" x14ac:dyDescent="0.25"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</row>
    <row r="788" spans="4:28" x14ac:dyDescent="0.25"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</row>
    <row r="789" spans="4:28" x14ac:dyDescent="0.25"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 spans="4:28" x14ac:dyDescent="0.25"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</row>
    <row r="791" spans="4:28" x14ac:dyDescent="0.25"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</row>
    <row r="792" spans="4:28" x14ac:dyDescent="0.25"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</row>
    <row r="793" spans="4:28" x14ac:dyDescent="0.25"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 spans="4:28" x14ac:dyDescent="0.25"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</row>
    <row r="795" spans="4:28" x14ac:dyDescent="0.25"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</row>
    <row r="796" spans="4:28" x14ac:dyDescent="0.25"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</row>
    <row r="797" spans="4:28" x14ac:dyDescent="0.25"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</row>
    <row r="798" spans="4:28" x14ac:dyDescent="0.25"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</row>
    <row r="799" spans="4:28" x14ac:dyDescent="0.25"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 spans="4:28" x14ac:dyDescent="0.25"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4:28" x14ac:dyDescent="0.25"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</row>
    <row r="802" spans="4:28" x14ac:dyDescent="0.25"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</row>
    <row r="803" spans="4:28" x14ac:dyDescent="0.25"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 spans="4:28" x14ac:dyDescent="0.25"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</row>
    <row r="805" spans="4:28" x14ac:dyDescent="0.25"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</row>
    <row r="806" spans="4:28" x14ac:dyDescent="0.25"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</row>
    <row r="807" spans="4:28" x14ac:dyDescent="0.25"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</row>
    <row r="808" spans="4:28" x14ac:dyDescent="0.25"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</row>
    <row r="809" spans="4:28" x14ac:dyDescent="0.25"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</row>
    <row r="810" spans="4:28" x14ac:dyDescent="0.25"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</row>
    <row r="811" spans="4:28" x14ac:dyDescent="0.25"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</row>
    <row r="812" spans="4:28" x14ac:dyDescent="0.25"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</row>
    <row r="813" spans="4:28" x14ac:dyDescent="0.25"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</row>
    <row r="814" spans="4:28" x14ac:dyDescent="0.25"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</row>
    <row r="815" spans="4:28" x14ac:dyDescent="0.25"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</row>
    <row r="816" spans="4:28" x14ac:dyDescent="0.25"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</row>
    <row r="817" spans="4:28" x14ac:dyDescent="0.25"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</row>
    <row r="818" spans="4:28" x14ac:dyDescent="0.25"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</row>
    <row r="819" spans="4:28" x14ac:dyDescent="0.25"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</row>
    <row r="820" spans="4:28" x14ac:dyDescent="0.25"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</row>
    <row r="821" spans="4:28" x14ac:dyDescent="0.25"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</row>
    <row r="822" spans="4:28" x14ac:dyDescent="0.25"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</row>
    <row r="823" spans="4:28" x14ac:dyDescent="0.25"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</row>
    <row r="824" spans="4:28" x14ac:dyDescent="0.25"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</row>
    <row r="825" spans="4:28" x14ac:dyDescent="0.25"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</row>
    <row r="826" spans="4:28" x14ac:dyDescent="0.25"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</row>
    <row r="827" spans="4:28" x14ac:dyDescent="0.25"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</row>
    <row r="828" spans="4:28" x14ac:dyDescent="0.25"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</row>
    <row r="829" spans="4:28" x14ac:dyDescent="0.25"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</row>
    <row r="830" spans="4:28" x14ac:dyDescent="0.25"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</row>
    <row r="831" spans="4:28" x14ac:dyDescent="0.25"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</row>
    <row r="832" spans="4:28" x14ac:dyDescent="0.25"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</row>
    <row r="833" spans="4:28" x14ac:dyDescent="0.25"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</row>
    <row r="834" spans="4:28" x14ac:dyDescent="0.25"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4:28" x14ac:dyDescent="0.25"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</row>
    <row r="836" spans="4:28" x14ac:dyDescent="0.25"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</row>
    <row r="837" spans="4:28" x14ac:dyDescent="0.25"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</row>
    <row r="838" spans="4:28" x14ac:dyDescent="0.25"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</row>
    <row r="839" spans="4:28" x14ac:dyDescent="0.25"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</row>
    <row r="840" spans="4:28" x14ac:dyDescent="0.25"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</row>
    <row r="841" spans="4:28" x14ac:dyDescent="0.25"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</row>
    <row r="842" spans="4:28" x14ac:dyDescent="0.25"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</row>
    <row r="843" spans="4:28" x14ac:dyDescent="0.25"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</row>
    <row r="844" spans="4:28" x14ac:dyDescent="0.25"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</row>
    <row r="845" spans="4:28" x14ac:dyDescent="0.25"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</row>
    <row r="846" spans="4:28" x14ac:dyDescent="0.25"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</row>
    <row r="847" spans="4:28" x14ac:dyDescent="0.25"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</row>
    <row r="848" spans="4:28" x14ac:dyDescent="0.25"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</row>
    <row r="849" spans="4:28" x14ac:dyDescent="0.25"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</row>
    <row r="850" spans="4:28" x14ac:dyDescent="0.25"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</row>
    <row r="851" spans="4:28" x14ac:dyDescent="0.25"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</row>
    <row r="852" spans="4:28" x14ac:dyDescent="0.25"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</row>
    <row r="853" spans="4:28" x14ac:dyDescent="0.25"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</row>
    <row r="854" spans="4:28" x14ac:dyDescent="0.25"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</row>
    <row r="855" spans="4:28" x14ac:dyDescent="0.25"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</row>
    <row r="856" spans="4:28" x14ac:dyDescent="0.25"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</row>
    <row r="857" spans="4:28" x14ac:dyDescent="0.25"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4:28" x14ac:dyDescent="0.25"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</row>
    <row r="859" spans="4:28" x14ac:dyDescent="0.25"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</row>
    <row r="860" spans="4:28" x14ac:dyDescent="0.25"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</row>
    <row r="861" spans="4:28" x14ac:dyDescent="0.25"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</row>
    <row r="862" spans="4:28" x14ac:dyDescent="0.25"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4:28" x14ac:dyDescent="0.25"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</row>
    <row r="864" spans="4:28" x14ac:dyDescent="0.25"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</row>
    <row r="865" spans="4:28" x14ac:dyDescent="0.25"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</row>
    <row r="866" spans="4:28" x14ac:dyDescent="0.25"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</row>
    <row r="867" spans="4:28" x14ac:dyDescent="0.25"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</row>
    <row r="868" spans="4:28" x14ac:dyDescent="0.25"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</row>
    <row r="869" spans="4:28" x14ac:dyDescent="0.25"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</row>
    <row r="870" spans="4:28" x14ac:dyDescent="0.25"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</row>
    <row r="871" spans="4:28" x14ac:dyDescent="0.25"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</row>
    <row r="872" spans="4:28" x14ac:dyDescent="0.25"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</row>
    <row r="873" spans="4:28" x14ac:dyDescent="0.25"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</row>
    <row r="874" spans="4:28" x14ac:dyDescent="0.25"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 spans="4:28" x14ac:dyDescent="0.25"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</row>
    <row r="876" spans="4:28" x14ac:dyDescent="0.25"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</row>
    <row r="877" spans="4:28" x14ac:dyDescent="0.25"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</row>
    <row r="878" spans="4:28" x14ac:dyDescent="0.25"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 spans="4:28" x14ac:dyDescent="0.25"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4:28" x14ac:dyDescent="0.25"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</row>
    <row r="881" spans="4:28" x14ac:dyDescent="0.25"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</row>
    <row r="882" spans="4:28" x14ac:dyDescent="0.25"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</row>
    <row r="883" spans="4:28" x14ac:dyDescent="0.25"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</row>
    <row r="884" spans="4:28" x14ac:dyDescent="0.25"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</row>
    <row r="885" spans="4:28" x14ac:dyDescent="0.25"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4:28" x14ac:dyDescent="0.25"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</row>
    <row r="887" spans="4:28" x14ac:dyDescent="0.25"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</row>
    <row r="888" spans="4:28" x14ac:dyDescent="0.25"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4:28" x14ac:dyDescent="0.25"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  <row r="890" spans="4:28" x14ac:dyDescent="0.25"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</row>
    <row r="891" spans="4:28" x14ac:dyDescent="0.25"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</row>
    <row r="892" spans="4:28" x14ac:dyDescent="0.25"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</row>
    <row r="893" spans="4:28" x14ac:dyDescent="0.25"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 spans="4:28" x14ac:dyDescent="0.25"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</row>
    <row r="895" spans="4:28" x14ac:dyDescent="0.25"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</row>
    <row r="896" spans="4:28" x14ac:dyDescent="0.25"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</row>
    <row r="897" spans="4:28" x14ac:dyDescent="0.25"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 spans="4:28" x14ac:dyDescent="0.25"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 spans="4:28" x14ac:dyDescent="0.25"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</row>
    <row r="900" spans="4:28" x14ac:dyDescent="0.25"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</row>
    <row r="901" spans="4:28" x14ac:dyDescent="0.25"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</row>
    <row r="902" spans="4:28" x14ac:dyDescent="0.25"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</row>
    <row r="903" spans="4:28" x14ac:dyDescent="0.25"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</row>
    <row r="904" spans="4:28" x14ac:dyDescent="0.25"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</row>
    <row r="905" spans="4:28" x14ac:dyDescent="0.25"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</row>
    <row r="906" spans="4:28" x14ac:dyDescent="0.25"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</row>
    <row r="907" spans="4:28" x14ac:dyDescent="0.25"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 spans="4:28" x14ac:dyDescent="0.25"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</row>
    <row r="909" spans="4:28" x14ac:dyDescent="0.25"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</row>
    <row r="910" spans="4:28" x14ac:dyDescent="0.25"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</row>
    <row r="911" spans="4:28" x14ac:dyDescent="0.25"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</row>
    <row r="912" spans="4:28" x14ac:dyDescent="0.25"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</row>
    <row r="913" spans="4:28" x14ac:dyDescent="0.25"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</row>
    <row r="914" spans="4:28" x14ac:dyDescent="0.25"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</row>
    <row r="915" spans="4:28" x14ac:dyDescent="0.25"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</row>
    <row r="916" spans="4:28" x14ac:dyDescent="0.25"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</row>
    <row r="917" spans="4:28" x14ac:dyDescent="0.25"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</row>
    <row r="918" spans="4:28" x14ac:dyDescent="0.25"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</row>
    <row r="919" spans="4:28" x14ac:dyDescent="0.25"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</row>
    <row r="920" spans="4:28" x14ac:dyDescent="0.25"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</row>
    <row r="921" spans="4:28" x14ac:dyDescent="0.25"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</row>
    <row r="922" spans="4:28" x14ac:dyDescent="0.25"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</row>
    <row r="923" spans="4:28" x14ac:dyDescent="0.25"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</row>
    <row r="924" spans="4:28" x14ac:dyDescent="0.25"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</row>
    <row r="925" spans="4:28" x14ac:dyDescent="0.25"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 spans="4:28" x14ac:dyDescent="0.25"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</row>
    <row r="927" spans="4:28" x14ac:dyDescent="0.25"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</row>
    <row r="928" spans="4:28" x14ac:dyDescent="0.25"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</row>
    <row r="929" spans="4:28" x14ac:dyDescent="0.25"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</row>
    <row r="930" spans="4:28" x14ac:dyDescent="0.25"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</row>
    <row r="931" spans="4:28" x14ac:dyDescent="0.25"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</row>
    <row r="932" spans="4:28" x14ac:dyDescent="0.25"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</row>
    <row r="933" spans="4:28" x14ac:dyDescent="0.25"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</row>
    <row r="934" spans="4:28" x14ac:dyDescent="0.25"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</row>
    <row r="935" spans="4:28" x14ac:dyDescent="0.25"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 spans="4:28" x14ac:dyDescent="0.25"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 spans="4:28" x14ac:dyDescent="0.25"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</row>
    <row r="938" spans="4:28" x14ac:dyDescent="0.25"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 spans="4:28" x14ac:dyDescent="0.25"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</row>
    <row r="940" spans="4:28" x14ac:dyDescent="0.25"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</row>
    <row r="941" spans="4:28" x14ac:dyDescent="0.25"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 spans="4:28" x14ac:dyDescent="0.25"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</row>
    <row r="943" spans="4:28" x14ac:dyDescent="0.25"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</row>
    <row r="944" spans="4:28" x14ac:dyDescent="0.25"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</row>
    <row r="945" spans="4:28" x14ac:dyDescent="0.25"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</row>
    <row r="946" spans="4:28" x14ac:dyDescent="0.25"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</row>
    <row r="947" spans="4:28" x14ac:dyDescent="0.25"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</row>
    <row r="948" spans="4:28" x14ac:dyDescent="0.25"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</row>
    <row r="949" spans="4:28" x14ac:dyDescent="0.25"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</row>
    <row r="950" spans="4:28" x14ac:dyDescent="0.25"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</row>
    <row r="951" spans="4:28" x14ac:dyDescent="0.25"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</row>
    <row r="952" spans="4:28" x14ac:dyDescent="0.25"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</row>
    <row r="953" spans="4:28" x14ac:dyDescent="0.25"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 spans="4:28" x14ac:dyDescent="0.25"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 spans="4:28" x14ac:dyDescent="0.25"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</row>
    <row r="956" spans="4:28" x14ac:dyDescent="0.25"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</row>
    <row r="957" spans="4:28" x14ac:dyDescent="0.25"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</row>
    <row r="958" spans="4:28" x14ac:dyDescent="0.25"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</row>
    <row r="959" spans="4:28" x14ac:dyDescent="0.25"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</row>
    <row r="960" spans="4:28" x14ac:dyDescent="0.25"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</row>
    <row r="961" spans="4:28" x14ac:dyDescent="0.25"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</row>
    <row r="962" spans="4:28" x14ac:dyDescent="0.25"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</row>
    <row r="963" spans="4:28" x14ac:dyDescent="0.25"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</row>
    <row r="964" spans="4:28" x14ac:dyDescent="0.25"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 spans="4:28" x14ac:dyDescent="0.25"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</row>
    <row r="966" spans="4:28" x14ac:dyDescent="0.25"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</row>
    <row r="967" spans="4:28" x14ac:dyDescent="0.25"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</row>
    <row r="968" spans="4:28" x14ac:dyDescent="0.25"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</row>
    <row r="969" spans="4:28" x14ac:dyDescent="0.25"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</row>
    <row r="970" spans="4:28" x14ac:dyDescent="0.25"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</row>
    <row r="971" spans="4:28" x14ac:dyDescent="0.25"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</row>
    <row r="972" spans="4:28" x14ac:dyDescent="0.25"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 spans="4:28" x14ac:dyDescent="0.25"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</row>
    <row r="974" spans="4:28" x14ac:dyDescent="0.25"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 spans="4:28" x14ac:dyDescent="0.25"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</row>
    <row r="976" spans="4:28" x14ac:dyDescent="0.25"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 spans="4:28" x14ac:dyDescent="0.25"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</row>
    <row r="978" spans="4:28" x14ac:dyDescent="0.25"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</row>
    <row r="979" spans="4:28" x14ac:dyDescent="0.25"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</row>
    <row r="980" spans="4:28" x14ac:dyDescent="0.25"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</row>
    <row r="981" spans="4:28" x14ac:dyDescent="0.25"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</row>
    <row r="982" spans="4:28" x14ac:dyDescent="0.25"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 spans="4:28" x14ac:dyDescent="0.25"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</row>
    <row r="984" spans="4:28" x14ac:dyDescent="0.25"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 spans="4:28" x14ac:dyDescent="0.25"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</row>
    <row r="986" spans="4:28" x14ac:dyDescent="0.25"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</row>
    <row r="987" spans="4:28" x14ac:dyDescent="0.25"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</row>
    <row r="988" spans="4:28" x14ac:dyDescent="0.25"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</row>
    <row r="989" spans="4:28" x14ac:dyDescent="0.25"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</row>
    <row r="990" spans="4:28" x14ac:dyDescent="0.25"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 spans="4:28" x14ac:dyDescent="0.25"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</row>
    <row r="992" spans="4:28" x14ac:dyDescent="0.25"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</row>
    <row r="993" spans="4:28" x14ac:dyDescent="0.25"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</row>
    <row r="994" spans="4:28" x14ac:dyDescent="0.25"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</row>
    <row r="995" spans="4:28" x14ac:dyDescent="0.25"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</row>
    <row r="996" spans="4:28" x14ac:dyDescent="0.25"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</row>
    <row r="997" spans="4:28" x14ac:dyDescent="0.25"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</row>
    <row r="998" spans="4:28" x14ac:dyDescent="0.25"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</row>
    <row r="999" spans="4:28" x14ac:dyDescent="0.25"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 spans="4:28" x14ac:dyDescent="0.25"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 spans="4:28" x14ac:dyDescent="0.25"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 spans="4:28" x14ac:dyDescent="0.25"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</row>
    <row r="1003" spans="4:28" x14ac:dyDescent="0.25"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</row>
    <row r="1004" spans="4:28" x14ac:dyDescent="0.25"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</row>
    <row r="1005" spans="4:28" x14ac:dyDescent="0.25"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</row>
    <row r="1006" spans="4:28" x14ac:dyDescent="0.25"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</row>
    <row r="1007" spans="4:28" x14ac:dyDescent="0.25"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 spans="4:28" x14ac:dyDescent="0.25"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</row>
    <row r="1009" spans="4:28" x14ac:dyDescent="0.25"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 spans="4:28" x14ac:dyDescent="0.25"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 spans="4:28" x14ac:dyDescent="0.25"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</row>
    <row r="1012" spans="4:28" x14ac:dyDescent="0.25"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</row>
    <row r="1013" spans="4:28" x14ac:dyDescent="0.25"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</row>
    <row r="1014" spans="4:28" x14ac:dyDescent="0.25"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</row>
    <row r="1015" spans="4:28" x14ac:dyDescent="0.25"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</row>
    <row r="1016" spans="4:28" x14ac:dyDescent="0.25"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</row>
    <row r="1017" spans="4:28" x14ac:dyDescent="0.25"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</row>
    <row r="1018" spans="4:28" x14ac:dyDescent="0.25"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</row>
    <row r="1019" spans="4:28" x14ac:dyDescent="0.25"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</row>
    <row r="1020" spans="4:28" x14ac:dyDescent="0.25"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</row>
    <row r="1021" spans="4:28" x14ac:dyDescent="0.25"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</row>
    <row r="1022" spans="4:28" x14ac:dyDescent="0.25"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</row>
    <row r="1023" spans="4:28" x14ac:dyDescent="0.25"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</row>
    <row r="1024" spans="4:28" x14ac:dyDescent="0.25"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 spans="4:28" x14ac:dyDescent="0.25"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</row>
    <row r="1026" spans="4:28" x14ac:dyDescent="0.25"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</row>
    <row r="1027" spans="4:28" x14ac:dyDescent="0.25"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</row>
    <row r="1028" spans="4:28" x14ac:dyDescent="0.25"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</row>
    <row r="1029" spans="4:28" x14ac:dyDescent="0.25"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</row>
    <row r="1030" spans="4:28" x14ac:dyDescent="0.25"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</row>
    <row r="1031" spans="4:28" x14ac:dyDescent="0.25"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</row>
    <row r="1032" spans="4:28" x14ac:dyDescent="0.25"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</row>
    <row r="1033" spans="4:28" x14ac:dyDescent="0.25"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</row>
    <row r="1034" spans="4:28" x14ac:dyDescent="0.25"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</row>
    <row r="1035" spans="4:28" x14ac:dyDescent="0.25"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</row>
    <row r="1036" spans="4:28" x14ac:dyDescent="0.25"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</row>
    <row r="1037" spans="4:28" x14ac:dyDescent="0.25"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</row>
    <row r="1038" spans="4:28" x14ac:dyDescent="0.25"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</row>
    <row r="1039" spans="4:28" x14ac:dyDescent="0.25"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 spans="4:28" x14ac:dyDescent="0.25"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</row>
    <row r="1041" spans="4:28" x14ac:dyDescent="0.25"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 spans="4:28" x14ac:dyDescent="0.25"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 spans="4:28" x14ac:dyDescent="0.25"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 spans="4:28" x14ac:dyDescent="0.25"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</row>
    <row r="1045" spans="4:28" x14ac:dyDescent="0.25"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</row>
    <row r="1046" spans="4:28" x14ac:dyDescent="0.25"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</row>
    <row r="1047" spans="4:28" x14ac:dyDescent="0.25"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 spans="4:28" x14ac:dyDescent="0.25"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</row>
    <row r="1049" spans="4:28" x14ac:dyDescent="0.25"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</row>
    <row r="1050" spans="4:28" x14ac:dyDescent="0.25"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</row>
    <row r="1051" spans="4:28" x14ac:dyDescent="0.25"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 spans="4:28" x14ac:dyDescent="0.25"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</row>
    <row r="1053" spans="4:28" x14ac:dyDescent="0.25"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</row>
    <row r="1054" spans="4:28" x14ac:dyDescent="0.25"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</row>
    <row r="1055" spans="4:28" x14ac:dyDescent="0.25"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</row>
    <row r="1056" spans="4:28" x14ac:dyDescent="0.25"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</row>
    <row r="1057" spans="4:28" x14ac:dyDescent="0.25"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</row>
    <row r="1058" spans="4:28" x14ac:dyDescent="0.25"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</row>
    <row r="1059" spans="4:28" x14ac:dyDescent="0.25"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</row>
    <row r="1060" spans="4:28" x14ac:dyDescent="0.25"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</row>
    <row r="1061" spans="4:28" x14ac:dyDescent="0.25"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</row>
    <row r="1062" spans="4:28" x14ac:dyDescent="0.25"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 spans="4:28" x14ac:dyDescent="0.25"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</row>
    <row r="1064" spans="4:28" x14ac:dyDescent="0.25"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</row>
    <row r="1065" spans="4:28" x14ac:dyDescent="0.25"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</row>
    <row r="1066" spans="4:28" x14ac:dyDescent="0.25"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</row>
    <row r="1067" spans="4:28" x14ac:dyDescent="0.25"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</row>
    <row r="1068" spans="4:28" x14ac:dyDescent="0.25"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</row>
    <row r="1069" spans="4:28" x14ac:dyDescent="0.25"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</row>
    <row r="1070" spans="4:28" x14ac:dyDescent="0.25"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</row>
    <row r="1071" spans="4:28" x14ac:dyDescent="0.25"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</row>
    <row r="1072" spans="4:28" x14ac:dyDescent="0.25"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</row>
    <row r="1073" spans="4:28" x14ac:dyDescent="0.25"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</row>
    <row r="1074" spans="4:28" x14ac:dyDescent="0.25"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</row>
    <row r="1075" spans="4:28" x14ac:dyDescent="0.25"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</row>
    <row r="1076" spans="4:28" x14ac:dyDescent="0.25"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 spans="4:28" x14ac:dyDescent="0.25"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 spans="4:28" x14ac:dyDescent="0.25"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</row>
    <row r="1079" spans="4:28" x14ac:dyDescent="0.25"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</row>
    <row r="1080" spans="4:28" x14ac:dyDescent="0.25"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</row>
    <row r="1081" spans="4:28" x14ac:dyDescent="0.25"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</row>
    <row r="1082" spans="4:28" x14ac:dyDescent="0.25"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</row>
    <row r="1083" spans="4:28" x14ac:dyDescent="0.25"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 spans="4:28" x14ac:dyDescent="0.25"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</row>
    <row r="1085" spans="4:28" x14ac:dyDescent="0.25"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</row>
    <row r="1086" spans="4:28" x14ac:dyDescent="0.25"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</row>
    <row r="1087" spans="4:28" x14ac:dyDescent="0.25"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 spans="4:28" x14ac:dyDescent="0.25"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</row>
    <row r="1089" spans="4:28" x14ac:dyDescent="0.25"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</row>
    <row r="1090" spans="4:28" x14ac:dyDescent="0.25"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 spans="4:28" x14ac:dyDescent="0.25"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</row>
    <row r="1092" spans="4:28" x14ac:dyDescent="0.25"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</row>
    <row r="1093" spans="4:28" x14ac:dyDescent="0.25"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</row>
    <row r="1094" spans="4:28" x14ac:dyDescent="0.25"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</row>
    <row r="1095" spans="4:28" x14ac:dyDescent="0.25"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</row>
    <row r="1096" spans="4:28" x14ac:dyDescent="0.25"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</row>
    <row r="1097" spans="4:28" x14ac:dyDescent="0.25"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</row>
    <row r="1098" spans="4:28" x14ac:dyDescent="0.25"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</row>
    <row r="1099" spans="4:28" x14ac:dyDescent="0.25"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</row>
    <row r="1100" spans="4:28" x14ac:dyDescent="0.25"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</row>
    <row r="1101" spans="4:28" x14ac:dyDescent="0.25"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</row>
    <row r="1102" spans="4:28" x14ac:dyDescent="0.25"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 spans="4:28" x14ac:dyDescent="0.25"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</row>
    <row r="1104" spans="4:28" x14ac:dyDescent="0.25"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 spans="4:28" x14ac:dyDescent="0.25"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</row>
    <row r="1106" spans="4:28" x14ac:dyDescent="0.25"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</row>
    <row r="1107" spans="4:28" x14ac:dyDescent="0.25"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 spans="4:28" x14ac:dyDescent="0.25"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</row>
    <row r="1109" spans="4:28" x14ac:dyDescent="0.25"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</row>
    <row r="1110" spans="4:28" x14ac:dyDescent="0.25"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</row>
    <row r="1111" spans="4:28" x14ac:dyDescent="0.25"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</row>
    <row r="1112" spans="4:28" x14ac:dyDescent="0.25"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</row>
    <row r="1113" spans="4:28" x14ac:dyDescent="0.25"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</row>
    <row r="1114" spans="4:28" x14ac:dyDescent="0.25"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</row>
    <row r="1115" spans="4:28" x14ac:dyDescent="0.25"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</row>
    <row r="1116" spans="4:28" x14ac:dyDescent="0.25"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</row>
    <row r="1117" spans="4:28" x14ac:dyDescent="0.25"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</row>
    <row r="1118" spans="4:28" x14ac:dyDescent="0.25"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 spans="4:28" x14ac:dyDescent="0.25"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</row>
    <row r="1120" spans="4:28" x14ac:dyDescent="0.25"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</row>
    <row r="1121" spans="4:28" x14ac:dyDescent="0.25"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 spans="4:28" x14ac:dyDescent="0.25"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</row>
    <row r="1123" spans="4:28" x14ac:dyDescent="0.25"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 spans="4:28" x14ac:dyDescent="0.25"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</row>
    <row r="1125" spans="4:28" x14ac:dyDescent="0.25"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 spans="4:28" x14ac:dyDescent="0.25"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 spans="4:28" x14ac:dyDescent="0.25"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 spans="4:28" x14ac:dyDescent="0.25"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</row>
    <row r="1129" spans="4:28" x14ac:dyDescent="0.25"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 spans="4:28" x14ac:dyDescent="0.25"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</row>
    <row r="1131" spans="4:28" x14ac:dyDescent="0.25"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 spans="4:28" x14ac:dyDescent="0.25"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</row>
    <row r="1133" spans="4:28" x14ac:dyDescent="0.25"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</row>
    <row r="1134" spans="4:28" x14ac:dyDescent="0.25"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</row>
    <row r="1135" spans="4:28" x14ac:dyDescent="0.25"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</row>
    <row r="1136" spans="4:28" x14ac:dyDescent="0.25"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</row>
    <row r="1137" spans="4:28" x14ac:dyDescent="0.25"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</row>
    <row r="1138" spans="4:28" x14ac:dyDescent="0.25"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</row>
    <row r="1139" spans="4:28" x14ac:dyDescent="0.25"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</row>
    <row r="1140" spans="4:28" x14ac:dyDescent="0.25"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</row>
    <row r="1141" spans="4:28" x14ac:dyDescent="0.25"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</row>
    <row r="1142" spans="4:28" x14ac:dyDescent="0.25"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</row>
    <row r="1143" spans="4:28" x14ac:dyDescent="0.25"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</row>
    <row r="1144" spans="4:28" x14ac:dyDescent="0.25"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</row>
    <row r="1145" spans="4:28" x14ac:dyDescent="0.25"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 spans="4:28" x14ac:dyDescent="0.25"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</row>
    <row r="1147" spans="4:28" x14ac:dyDescent="0.25"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</row>
    <row r="1148" spans="4:28" x14ac:dyDescent="0.25"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</row>
    <row r="1149" spans="4:28" x14ac:dyDescent="0.25"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</row>
    <row r="1150" spans="4:28" x14ac:dyDescent="0.25"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</row>
    <row r="1151" spans="4:28" x14ac:dyDescent="0.25"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</row>
    <row r="1152" spans="4:28" x14ac:dyDescent="0.25"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</row>
    <row r="1153" spans="4:28" x14ac:dyDescent="0.25"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</row>
    <row r="1154" spans="4:28" x14ac:dyDescent="0.25"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</row>
    <row r="1155" spans="4:28" x14ac:dyDescent="0.25"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 spans="4:28" x14ac:dyDescent="0.25"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 spans="4:28" x14ac:dyDescent="0.25"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 spans="4:28" x14ac:dyDescent="0.25"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 spans="4:28" x14ac:dyDescent="0.25"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 spans="4:28" x14ac:dyDescent="0.25"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</row>
    <row r="1161" spans="4:28" x14ac:dyDescent="0.25"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</row>
    <row r="1162" spans="4:28" x14ac:dyDescent="0.25"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 spans="4:28" x14ac:dyDescent="0.25"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 spans="4:28" x14ac:dyDescent="0.25"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 spans="4:28" x14ac:dyDescent="0.25"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</row>
    <row r="1166" spans="4:28" x14ac:dyDescent="0.25"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</row>
    <row r="1167" spans="4:28" x14ac:dyDescent="0.25"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 spans="4:28" x14ac:dyDescent="0.25"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</row>
    <row r="1169" spans="4:28" x14ac:dyDescent="0.25"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</row>
    <row r="1170" spans="4:28" x14ac:dyDescent="0.25"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</row>
    <row r="1171" spans="4:28" x14ac:dyDescent="0.25"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</row>
    <row r="1172" spans="4:28" x14ac:dyDescent="0.25"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</row>
    <row r="1173" spans="4:28" x14ac:dyDescent="0.25"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</row>
    <row r="1174" spans="4:28" x14ac:dyDescent="0.25"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 spans="4:28" x14ac:dyDescent="0.25"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</row>
    <row r="1176" spans="4:28" x14ac:dyDescent="0.25"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</row>
    <row r="1177" spans="4:28" x14ac:dyDescent="0.25"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</row>
    <row r="1178" spans="4:28" x14ac:dyDescent="0.25"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</row>
    <row r="1179" spans="4:28" x14ac:dyDescent="0.25"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</row>
    <row r="1180" spans="4:28" x14ac:dyDescent="0.25"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</row>
    <row r="1181" spans="4:28" x14ac:dyDescent="0.25"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</row>
    <row r="1182" spans="4:28" x14ac:dyDescent="0.25"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</row>
    <row r="1183" spans="4:28" x14ac:dyDescent="0.25"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</row>
    <row r="1184" spans="4:28" x14ac:dyDescent="0.25"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</row>
    <row r="1185" spans="4:28" x14ac:dyDescent="0.25"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</row>
    <row r="1186" spans="4:28" x14ac:dyDescent="0.25"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</row>
    <row r="1187" spans="4:28" x14ac:dyDescent="0.25"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</row>
    <row r="1188" spans="4:28" x14ac:dyDescent="0.25"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 spans="4:28" x14ac:dyDescent="0.25"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</row>
    <row r="1190" spans="4:28" x14ac:dyDescent="0.25"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</row>
    <row r="1191" spans="4:28" x14ac:dyDescent="0.25"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</row>
    <row r="1192" spans="4:28" x14ac:dyDescent="0.25"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</row>
    <row r="1193" spans="4:28" x14ac:dyDescent="0.25"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</row>
    <row r="1194" spans="4:28" x14ac:dyDescent="0.25"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</row>
    <row r="1195" spans="4:28" x14ac:dyDescent="0.25"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</row>
    <row r="1196" spans="4:28" x14ac:dyDescent="0.25"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</row>
    <row r="1197" spans="4:28" x14ac:dyDescent="0.25"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</row>
    <row r="1198" spans="4:28" x14ac:dyDescent="0.25"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</row>
    <row r="1199" spans="4:28" x14ac:dyDescent="0.25"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</row>
    <row r="1200" spans="4:28" x14ac:dyDescent="0.25"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</row>
    <row r="1201" spans="4:28" x14ac:dyDescent="0.25"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</row>
    <row r="1202" spans="4:28" x14ac:dyDescent="0.25"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</row>
    <row r="1203" spans="4:28" x14ac:dyDescent="0.25"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 spans="4:28" x14ac:dyDescent="0.25"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</row>
    <row r="1205" spans="4:28" x14ac:dyDescent="0.25"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</row>
    <row r="1206" spans="4:28" x14ac:dyDescent="0.25"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</row>
    <row r="1207" spans="4:28" x14ac:dyDescent="0.25"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 spans="4:28" x14ac:dyDescent="0.25"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 spans="4:28" x14ac:dyDescent="0.25"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</row>
    <row r="1210" spans="4:28" x14ac:dyDescent="0.25"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</row>
    <row r="1211" spans="4:28" x14ac:dyDescent="0.25"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</row>
    <row r="1212" spans="4:28" x14ac:dyDescent="0.25"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</row>
    <row r="1213" spans="4:28" x14ac:dyDescent="0.25"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</row>
    <row r="1214" spans="4:28" x14ac:dyDescent="0.25"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 spans="4:28" x14ac:dyDescent="0.25"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</row>
    <row r="1216" spans="4:28" x14ac:dyDescent="0.25"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</row>
    <row r="1217" spans="4:28" x14ac:dyDescent="0.25"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 spans="4:28" x14ac:dyDescent="0.25"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 spans="4:28" x14ac:dyDescent="0.25"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</row>
    <row r="1220" spans="4:28" x14ac:dyDescent="0.25"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</row>
    <row r="1221" spans="4:28" x14ac:dyDescent="0.25"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</row>
    <row r="1222" spans="4:28" x14ac:dyDescent="0.25"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</row>
    <row r="1223" spans="4:28" x14ac:dyDescent="0.25"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</row>
    <row r="1224" spans="4:28" x14ac:dyDescent="0.25"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</row>
    <row r="1225" spans="4:28" x14ac:dyDescent="0.25"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</row>
    <row r="1226" spans="4:28" x14ac:dyDescent="0.25"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</row>
    <row r="1227" spans="4:28" x14ac:dyDescent="0.25"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</row>
    <row r="1228" spans="4:28" x14ac:dyDescent="0.25"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</row>
    <row r="1229" spans="4:28" x14ac:dyDescent="0.25">
      <c r="D1229"/>
      <c r="E1229"/>
      <c r="F1229"/>
      <c r="G1229"/>
      <c r="H1229"/>
      <c r="K1229"/>
      <c r="L1229"/>
      <c r="X1229"/>
    </row>
    <row r="1230" spans="4:28" x14ac:dyDescent="0.25">
      <c r="D1230"/>
      <c r="E1230"/>
      <c r="F1230"/>
      <c r="G1230"/>
      <c r="H1230"/>
      <c r="K1230"/>
      <c r="L1230"/>
      <c r="X1230"/>
    </row>
    <row r="1231" spans="4:28" x14ac:dyDescent="0.25">
      <c r="D1231"/>
      <c r="E1231"/>
      <c r="F1231"/>
      <c r="G1231"/>
      <c r="H1231"/>
      <c r="K1231"/>
      <c r="L1231"/>
      <c r="X1231"/>
    </row>
    <row r="1232" spans="4:28" x14ac:dyDescent="0.25">
      <c r="D1232"/>
      <c r="E1232"/>
      <c r="F1232"/>
      <c r="G1232"/>
      <c r="H1232"/>
      <c r="K1232"/>
      <c r="L1232"/>
      <c r="X1232"/>
    </row>
    <row r="1233" spans="4:24" x14ac:dyDescent="0.25">
      <c r="D1233"/>
      <c r="E1233"/>
      <c r="F1233"/>
      <c r="G1233"/>
      <c r="H1233"/>
      <c r="K1233"/>
      <c r="L1233"/>
      <c r="X1233"/>
    </row>
    <row r="1234" spans="4:24" x14ac:dyDescent="0.25">
      <c r="D1234"/>
      <c r="E1234"/>
      <c r="F1234"/>
      <c r="G1234"/>
      <c r="H1234"/>
      <c r="K1234"/>
      <c r="L1234"/>
      <c r="X1234"/>
    </row>
    <row r="1235" spans="4:24" x14ac:dyDescent="0.25">
      <c r="D1235"/>
      <c r="E1235"/>
      <c r="F1235"/>
      <c r="G1235"/>
      <c r="K1235"/>
      <c r="L1235"/>
      <c r="X1235"/>
    </row>
    <row r="1236" spans="4:24" x14ac:dyDescent="0.25">
      <c r="D1236"/>
      <c r="E1236"/>
      <c r="F1236"/>
      <c r="G1236"/>
      <c r="K1236"/>
      <c r="L1236"/>
      <c r="X1236"/>
    </row>
    <row r="1237" spans="4:24" x14ac:dyDescent="0.25">
      <c r="D1237"/>
      <c r="E1237"/>
      <c r="F1237"/>
      <c r="G1237"/>
      <c r="K1237"/>
      <c r="L1237"/>
      <c r="X1237"/>
    </row>
    <row r="1238" spans="4:24" x14ac:dyDescent="0.25">
      <c r="D1238"/>
      <c r="E1238"/>
      <c r="F1238"/>
      <c r="G1238"/>
      <c r="K1238"/>
      <c r="L1238"/>
      <c r="X1238"/>
    </row>
    <row r="1239" spans="4:24" x14ac:dyDescent="0.25">
      <c r="D1239"/>
      <c r="E1239"/>
      <c r="F1239"/>
      <c r="G1239"/>
      <c r="K1239"/>
      <c r="L1239"/>
      <c r="X1239"/>
    </row>
    <row r="1240" spans="4:24" x14ac:dyDescent="0.25">
      <c r="D1240"/>
      <c r="E1240"/>
      <c r="F1240"/>
      <c r="G1240"/>
      <c r="K1240"/>
      <c r="L1240"/>
      <c r="X1240"/>
    </row>
    <row r="1241" spans="4:24" x14ac:dyDescent="0.25">
      <c r="D1241"/>
      <c r="E1241"/>
      <c r="F1241"/>
      <c r="G1241"/>
      <c r="K1241"/>
      <c r="L1241"/>
      <c r="X1241"/>
    </row>
    <row r="1242" spans="4:24" x14ac:dyDescent="0.25">
      <c r="D1242"/>
      <c r="E1242"/>
      <c r="F1242"/>
      <c r="G1242"/>
      <c r="X1242"/>
    </row>
    <row r="1243" spans="4:24" x14ac:dyDescent="0.25">
      <c r="D1243"/>
      <c r="E1243"/>
      <c r="F1243"/>
      <c r="G1243"/>
      <c r="X1243"/>
    </row>
    <row r="1244" spans="4:24" x14ac:dyDescent="0.25">
      <c r="D1244"/>
      <c r="E1244"/>
      <c r="F1244"/>
      <c r="G1244"/>
      <c r="X1244"/>
    </row>
    <row r="1245" spans="4:24" x14ac:dyDescent="0.25">
      <c r="D1245"/>
      <c r="E1245"/>
      <c r="F1245"/>
      <c r="G1245"/>
      <c r="X1245"/>
    </row>
    <row r="1246" spans="4:24" x14ac:dyDescent="0.25">
      <c r="D1246"/>
      <c r="E1246"/>
      <c r="F1246"/>
      <c r="G1246"/>
      <c r="X1246"/>
    </row>
    <row r="1247" spans="4:24" x14ac:dyDescent="0.25">
      <c r="D1247"/>
      <c r="E1247"/>
      <c r="F1247"/>
      <c r="G1247"/>
      <c r="X1247"/>
    </row>
    <row r="1248" spans="4:24" x14ac:dyDescent="0.25">
      <c r="D1248"/>
      <c r="E1248"/>
      <c r="F1248"/>
      <c r="G1248"/>
      <c r="X1248"/>
    </row>
    <row r="1249" spans="4:24" x14ac:dyDescent="0.25">
      <c r="D1249"/>
      <c r="E1249"/>
      <c r="F1249"/>
      <c r="G1249"/>
      <c r="X1249"/>
    </row>
    <row r="1250" spans="4:24" x14ac:dyDescent="0.25">
      <c r="D1250"/>
      <c r="E1250"/>
      <c r="F1250"/>
      <c r="G1250"/>
      <c r="X1250"/>
    </row>
    <row r="1251" spans="4:24" x14ac:dyDescent="0.25">
      <c r="D1251"/>
      <c r="E1251"/>
      <c r="F1251"/>
      <c r="G1251"/>
      <c r="X1251"/>
    </row>
    <row r="1252" spans="4:24" x14ac:dyDescent="0.25">
      <c r="D1252"/>
      <c r="E1252"/>
      <c r="F1252"/>
      <c r="G1252"/>
      <c r="X1252"/>
    </row>
    <row r="1253" spans="4:24" x14ac:dyDescent="0.25">
      <c r="D1253"/>
      <c r="E1253"/>
      <c r="F1253"/>
      <c r="G1253"/>
      <c r="X1253"/>
    </row>
    <row r="1254" spans="4:24" x14ac:dyDescent="0.25">
      <c r="D1254"/>
      <c r="E1254"/>
      <c r="F1254"/>
      <c r="G1254"/>
      <c r="X1254"/>
    </row>
    <row r="1255" spans="4:24" x14ac:dyDescent="0.25">
      <c r="D1255"/>
      <c r="E1255"/>
      <c r="F1255"/>
      <c r="G1255"/>
      <c r="X1255"/>
    </row>
    <row r="1256" spans="4:24" x14ac:dyDescent="0.25">
      <c r="D1256"/>
      <c r="E1256"/>
      <c r="F1256"/>
      <c r="G1256"/>
      <c r="X1256"/>
    </row>
    <row r="1257" spans="4:24" x14ac:dyDescent="0.25">
      <c r="D1257"/>
      <c r="E1257"/>
      <c r="F1257"/>
      <c r="G1257"/>
      <c r="X1257"/>
    </row>
    <row r="1258" spans="4:24" x14ac:dyDescent="0.25">
      <c r="D1258"/>
      <c r="E1258"/>
      <c r="F1258"/>
      <c r="G1258"/>
      <c r="X1258"/>
    </row>
    <row r="1259" spans="4:24" x14ac:dyDescent="0.25">
      <c r="D1259"/>
      <c r="E1259"/>
      <c r="F1259"/>
      <c r="G1259"/>
      <c r="X1259"/>
    </row>
    <row r="1260" spans="4:24" x14ac:dyDescent="0.25">
      <c r="D1260"/>
      <c r="E1260"/>
      <c r="F1260"/>
      <c r="G1260"/>
      <c r="X1260"/>
    </row>
    <row r="1261" spans="4:24" x14ac:dyDescent="0.25">
      <c r="D1261"/>
      <c r="E1261"/>
      <c r="F1261"/>
      <c r="G1261"/>
      <c r="X1261"/>
    </row>
    <row r="1262" spans="4:24" x14ac:dyDescent="0.25">
      <c r="D1262"/>
      <c r="E1262"/>
      <c r="F1262"/>
      <c r="G1262"/>
      <c r="X1262"/>
    </row>
    <row r="1263" spans="4:24" x14ac:dyDescent="0.25">
      <c r="D1263"/>
      <c r="E1263"/>
      <c r="F1263"/>
      <c r="G1263"/>
      <c r="X1263"/>
    </row>
    <row r="1264" spans="4:24" x14ac:dyDescent="0.25">
      <c r="D1264"/>
      <c r="E1264"/>
      <c r="F1264"/>
      <c r="G1264"/>
      <c r="X1264"/>
    </row>
    <row r="1265" spans="4:24" x14ac:dyDescent="0.25">
      <c r="D1265"/>
      <c r="E1265"/>
      <c r="F1265"/>
      <c r="G1265"/>
      <c r="X1265"/>
    </row>
    <row r="1266" spans="4:24" x14ac:dyDescent="0.25">
      <c r="D1266"/>
      <c r="E1266"/>
      <c r="F1266"/>
      <c r="G1266"/>
      <c r="X1266"/>
    </row>
    <row r="1267" spans="4:24" x14ac:dyDescent="0.25">
      <c r="D1267"/>
      <c r="E1267"/>
      <c r="F1267"/>
      <c r="G1267"/>
      <c r="X1267"/>
    </row>
    <row r="1268" spans="4:24" x14ac:dyDescent="0.25">
      <c r="D1268"/>
      <c r="E1268"/>
      <c r="F1268"/>
      <c r="G1268"/>
      <c r="X1268"/>
    </row>
    <row r="1269" spans="4:24" x14ac:dyDescent="0.25">
      <c r="D1269"/>
      <c r="E1269"/>
      <c r="F1269"/>
      <c r="G1269"/>
      <c r="X1269"/>
    </row>
    <row r="1270" spans="4:24" x14ac:dyDescent="0.25">
      <c r="D1270"/>
      <c r="E1270"/>
      <c r="F1270"/>
      <c r="G1270"/>
      <c r="X1270"/>
    </row>
    <row r="1271" spans="4:24" x14ac:dyDescent="0.25">
      <c r="D1271"/>
      <c r="E1271"/>
      <c r="F1271"/>
      <c r="G1271"/>
      <c r="X1271"/>
    </row>
    <row r="1272" spans="4:24" x14ac:dyDescent="0.25">
      <c r="D1272"/>
      <c r="E1272"/>
      <c r="F1272"/>
      <c r="G1272"/>
      <c r="X1272"/>
    </row>
    <row r="1273" spans="4:24" x14ac:dyDescent="0.25">
      <c r="D1273"/>
      <c r="E1273"/>
      <c r="F1273"/>
      <c r="G1273"/>
      <c r="X1273"/>
    </row>
    <row r="1274" spans="4:24" x14ac:dyDescent="0.25">
      <c r="D1274"/>
      <c r="E1274"/>
      <c r="F1274"/>
      <c r="G1274"/>
      <c r="X1274"/>
    </row>
    <row r="1275" spans="4:24" x14ac:dyDescent="0.25">
      <c r="D1275"/>
      <c r="E1275"/>
      <c r="F1275"/>
      <c r="G1275"/>
      <c r="X1275"/>
    </row>
    <row r="1276" spans="4:24" x14ac:dyDescent="0.25">
      <c r="D1276"/>
      <c r="E1276"/>
      <c r="F1276"/>
      <c r="G1276"/>
      <c r="X1276"/>
    </row>
    <row r="1277" spans="4:24" x14ac:dyDescent="0.25">
      <c r="D1277"/>
      <c r="E1277"/>
      <c r="F1277"/>
      <c r="G1277"/>
      <c r="X1277"/>
    </row>
    <row r="1278" spans="4:24" x14ac:dyDescent="0.25">
      <c r="D1278"/>
      <c r="E1278"/>
      <c r="F1278"/>
      <c r="G1278"/>
      <c r="X1278"/>
    </row>
    <row r="1279" spans="4:24" x14ac:dyDescent="0.25">
      <c r="D1279"/>
      <c r="E1279"/>
      <c r="F1279"/>
      <c r="G1279"/>
      <c r="X1279"/>
    </row>
    <row r="1280" spans="4:24" x14ac:dyDescent="0.25">
      <c r="D1280"/>
      <c r="E1280"/>
      <c r="F1280"/>
      <c r="G1280"/>
      <c r="X1280"/>
    </row>
    <row r="1281" spans="4:24" x14ac:dyDescent="0.25">
      <c r="D1281"/>
      <c r="E1281"/>
      <c r="F1281"/>
      <c r="G1281"/>
      <c r="X1281"/>
    </row>
    <row r="1282" spans="4:24" x14ac:dyDescent="0.25">
      <c r="D1282"/>
      <c r="E1282"/>
      <c r="F1282"/>
      <c r="G1282"/>
      <c r="X1282"/>
    </row>
    <row r="1283" spans="4:24" x14ac:dyDescent="0.25">
      <c r="D1283"/>
      <c r="E1283"/>
      <c r="F1283"/>
      <c r="G1283"/>
      <c r="X1283"/>
    </row>
    <row r="1284" spans="4:24" x14ac:dyDescent="0.25">
      <c r="D1284"/>
      <c r="E1284"/>
      <c r="F1284"/>
      <c r="G1284"/>
      <c r="X1284"/>
    </row>
    <row r="1285" spans="4:24" x14ac:dyDescent="0.25">
      <c r="D1285"/>
      <c r="E1285"/>
      <c r="F1285"/>
      <c r="G1285"/>
      <c r="X1285"/>
    </row>
    <row r="1286" spans="4:24" x14ac:dyDescent="0.25">
      <c r="D1286"/>
      <c r="E1286"/>
      <c r="F1286"/>
      <c r="G1286"/>
      <c r="X1286"/>
    </row>
    <row r="1287" spans="4:24" x14ac:dyDescent="0.25">
      <c r="D1287"/>
      <c r="E1287"/>
      <c r="F1287"/>
      <c r="G1287"/>
      <c r="X1287"/>
    </row>
    <row r="1288" spans="4:24" x14ac:dyDescent="0.25">
      <c r="D1288"/>
      <c r="E1288"/>
      <c r="F1288"/>
      <c r="G1288"/>
      <c r="X1288"/>
    </row>
    <row r="1289" spans="4:24" x14ac:dyDescent="0.25">
      <c r="D1289"/>
      <c r="E1289"/>
      <c r="F1289"/>
      <c r="G1289"/>
      <c r="X1289"/>
    </row>
    <row r="1290" spans="4:24" x14ac:dyDescent="0.25">
      <c r="D1290"/>
      <c r="E1290"/>
      <c r="F1290"/>
      <c r="G1290"/>
      <c r="X1290"/>
    </row>
    <row r="1291" spans="4:24" x14ac:dyDescent="0.25">
      <c r="D1291"/>
      <c r="E1291"/>
      <c r="F1291"/>
      <c r="G1291"/>
      <c r="X1291"/>
    </row>
    <row r="1292" spans="4:24" x14ac:dyDescent="0.25">
      <c r="D1292"/>
      <c r="E1292"/>
      <c r="F1292"/>
      <c r="G1292"/>
      <c r="X1292"/>
    </row>
    <row r="1293" spans="4:24" x14ac:dyDescent="0.25">
      <c r="D1293"/>
      <c r="E1293"/>
      <c r="F1293"/>
      <c r="G1293"/>
      <c r="X1293"/>
    </row>
    <row r="1294" spans="4:24" x14ac:dyDescent="0.25">
      <c r="D1294"/>
      <c r="E1294"/>
      <c r="F1294"/>
      <c r="G1294"/>
      <c r="X1294"/>
    </row>
    <row r="1295" spans="4:24" x14ac:dyDescent="0.25">
      <c r="D1295"/>
      <c r="E1295"/>
      <c r="F1295"/>
      <c r="G1295"/>
      <c r="X1295"/>
    </row>
    <row r="1296" spans="4:24" x14ac:dyDescent="0.25">
      <c r="D1296"/>
      <c r="E1296"/>
      <c r="F1296"/>
      <c r="G1296"/>
      <c r="X1296"/>
    </row>
    <row r="1297" spans="4:24" x14ac:dyDescent="0.25">
      <c r="D1297"/>
      <c r="E1297"/>
      <c r="F1297"/>
      <c r="G1297"/>
      <c r="X1297"/>
    </row>
    <row r="1298" spans="4:24" x14ac:dyDescent="0.25">
      <c r="D1298"/>
      <c r="E1298"/>
      <c r="F1298"/>
      <c r="G1298"/>
      <c r="X1298"/>
    </row>
    <row r="1299" spans="4:24" x14ac:dyDescent="0.25">
      <c r="D1299"/>
      <c r="E1299"/>
      <c r="F1299"/>
      <c r="G1299"/>
      <c r="X1299"/>
    </row>
    <row r="1300" spans="4:24" x14ac:dyDescent="0.25">
      <c r="D1300"/>
      <c r="E1300"/>
      <c r="F1300"/>
      <c r="G1300"/>
      <c r="X1300"/>
    </row>
    <row r="1301" spans="4:24" x14ac:dyDescent="0.25">
      <c r="D1301"/>
      <c r="E1301"/>
      <c r="F1301"/>
      <c r="G1301"/>
      <c r="X1301"/>
    </row>
    <row r="1302" spans="4:24" x14ac:dyDescent="0.25">
      <c r="D1302"/>
      <c r="E1302"/>
      <c r="F1302"/>
      <c r="G1302"/>
      <c r="X1302"/>
    </row>
    <row r="1303" spans="4:24" x14ac:dyDescent="0.25">
      <c r="D1303"/>
      <c r="E1303"/>
      <c r="F1303"/>
      <c r="G1303"/>
      <c r="X1303"/>
    </row>
    <row r="1304" spans="4:24" x14ac:dyDescent="0.25">
      <c r="D1304"/>
      <c r="E1304"/>
      <c r="F1304"/>
      <c r="G1304"/>
      <c r="X1304"/>
    </row>
    <row r="1305" spans="4:24" x14ac:dyDescent="0.25">
      <c r="D1305"/>
      <c r="E1305"/>
      <c r="F1305"/>
      <c r="G1305"/>
      <c r="X1305"/>
    </row>
    <row r="1306" spans="4:24" x14ac:dyDescent="0.25">
      <c r="D1306"/>
      <c r="E1306"/>
      <c r="F1306"/>
      <c r="G1306"/>
      <c r="X1306"/>
    </row>
    <row r="1307" spans="4:24" x14ac:dyDescent="0.25">
      <c r="D1307"/>
      <c r="E1307"/>
      <c r="F1307"/>
      <c r="G1307"/>
      <c r="X1307"/>
    </row>
    <row r="1308" spans="4:24" x14ac:dyDescent="0.25">
      <c r="D1308"/>
      <c r="E1308"/>
      <c r="F1308"/>
      <c r="G1308"/>
      <c r="X1308"/>
    </row>
    <row r="1309" spans="4:24" x14ac:dyDescent="0.25">
      <c r="D1309"/>
      <c r="E1309"/>
      <c r="F1309"/>
      <c r="G1309"/>
      <c r="X1309"/>
    </row>
    <row r="1310" spans="4:24" x14ac:dyDescent="0.25">
      <c r="D1310"/>
      <c r="E1310"/>
      <c r="F1310"/>
      <c r="G1310"/>
      <c r="X1310"/>
    </row>
    <row r="1311" spans="4:24" x14ac:dyDescent="0.25">
      <c r="D1311"/>
      <c r="E1311"/>
      <c r="F1311"/>
      <c r="G1311"/>
      <c r="X1311"/>
    </row>
    <row r="1312" spans="4:24" x14ac:dyDescent="0.25">
      <c r="D1312"/>
      <c r="E1312"/>
      <c r="F1312"/>
      <c r="G1312"/>
      <c r="X1312"/>
    </row>
    <row r="1313" spans="4:24" x14ac:dyDescent="0.25">
      <c r="D1313"/>
      <c r="E1313"/>
      <c r="F1313"/>
      <c r="G1313"/>
      <c r="X1313"/>
    </row>
    <row r="1314" spans="4:24" x14ac:dyDescent="0.25">
      <c r="D1314"/>
      <c r="E1314"/>
      <c r="F1314"/>
      <c r="G1314"/>
      <c r="X1314"/>
    </row>
    <row r="1315" spans="4:24" x14ac:dyDescent="0.25">
      <c r="D1315"/>
      <c r="E1315"/>
      <c r="F1315"/>
      <c r="G1315"/>
      <c r="X1315"/>
    </row>
    <row r="1316" spans="4:24" x14ac:dyDescent="0.25">
      <c r="D1316"/>
      <c r="E1316"/>
      <c r="F1316"/>
      <c r="G1316"/>
      <c r="X1316"/>
    </row>
    <row r="1317" spans="4:24" x14ac:dyDescent="0.25">
      <c r="D1317"/>
      <c r="E1317"/>
      <c r="F1317"/>
      <c r="G1317"/>
      <c r="X1317"/>
    </row>
    <row r="1318" spans="4:24" x14ac:dyDescent="0.25">
      <c r="D1318"/>
      <c r="E1318"/>
      <c r="F1318"/>
      <c r="G1318"/>
      <c r="X1318"/>
    </row>
    <row r="1319" spans="4:24" x14ac:dyDescent="0.25">
      <c r="D1319"/>
      <c r="E1319"/>
      <c r="F1319"/>
      <c r="G1319"/>
      <c r="X1319"/>
    </row>
    <row r="1320" spans="4:24" x14ac:dyDescent="0.25">
      <c r="D1320"/>
      <c r="E1320"/>
      <c r="F1320"/>
      <c r="G1320"/>
      <c r="X1320"/>
    </row>
    <row r="1321" spans="4:24" x14ac:dyDescent="0.25">
      <c r="D1321"/>
      <c r="E1321"/>
      <c r="F1321"/>
      <c r="G1321"/>
      <c r="X1321"/>
    </row>
    <row r="1322" spans="4:24" x14ac:dyDescent="0.25">
      <c r="D1322"/>
      <c r="E1322"/>
      <c r="F1322"/>
      <c r="G1322"/>
      <c r="X1322"/>
    </row>
    <row r="1323" spans="4:24" x14ac:dyDescent="0.25">
      <c r="D1323"/>
      <c r="E1323"/>
      <c r="F1323"/>
      <c r="G1323"/>
      <c r="X1323"/>
    </row>
    <row r="1324" spans="4:24" x14ac:dyDescent="0.25">
      <c r="D1324"/>
      <c r="E1324"/>
      <c r="F1324"/>
      <c r="G1324"/>
      <c r="X1324"/>
    </row>
    <row r="1325" spans="4:24" x14ac:dyDescent="0.25">
      <c r="D1325"/>
      <c r="E1325"/>
      <c r="F1325"/>
      <c r="G1325"/>
      <c r="X1325"/>
    </row>
    <row r="1326" spans="4:24" x14ac:dyDescent="0.25">
      <c r="D1326"/>
      <c r="E1326"/>
      <c r="F1326"/>
      <c r="G1326"/>
      <c r="X1326"/>
    </row>
    <row r="1327" spans="4:24" x14ac:dyDescent="0.25">
      <c r="D1327"/>
      <c r="E1327"/>
      <c r="F1327"/>
      <c r="G1327"/>
      <c r="X1327"/>
    </row>
    <row r="1328" spans="4:24" x14ac:dyDescent="0.25">
      <c r="D1328"/>
      <c r="E1328"/>
      <c r="F1328"/>
      <c r="G1328"/>
      <c r="X1328"/>
    </row>
    <row r="1329" spans="4:24" x14ac:dyDescent="0.25">
      <c r="D1329"/>
      <c r="E1329"/>
      <c r="F1329"/>
      <c r="G1329"/>
      <c r="X1329"/>
    </row>
    <row r="1330" spans="4:24" x14ac:dyDescent="0.25">
      <c r="D1330"/>
      <c r="E1330"/>
      <c r="F1330"/>
      <c r="G1330"/>
      <c r="X1330"/>
    </row>
    <row r="1331" spans="4:24" x14ac:dyDescent="0.25">
      <c r="D1331"/>
      <c r="E1331"/>
      <c r="F1331"/>
      <c r="G1331"/>
      <c r="X1331"/>
    </row>
    <row r="1332" spans="4:24" x14ac:dyDescent="0.25">
      <c r="D1332"/>
      <c r="E1332"/>
      <c r="F1332"/>
      <c r="G1332"/>
      <c r="X1332"/>
    </row>
    <row r="1333" spans="4:24" x14ac:dyDescent="0.25">
      <c r="D1333"/>
      <c r="E1333"/>
      <c r="F1333"/>
      <c r="G1333"/>
      <c r="X1333"/>
    </row>
    <row r="1334" spans="4:24" x14ac:dyDescent="0.25">
      <c r="D1334"/>
      <c r="E1334"/>
      <c r="F1334"/>
      <c r="G1334"/>
      <c r="X1334"/>
    </row>
    <row r="1335" spans="4:24" x14ac:dyDescent="0.25">
      <c r="D1335"/>
      <c r="E1335"/>
      <c r="F1335"/>
      <c r="G1335"/>
      <c r="X1335"/>
    </row>
    <row r="1336" spans="4:24" x14ac:dyDescent="0.25">
      <c r="D1336"/>
      <c r="E1336"/>
      <c r="F1336"/>
      <c r="G1336"/>
      <c r="X1336"/>
    </row>
    <row r="1337" spans="4:24" x14ac:dyDescent="0.25">
      <c r="D1337"/>
      <c r="E1337"/>
      <c r="F1337"/>
      <c r="G1337"/>
      <c r="X1337"/>
    </row>
    <row r="1338" spans="4:24" x14ac:dyDescent="0.25">
      <c r="D1338"/>
      <c r="E1338"/>
      <c r="F1338"/>
      <c r="G1338"/>
      <c r="X1338"/>
    </row>
    <row r="1339" spans="4:24" x14ac:dyDescent="0.25">
      <c r="D1339"/>
      <c r="E1339"/>
      <c r="F1339"/>
      <c r="G1339"/>
      <c r="X1339"/>
    </row>
    <row r="1340" spans="4:24" x14ac:dyDescent="0.25">
      <c r="D1340"/>
      <c r="E1340"/>
      <c r="F1340"/>
      <c r="G1340"/>
      <c r="X1340"/>
    </row>
    <row r="1341" spans="4:24" x14ac:dyDescent="0.25">
      <c r="D1341"/>
      <c r="E1341"/>
      <c r="F1341"/>
      <c r="G1341"/>
      <c r="X1341"/>
    </row>
    <row r="1342" spans="4:24" x14ac:dyDescent="0.25">
      <c r="D1342"/>
      <c r="E1342"/>
      <c r="F1342"/>
      <c r="G1342"/>
      <c r="X1342"/>
    </row>
    <row r="1343" spans="4:24" x14ac:dyDescent="0.25">
      <c r="D1343"/>
      <c r="E1343"/>
      <c r="F1343"/>
      <c r="G1343"/>
      <c r="X1343"/>
    </row>
    <row r="1344" spans="4:24" x14ac:dyDescent="0.25">
      <c r="D1344"/>
      <c r="E1344"/>
      <c r="F1344"/>
      <c r="G1344"/>
      <c r="X1344"/>
    </row>
    <row r="1345" spans="4:24" x14ac:dyDescent="0.25">
      <c r="D1345"/>
      <c r="E1345"/>
      <c r="F1345"/>
      <c r="G1345"/>
      <c r="X1345"/>
    </row>
    <row r="1346" spans="4:24" x14ac:dyDescent="0.25">
      <c r="D1346"/>
      <c r="E1346"/>
      <c r="F1346"/>
      <c r="G1346"/>
      <c r="X1346"/>
    </row>
    <row r="1347" spans="4:24" x14ac:dyDescent="0.25">
      <c r="D1347"/>
      <c r="E1347"/>
      <c r="F1347"/>
      <c r="G1347"/>
      <c r="X1347"/>
    </row>
    <row r="1348" spans="4:24" x14ac:dyDescent="0.25">
      <c r="D1348"/>
      <c r="E1348"/>
      <c r="F1348"/>
      <c r="G1348"/>
      <c r="X1348"/>
    </row>
    <row r="1349" spans="4:24" x14ac:dyDescent="0.25">
      <c r="D1349"/>
      <c r="E1349"/>
      <c r="F1349"/>
      <c r="G1349"/>
      <c r="X1349"/>
    </row>
    <row r="1350" spans="4:24" x14ac:dyDescent="0.25">
      <c r="D1350"/>
      <c r="E1350"/>
      <c r="F1350"/>
      <c r="G1350"/>
      <c r="X1350"/>
    </row>
    <row r="1351" spans="4:24" x14ac:dyDescent="0.25">
      <c r="D1351"/>
      <c r="E1351"/>
      <c r="F1351"/>
      <c r="G1351"/>
      <c r="X1351"/>
    </row>
    <row r="1352" spans="4:24" x14ac:dyDescent="0.25">
      <c r="D1352"/>
      <c r="E1352"/>
      <c r="F1352"/>
      <c r="G1352"/>
      <c r="X1352"/>
    </row>
    <row r="1353" spans="4:24" x14ac:dyDescent="0.25">
      <c r="D1353"/>
      <c r="E1353"/>
      <c r="F1353"/>
      <c r="G1353"/>
      <c r="X1353"/>
    </row>
    <row r="1354" spans="4:24" x14ac:dyDescent="0.25">
      <c r="D1354"/>
      <c r="E1354"/>
      <c r="F1354"/>
      <c r="G1354"/>
      <c r="X1354"/>
    </row>
    <row r="1355" spans="4:24" x14ac:dyDescent="0.25">
      <c r="D1355"/>
      <c r="E1355"/>
      <c r="F1355"/>
      <c r="G1355"/>
      <c r="X1355"/>
    </row>
    <row r="1356" spans="4:24" x14ac:dyDescent="0.25">
      <c r="D1356"/>
      <c r="E1356"/>
      <c r="F1356"/>
      <c r="G1356"/>
      <c r="X1356"/>
    </row>
    <row r="1357" spans="4:24" x14ac:dyDescent="0.25">
      <c r="D1357"/>
      <c r="E1357"/>
      <c r="F1357"/>
      <c r="G1357"/>
      <c r="X1357"/>
    </row>
    <row r="1358" spans="4:24" x14ac:dyDescent="0.25">
      <c r="D1358"/>
      <c r="E1358"/>
      <c r="F1358"/>
      <c r="G1358"/>
      <c r="X1358"/>
    </row>
    <row r="1359" spans="4:24" x14ac:dyDescent="0.25">
      <c r="D1359"/>
      <c r="E1359"/>
      <c r="F1359"/>
      <c r="G1359"/>
      <c r="X1359"/>
    </row>
    <row r="1360" spans="4:24" x14ac:dyDescent="0.25">
      <c r="D1360"/>
      <c r="E1360"/>
      <c r="F1360"/>
      <c r="G1360"/>
      <c r="X1360"/>
    </row>
    <row r="1361" spans="4:24" x14ac:dyDescent="0.25">
      <c r="D1361"/>
      <c r="E1361"/>
      <c r="F1361"/>
      <c r="G1361"/>
      <c r="X1361"/>
    </row>
    <row r="1362" spans="4:24" x14ac:dyDescent="0.25">
      <c r="D1362"/>
      <c r="E1362"/>
      <c r="F1362"/>
      <c r="G1362"/>
      <c r="X1362"/>
    </row>
    <row r="1363" spans="4:24" x14ac:dyDescent="0.25">
      <c r="D1363"/>
      <c r="E1363"/>
      <c r="F1363"/>
      <c r="G1363"/>
      <c r="X1363"/>
    </row>
    <row r="1364" spans="4:24" x14ac:dyDescent="0.25">
      <c r="D1364"/>
      <c r="E1364"/>
      <c r="F1364"/>
      <c r="G1364"/>
      <c r="X1364"/>
    </row>
    <row r="1365" spans="4:24" x14ac:dyDescent="0.25">
      <c r="D1365"/>
      <c r="E1365"/>
      <c r="F1365"/>
      <c r="G1365"/>
      <c r="X1365"/>
    </row>
    <row r="1366" spans="4:24" x14ac:dyDescent="0.25">
      <c r="D1366"/>
      <c r="E1366"/>
      <c r="F1366"/>
      <c r="G1366"/>
      <c r="X1366"/>
    </row>
    <row r="1367" spans="4:24" x14ac:dyDescent="0.25">
      <c r="D1367"/>
      <c r="E1367"/>
      <c r="F1367"/>
      <c r="G1367"/>
      <c r="X1367"/>
    </row>
    <row r="1368" spans="4:24" x14ac:dyDescent="0.25">
      <c r="D1368"/>
      <c r="E1368"/>
      <c r="F1368"/>
      <c r="G1368"/>
      <c r="X1368"/>
    </row>
    <row r="1369" spans="4:24" x14ac:dyDescent="0.25">
      <c r="D1369"/>
      <c r="E1369"/>
      <c r="F1369"/>
      <c r="G1369"/>
      <c r="X1369"/>
    </row>
    <row r="1370" spans="4:24" x14ac:dyDescent="0.25">
      <c r="D1370"/>
      <c r="E1370"/>
      <c r="F1370"/>
      <c r="G1370"/>
      <c r="X1370"/>
    </row>
    <row r="1371" spans="4:24" x14ac:dyDescent="0.25">
      <c r="D1371"/>
      <c r="E1371"/>
      <c r="F1371"/>
      <c r="G1371"/>
      <c r="X1371"/>
    </row>
    <row r="1372" spans="4:24" x14ac:dyDescent="0.25">
      <c r="D1372"/>
      <c r="E1372"/>
      <c r="F1372"/>
      <c r="G1372"/>
      <c r="X1372"/>
    </row>
    <row r="1373" spans="4:24" x14ac:dyDescent="0.25">
      <c r="D1373"/>
      <c r="E1373"/>
      <c r="F1373"/>
      <c r="G1373"/>
      <c r="X1373"/>
    </row>
    <row r="1374" spans="4:24" x14ac:dyDescent="0.25">
      <c r="D1374"/>
      <c r="E1374"/>
      <c r="F1374"/>
      <c r="G1374"/>
      <c r="X1374"/>
    </row>
    <row r="1375" spans="4:24" x14ac:dyDescent="0.25">
      <c r="D1375"/>
      <c r="E1375"/>
      <c r="F1375"/>
      <c r="G1375"/>
      <c r="X1375"/>
    </row>
    <row r="1376" spans="4:24" x14ac:dyDescent="0.25">
      <c r="D1376"/>
      <c r="E1376"/>
      <c r="F1376"/>
      <c r="G1376"/>
      <c r="X1376"/>
    </row>
    <row r="1377" spans="4:24" x14ac:dyDescent="0.25">
      <c r="D1377"/>
      <c r="E1377"/>
      <c r="F1377"/>
      <c r="G1377"/>
      <c r="X1377"/>
    </row>
    <row r="1378" spans="4:24" x14ac:dyDescent="0.25">
      <c r="D1378"/>
      <c r="E1378"/>
      <c r="F1378"/>
      <c r="G1378"/>
      <c r="X1378"/>
    </row>
    <row r="1379" spans="4:24" x14ac:dyDescent="0.25">
      <c r="D1379"/>
      <c r="E1379"/>
      <c r="F1379"/>
      <c r="G1379"/>
      <c r="X1379"/>
    </row>
    <row r="1380" spans="4:24" x14ac:dyDescent="0.25">
      <c r="D1380"/>
      <c r="E1380"/>
      <c r="F1380"/>
      <c r="G1380"/>
      <c r="X1380"/>
    </row>
    <row r="1381" spans="4:24" x14ac:dyDescent="0.25">
      <c r="D1381"/>
      <c r="E1381"/>
      <c r="F1381"/>
      <c r="G1381"/>
      <c r="X1381"/>
    </row>
    <row r="1382" spans="4:24" x14ac:dyDescent="0.25">
      <c r="D1382"/>
      <c r="E1382"/>
      <c r="F1382"/>
      <c r="G1382"/>
      <c r="X1382"/>
    </row>
    <row r="1383" spans="4:24" x14ac:dyDescent="0.25">
      <c r="D1383"/>
      <c r="E1383"/>
      <c r="F1383"/>
      <c r="G1383"/>
      <c r="X1383"/>
    </row>
    <row r="1384" spans="4:24" x14ac:dyDescent="0.25">
      <c r="D1384"/>
      <c r="E1384"/>
      <c r="F1384"/>
      <c r="G1384"/>
      <c r="X1384"/>
    </row>
    <row r="1385" spans="4:24" x14ac:dyDescent="0.25">
      <c r="D1385"/>
      <c r="E1385"/>
      <c r="F1385"/>
      <c r="G1385"/>
      <c r="X1385"/>
    </row>
    <row r="1386" spans="4:24" x14ac:dyDescent="0.25">
      <c r="D1386"/>
      <c r="E1386"/>
      <c r="F1386"/>
      <c r="G1386"/>
      <c r="X1386"/>
    </row>
    <row r="1387" spans="4:24" x14ac:dyDescent="0.25">
      <c r="D1387"/>
      <c r="E1387"/>
      <c r="F1387"/>
      <c r="G1387"/>
      <c r="X1387"/>
    </row>
    <row r="1388" spans="4:24" x14ac:dyDescent="0.25">
      <c r="D1388"/>
      <c r="E1388"/>
      <c r="F1388"/>
      <c r="G1388"/>
      <c r="X1388"/>
    </row>
    <row r="1389" spans="4:24" x14ac:dyDescent="0.25">
      <c r="D1389"/>
      <c r="E1389"/>
      <c r="F1389"/>
      <c r="G1389"/>
      <c r="X1389"/>
    </row>
    <row r="1390" spans="4:24" x14ac:dyDescent="0.25">
      <c r="D1390"/>
      <c r="E1390"/>
      <c r="F1390"/>
      <c r="G1390"/>
      <c r="X1390"/>
    </row>
    <row r="1391" spans="4:24" x14ac:dyDescent="0.25">
      <c r="D1391"/>
      <c r="E1391"/>
      <c r="F1391"/>
      <c r="G1391"/>
      <c r="X1391"/>
    </row>
    <row r="1392" spans="4:24" x14ac:dyDescent="0.25">
      <c r="D1392"/>
      <c r="E1392"/>
      <c r="F1392"/>
      <c r="G1392"/>
      <c r="X1392"/>
    </row>
    <row r="1393" spans="4:24" x14ac:dyDescent="0.25">
      <c r="D1393"/>
      <c r="E1393"/>
      <c r="F1393"/>
      <c r="G1393"/>
      <c r="X1393"/>
    </row>
    <row r="1394" spans="4:24" x14ac:dyDescent="0.25">
      <c r="D1394"/>
      <c r="E1394"/>
      <c r="F1394"/>
      <c r="G1394"/>
      <c r="X1394"/>
    </row>
    <row r="1395" spans="4:24" x14ac:dyDescent="0.25">
      <c r="D1395"/>
      <c r="E1395"/>
      <c r="F1395"/>
      <c r="G1395"/>
      <c r="X1395"/>
    </row>
    <row r="1396" spans="4:24" x14ac:dyDescent="0.25">
      <c r="D1396"/>
      <c r="E1396"/>
      <c r="F1396"/>
      <c r="G1396"/>
      <c r="X1396"/>
    </row>
    <row r="1397" spans="4:24" x14ac:dyDescent="0.25">
      <c r="D1397"/>
      <c r="E1397"/>
      <c r="F1397"/>
      <c r="G1397"/>
      <c r="X1397"/>
    </row>
    <row r="1398" spans="4:24" x14ac:dyDescent="0.25">
      <c r="D1398"/>
      <c r="E1398"/>
      <c r="F1398"/>
      <c r="G1398"/>
      <c r="X1398"/>
    </row>
    <row r="1399" spans="4:24" x14ac:dyDescent="0.25">
      <c r="D1399"/>
      <c r="E1399"/>
      <c r="F1399"/>
      <c r="G1399"/>
      <c r="X1399"/>
    </row>
    <row r="1400" spans="4:24" x14ac:dyDescent="0.25">
      <c r="D1400"/>
      <c r="E1400"/>
      <c r="F1400"/>
      <c r="G1400"/>
      <c r="X1400"/>
    </row>
    <row r="1401" spans="4:24" x14ac:dyDescent="0.25">
      <c r="D1401"/>
      <c r="E1401"/>
      <c r="F1401"/>
      <c r="G1401"/>
      <c r="X1401"/>
    </row>
    <row r="1402" spans="4:24" x14ac:dyDescent="0.25">
      <c r="D1402"/>
      <c r="E1402"/>
      <c r="F1402"/>
      <c r="G1402"/>
      <c r="X1402"/>
    </row>
    <row r="1403" spans="4:24" x14ac:dyDescent="0.25">
      <c r="D1403"/>
      <c r="E1403"/>
      <c r="F1403"/>
      <c r="G1403"/>
      <c r="X1403"/>
    </row>
    <row r="1404" spans="4:24" x14ac:dyDescent="0.25">
      <c r="D1404"/>
      <c r="E1404"/>
      <c r="F1404"/>
      <c r="G1404"/>
      <c r="X1404"/>
    </row>
    <row r="1405" spans="4:24" x14ac:dyDescent="0.25">
      <c r="D1405"/>
      <c r="E1405"/>
      <c r="F1405"/>
      <c r="G1405"/>
      <c r="X1405"/>
    </row>
    <row r="1406" spans="4:24" x14ac:dyDescent="0.25">
      <c r="D1406"/>
      <c r="E1406"/>
      <c r="F1406"/>
      <c r="G1406"/>
      <c r="X1406"/>
    </row>
    <row r="1407" spans="4:24" x14ac:dyDescent="0.25">
      <c r="D1407"/>
      <c r="E1407"/>
      <c r="F1407"/>
      <c r="G1407"/>
      <c r="X1407"/>
    </row>
    <row r="1408" spans="4:24" x14ac:dyDescent="0.25">
      <c r="D1408"/>
      <c r="E1408"/>
      <c r="F1408"/>
      <c r="G1408"/>
      <c r="X1408"/>
    </row>
    <row r="1409" spans="4:24" x14ac:dyDescent="0.25">
      <c r="D1409"/>
      <c r="E1409"/>
      <c r="F1409"/>
      <c r="G1409"/>
      <c r="X1409"/>
    </row>
    <row r="1410" spans="4:24" x14ac:dyDescent="0.25">
      <c r="D1410"/>
      <c r="E1410"/>
      <c r="F1410"/>
      <c r="G1410"/>
      <c r="X1410"/>
    </row>
    <row r="1411" spans="4:24" x14ac:dyDescent="0.25">
      <c r="D1411"/>
      <c r="E1411"/>
      <c r="F1411"/>
      <c r="G1411"/>
      <c r="X1411"/>
    </row>
    <row r="1412" spans="4:24" x14ac:dyDescent="0.25">
      <c r="D1412"/>
      <c r="E1412"/>
      <c r="F1412"/>
      <c r="G1412"/>
      <c r="X1412"/>
    </row>
    <row r="1413" spans="4:24" x14ac:dyDescent="0.25">
      <c r="D1413"/>
      <c r="E1413"/>
      <c r="F1413"/>
      <c r="G1413"/>
      <c r="X1413"/>
    </row>
    <row r="1414" spans="4:24" x14ac:dyDescent="0.25">
      <c r="D1414"/>
      <c r="E1414"/>
      <c r="F1414"/>
      <c r="G1414"/>
      <c r="X1414"/>
    </row>
    <row r="1415" spans="4:24" x14ac:dyDescent="0.25">
      <c r="D1415"/>
      <c r="E1415"/>
      <c r="F1415"/>
      <c r="G1415"/>
      <c r="X1415"/>
    </row>
    <row r="1416" spans="4:24" x14ac:dyDescent="0.25">
      <c r="D1416"/>
      <c r="E1416"/>
      <c r="F1416"/>
      <c r="G1416"/>
      <c r="X1416"/>
    </row>
    <row r="1417" spans="4:24" x14ac:dyDescent="0.25">
      <c r="D1417"/>
      <c r="E1417"/>
      <c r="F1417"/>
      <c r="G1417"/>
      <c r="X1417"/>
    </row>
    <row r="1418" spans="4:24" x14ac:dyDescent="0.25">
      <c r="D1418"/>
      <c r="E1418"/>
      <c r="F1418"/>
      <c r="G1418"/>
      <c r="X1418"/>
    </row>
    <row r="1419" spans="4:24" x14ac:dyDescent="0.25">
      <c r="D1419"/>
      <c r="E1419"/>
      <c r="F1419"/>
      <c r="G1419"/>
      <c r="X1419"/>
    </row>
    <row r="1420" spans="4:24" x14ac:dyDescent="0.25">
      <c r="D1420"/>
      <c r="E1420"/>
      <c r="F1420"/>
      <c r="G1420"/>
      <c r="X1420"/>
    </row>
    <row r="1421" spans="4:24" x14ac:dyDescent="0.25">
      <c r="D1421"/>
      <c r="E1421"/>
      <c r="F1421"/>
      <c r="G1421"/>
      <c r="X1421"/>
    </row>
    <row r="1422" spans="4:24" x14ac:dyDescent="0.25">
      <c r="D1422"/>
      <c r="E1422"/>
      <c r="F1422"/>
      <c r="G1422"/>
      <c r="X1422"/>
    </row>
    <row r="1423" spans="4:24" x14ac:dyDescent="0.25">
      <c r="D1423"/>
      <c r="E1423"/>
      <c r="F1423"/>
      <c r="G1423"/>
      <c r="X1423"/>
    </row>
    <row r="1424" spans="4:24" x14ac:dyDescent="0.25">
      <c r="D1424"/>
      <c r="E1424"/>
      <c r="F1424"/>
      <c r="G1424"/>
      <c r="X1424"/>
    </row>
    <row r="1425" spans="4:24" x14ac:dyDescent="0.25">
      <c r="D1425"/>
      <c r="E1425"/>
      <c r="F1425"/>
      <c r="G1425"/>
      <c r="X1425"/>
    </row>
    <row r="1426" spans="4:24" x14ac:dyDescent="0.25">
      <c r="D1426"/>
      <c r="E1426"/>
      <c r="F1426"/>
      <c r="G1426"/>
      <c r="X1426"/>
    </row>
    <row r="1427" spans="4:24" x14ac:dyDescent="0.25">
      <c r="D1427"/>
      <c r="E1427"/>
      <c r="F1427"/>
      <c r="G1427"/>
      <c r="X1427"/>
    </row>
    <row r="1428" spans="4:24" x14ac:dyDescent="0.25">
      <c r="D1428"/>
      <c r="E1428"/>
      <c r="F1428"/>
      <c r="G1428"/>
      <c r="X1428"/>
    </row>
    <row r="1429" spans="4:24" x14ac:dyDescent="0.25">
      <c r="D1429"/>
      <c r="E1429"/>
      <c r="F1429"/>
      <c r="G1429"/>
      <c r="X1429"/>
    </row>
    <row r="1430" spans="4:24" x14ac:dyDescent="0.25">
      <c r="D1430"/>
      <c r="E1430"/>
      <c r="F1430"/>
      <c r="G1430"/>
      <c r="X1430"/>
    </row>
    <row r="1431" spans="4:24" x14ac:dyDescent="0.25">
      <c r="D1431"/>
      <c r="E1431"/>
      <c r="F1431"/>
      <c r="G1431"/>
      <c r="X1431"/>
    </row>
    <row r="1432" spans="4:24" x14ac:dyDescent="0.25">
      <c r="D1432"/>
      <c r="E1432"/>
      <c r="F1432"/>
      <c r="G1432"/>
      <c r="X1432"/>
    </row>
    <row r="1433" spans="4:24" x14ac:dyDescent="0.25">
      <c r="D1433"/>
      <c r="E1433"/>
      <c r="F1433"/>
      <c r="G1433"/>
      <c r="X1433"/>
    </row>
    <row r="1434" spans="4:24" x14ac:dyDescent="0.25">
      <c r="D1434"/>
      <c r="E1434"/>
      <c r="F1434"/>
      <c r="G1434"/>
      <c r="X1434"/>
    </row>
    <row r="1435" spans="4:24" x14ac:dyDescent="0.25">
      <c r="D1435"/>
      <c r="E1435"/>
      <c r="F1435"/>
      <c r="G1435"/>
      <c r="X1435"/>
    </row>
    <row r="1436" spans="4:24" x14ac:dyDescent="0.25">
      <c r="D1436"/>
      <c r="E1436"/>
      <c r="F1436"/>
      <c r="G1436"/>
      <c r="X1436"/>
    </row>
    <row r="1437" spans="4:24" x14ac:dyDescent="0.25">
      <c r="D1437"/>
      <c r="E1437"/>
      <c r="F1437"/>
      <c r="G1437"/>
      <c r="X1437"/>
    </row>
    <row r="1438" spans="4:24" x14ac:dyDescent="0.25">
      <c r="D1438"/>
      <c r="E1438"/>
      <c r="F1438"/>
      <c r="G1438"/>
      <c r="X1438"/>
    </row>
    <row r="1439" spans="4:24" x14ac:dyDescent="0.25">
      <c r="D1439"/>
      <c r="E1439"/>
      <c r="F1439"/>
      <c r="G1439"/>
      <c r="X1439"/>
    </row>
    <row r="1440" spans="4:24" x14ac:dyDescent="0.25">
      <c r="D1440"/>
      <c r="E1440"/>
      <c r="F1440"/>
      <c r="G1440"/>
      <c r="X1440"/>
    </row>
    <row r="1441" spans="4:24" x14ac:dyDescent="0.25">
      <c r="D1441"/>
      <c r="E1441"/>
      <c r="F1441"/>
      <c r="G1441"/>
      <c r="X1441"/>
    </row>
    <row r="1442" spans="4:24" x14ac:dyDescent="0.25">
      <c r="D1442"/>
      <c r="E1442"/>
      <c r="F1442"/>
      <c r="G1442"/>
      <c r="X1442"/>
    </row>
    <row r="1443" spans="4:24" x14ac:dyDescent="0.25">
      <c r="D1443"/>
      <c r="E1443"/>
      <c r="F1443"/>
      <c r="G1443"/>
      <c r="X1443"/>
    </row>
    <row r="1444" spans="4:24" x14ac:dyDescent="0.25">
      <c r="D1444"/>
      <c r="E1444"/>
      <c r="F1444"/>
      <c r="G1444"/>
      <c r="X1444"/>
    </row>
    <row r="1445" spans="4:24" x14ac:dyDescent="0.25">
      <c r="D1445"/>
      <c r="E1445"/>
      <c r="F1445"/>
      <c r="G1445"/>
      <c r="X1445"/>
    </row>
    <row r="1446" spans="4:24" x14ac:dyDescent="0.25">
      <c r="D1446"/>
      <c r="E1446"/>
      <c r="F1446"/>
      <c r="G1446"/>
      <c r="X1446"/>
    </row>
    <row r="1447" spans="4:24" x14ac:dyDescent="0.25">
      <c r="D1447"/>
      <c r="E1447"/>
      <c r="F1447"/>
      <c r="G1447"/>
      <c r="X1447"/>
    </row>
    <row r="1448" spans="4:24" x14ac:dyDescent="0.25">
      <c r="D1448"/>
      <c r="E1448"/>
      <c r="F1448"/>
      <c r="G1448"/>
      <c r="X1448"/>
    </row>
    <row r="1449" spans="4:24" x14ac:dyDescent="0.25">
      <c r="D1449"/>
      <c r="E1449"/>
      <c r="F1449"/>
      <c r="G1449"/>
      <c r="X1449"/>
    </row>
    <row r="1450" spans="4:24" x14ac:dyDescent="0.25">
      <c r="D1450"/>
      <c r="E1450"/>
      <c r="F1450"/>
      <c r="G1450"/>
      <c r="X1450"/>
    </row>
    <row r="1451" spans="4:24" x14ac:dyDescent="0.25">
      <c r="D1451"/>
      <c r="E1451"/>
      <c r="F1451"/>
      <c r="G1451"/>
      <c r="X1451"/>
    </row>
    <row r="1452" spans="4:24" x14ac:dyDescent="0.25">
      <c r="D1452"/>
      <c r="E1452"/>
      <c r="F1452"/>
      <c r="G1452"/>
      <c r="X1452"/>
    </row>
    <row r="1453" spans="4:24" x14ac:dyDescent="0.25">
      <c r="D1453"/>
      <c r="E1453"/>
      <c r="F1453"/>
      <c r="G1453"/>
      <c r="X1453"/>
    </row>
    <row r="1454" spans="4:24" x14ac:dyDescent="0.25">
      <c r="D1454"/>
      <c r="E1454"/>
      <c r="F1454"/>
      <c r="G1454"/>
      <c r="X1454"/>
    </row>
    <row r="1455" spans="4:24" x14ac:dyDescent="0.25">
      <c r="D1455"/>
      <c r="E1455"/>
      <c r="F1455"/>
      <c r="G1455"/>
      <c r="X1455"/>
    </row>
    <row r="1456" spans="4:24" x14ac:dyDescent="0.25">
      <c r="D1456"/>
      <c r="E1456"/>
      <c r="F1456"/>
      <c r="G1456"/>
      <c r="X1456"/>
    </row>
    <row r="1457" spans="4:24" x14ac:dyDescent="0.25">
      <c r="D1457"/>
      <c r="E1457"/>
      <c r="F1457"/>
      <c r="G1457"/>
      <c r="X1457"/>
    </row>
    <row r="1458" spans="4:24" x14ac:dyDescent="0.25">
      <c r="D1458"/>
      <c r="E1458"/>
      <c r="F1458"/>
      <c r="G1458"/>
      <c r="X1458"/>
    </row>
    <row r="1459" spans="4:24" x14ac:dyDescent="0.25">
      <c r="D1459"/>
      <c r="E1459"/>
      <c r="F1459"/>
      <c r="G1459"/>
      <c r="X1459"/>
    </row>
    <row r="1460" spans="4:24" x14ac:dyDescent="0.25">
      <c r="D1460"/>
      <c r="E1460"/>
      <c r="F1460"/>
      <c r="G1460"/>
      <c r="X1460"/>
    </row>
    <row r="1461" spans="4:24" x14ac:dyDescent="0.25">
      <c r="D1461"/>
      <c r="E1461"/>
      <c r="F1461"/>
      <c r="G1461"/>
      <c r="X1461"/>
    </row>
    <row r="1462" spans="4:24" x14ac:dyDescent="0.25">
      <c r="D1462"/>
      <c r="E1462"/>
      <c r="F1462"/>
      <c r="G1462"/>
      <c r="X1462"/>
    </row>
    <row r="1463" spans="4:24" x14ac:dyDescent="0.25">
      <c r="D1463"/>
      <c r="E1463"/>
      <c r="F1463"/>
      <c r="G1463"/>
      <c r="X1463"/>
    </row>
    <row r="1464" spans="4:24" x14ac:dyDescent="0.25">
      <c r="D1464"/>
      <c r="E1464"/>
      <c r="F1464"/>
      <c r="G1464"/>
      <c r="X1464"/>
    </row>
    <row r="1465" spans="4:24" x14ac:dyDescent="0.25">
      <c r="D1465"/>
      <c r="E1465"/>
      <c r="F1465"/>
      <c r="G1465"/>
      <c r="X1465"/>
    </row>
    <row r="1466" spans="4:24" x14ac:dyDescent="0.25">
      <c r="D1466"/>
      <c r="E1466"/>
      <c r="F1466"/>
      <c r="G1466"/>
      <c r="X1466"/>
    </row>
    <row r="1467" spans="4:24" x14ac:dyDescent="0.25">
      <c r="D1467"/>
      <c r="E1467"/>
      <c r="F1467"/>
      <c r="G1467"/>
      <c r="X1467"/>
    </row>
    <row r="1468" spans="4:24" x14ac:dyDescent="0.25">
      <c r="D1468"/>
      <c r="E1468"/>
      <c r="F1468"/>
      <c r="G1468"/>
      <c r="X1468"/>
    </row>
    <row r="1469" spans="4:24" x14ac:dyDescent="0.25">
      <c r="D1469"/>
      <c r="E1469"/>
      <c r="F1469"/>
      <c r="G1469"/>
      <c r="X1469"/>
    </row>
    <row r="1470" spans="4:24" x14ac:dyDescent="0.25">
      <c r="D1470"/>
      <c r="E1470"/>
      <c r="F1470"/>
      <c r="G1470"/>
      <c r="X1470"/>
    </row>
    <row r="1471" spans="4:24" x14ac:dyDescent="0.25">
      <c r="D1471"/>
      <c r="E1471"/>
      <c r="F1471"/>
      <c r="G1471"/>
      <c r="X1471"/>
    </row>
    <row r="1472" spans="4:24" x14ac:dyDescent="0.25">
      <c r="D1472"/>
      <c r="E1472"/>
      <c r="F1472"/>
      <c r="G1472"/>
      <c r="X1472"/>
    </row>
    <row r="1473" spans="4:24" x14ac:dyDescent="0.25">
      <c r="D1473"/>
      <c r="E1473"/>
      <c r="F1473"/>
      <c r="G1473"/>
      <c r="X1473"/>
    </row>
    <row r="1474" spans="4:24" x14ac:dyDescent="0.25">
      <c r="D1474"/>
      <c r="E1474"/>
      <c r="F1474"/>
      <c r="G1474"/>
      <c r="X1474"/>
    </row>
    <row r="1475" spans="4:24" x14ac:dyDescent="0.25">
      <c r="D1475"/>
      <c r="E1475"/>
      <c r="F1475"/>
      <c r="G1475"/>
      <c r="X1475"/>
    </row>
    <row r="1476" spans="4:24" x14ac:dyDescent="0.25">
      <c r="D1476"/>
      <c r="E1476"/>
      <c r="F1476"/>
      <c r="G1476"/>
      <c r="X1476"/>
    </row>
    <row r="1477" spans="4:24" x14ac:dyDescent="0.25">
      <c r="D1477"/>
      <c r="E1477"/>
      <c r="F1477"/>
      <c r="G1477"/>
      <c r="X1477"/>
    </row>
    <row r="1478" spans="4:24" x14ac:dyDescent="0.25">
      <c r="D1478"/>
      <c r="E1478"/>
      <c r="F1478"/>
      <c r="G1478"/>
      <c r="X1478"/>
    </row>
    <row r="1479" spans="4:24" x14ac:dyDescent="0.25">
      <c r="D1479"/>
      <c r="E1479"/>
      <c r="F1479"/>
      <c r="G1479"/>
      <c r="X1479"/>
    </row>
    <row r="1480" spans="4:24" x14ac:dyDescent="0.25">
      <c r="D1480"/>
      <c r="E1480"/>
      <c r="F1480"/>
      <c r="G1480"/>
      <c r="X1480"/>
    </row>
    <row r="1481" spans="4:24" x14ac:dyDescent="0.25">
      <c r="D1481"/>
      <c r="E1481"/>
      <c r="F1481"/>
      <c r="G1481"/>
      <c r="X1481"/>
    </row>
    <row r="1482" spans="4:24" x14ac:dyDescent="0.25">
      <c r="D1482"/>
      <c r="E1482"/>
      <c r="F1482"/>
      <c r="G1482"/>
      <c r="X1482"/>
    </row>
    <row r="1483" spans="4:24" x14ac:dyDescent="0.25">
      <c r="D1483"/>
      <c r="E1483"/>
      <c r="F1483"/>
      <c r="G1483"/>
      <c r="X1483"/>
    </row>
    <row r="1484" spans="4:24" x14ac:dyDescent="0.25">
      <c r="D1484"/>
      <c r="E1484"/>
      <c r="F1484"/>
      <c r="G1484"/>
      <c r="X1484"/>
    </row>
    <row r="1485" spans="4:24" x14ac:dyDescent="0.25">
      <c r="D1485"/>
      <c r="E1485"/>
      <c r="F1485"/>
      <c r="G1485"/>
      <c r="X1485"/>
    </row>
    <row r="1486" spans="4:24" x14ac:dyDescent="0.25">
      <c r="D1486"/>
      <c r="E1486"/>
      <c r="F1486"/>
      <c r="G1486"/>
      <c r="X1486"/>
    </row>
    <row r="1487" spans="4:24" x14ac:dyDescent="0.25">
      <c r="D1487"/>
      <c r="E1487"/>
      <c r="F1487"/>
      <c r="G1487"/>
      <c r="X1487"/>
    </row>
    <row r="1488" spans="4:24" x14ac:dyDescent="0.25">
      <c r="D1488"/>
      <c r="E1488"/>
      <c r="F1488"/>
      <c r="G1488"/>
      <c r="X1488"/>
    </row>
    <row r="1489" spans="4:24" x14ac:dyDescent="0.25">
      <c r="D1489"/>
      <c r="E1489"/>
      <c r="F1489"/>
      <c r="G1489"/>
      <c r="X1489"/>
    </row>
    <row r="1490" spans="4:24" x14ac:dyDescent="0.25">
      <c r="D1490"/>
      <c r="E1490"/>
      <c r="F1490"/>
      <c r="G1490"/>
      <c r="X1490"/>
    </row>
    <row r="1491" spans="4:24" x14ac:dyDescent="0.25">
      <c r="D1491"/>
      <c r="E1491"/>
      <c r="F1491"/>
      <c r="G1491"/>
      <c r="X1491"/>
    </row>
    <row r="1492" spans="4:24" x14ac:dyDescent="0.25">
      <c r="D1492"/>
      <c r="E1492"/>
      <c r="F1492"/>
      <c r="G1492"/>
      <c r="X1492"/>
    </row>
    <row r="1493" spans="4:24" x14ac:dyDescent="0.25">
      <c r="D1493"/>
      <c r="E1493"/>
      <c r="F1493"/>
      <c r="G1493"/>
      <c r="X1493"/>
    </row>
    <row r="1494" spans="4:24" x14ac:dyDescent="0.25">
      <c r="D1494"/>
      <c r="E1494"/>
      <c r="F1494"/>
      <c r="G1494"/>
      <c r="X1494"/>
    </row>
    <row r="1495" spans="4:24" x14ac:dyDescent="0.25">
      <c r="D1495"/>
      <c r="E1495"/>
      <c r="F1495"/>
      <c r="G1495"/>
      <c r="X1495"/>
    </row>
    <row r="1496" spans="4:24" x14ac:dyDescent="0.25">
      <c r="D1496"/>
      <c r="E1496"/>
      <c r="F1496"/>
      <c r="G1496"/>
      <c r="X1496"/>
    </row>
    <row r="1497" spans="4:24" x14ac:dyDescent="0.25">
      <c r="D1497"/>
      <c r="E1497"/>
      <c r="F1497"/>
      <c r="G1497"/>
      <c r="X1497"/>
    </row>
    <row r="1498" spans="4:24" x14ac:dyDescent="0.25">
      <c r="D1498"/>
      <c r="E1498"/>
      <c r="F1498"/>
      <c r="G1498"/>
      <c r="X1498"/>
    </row>
    <row r="1499" spans="4:24" x14ac:dyDescent="0.25">
      <c r="D1499"/>
      <c r="E1499"/>
      <c r="F1499"/>
      <c r="G1499"/>
      <c r="X1499"/>
    </row>
    <row r="1500" spans="4:24" x14ac:dyDescent="0.25">
      <c r="D1500"/>
      <c r="E1500"/>
      <c r="F1500"/>
      <c r="G1500"/>
      <c r="X1500"/>
    </row>
    <row r="1501" spans="4:24" x14ac:dyDescent="0.25">
      <c r="D1501"/>
      <c r="E1501"/>
      <c r="F1501"/>
      <c r="G1501"/>
      <c r="X1501"/>
    </row>
    <row r="1502" spans="4:24" x14ac:dyDescent="0.25">
      <c r="D1502"/>
      <c r="E1502"/>
      <c r="F1502"/>
      <c r="G1502"/>
      <c r="X1502"/>
    </row>
    <row r="1503" spans="4:24" x14ac:dyDescent="0.25">
      <c r="D1503"/>
      <c r="E1503"/>
      <c r="F1503"/>
      <c r="G1503"/>
      <c r="X1503"/>
    </row>
    <row r="1504" spans="4:24" x14ac:dyDescent="0.25">
      <c r="D1504"/>
      <c r="E1504"/>
      <c r="F1504"/>
      <c r="G1504"/>
      <c r="X1504"/>
    </row>
    <row r="1505" spans="4:24" x14ac:dyDescent="0.25">
      <c r="D1505"/>
      <c r="E1505"/>
      <c r="F1505"/>
      <c r="G1505"/>
      <c r="X1505"/>
    </row>
    <row r="1506" spans="4:24" x14ac:dyDescent="0.25">
      <c r="D1506"/>
      <c r="E1506"/>
      <c r="F1506"/>
      <c r="G1506"/>
      <c r="X1506"/>
    </row>
    <row r="1507" spans="4:24" x14ac:dyDescent="0.25">
      <c r="D1507"/>
      <c r="E1507"/>
      <c r="F1507"/>
      <c r="G1507"/>
      <c r="X1507"/>
    </row>
    <row r="1508" spans="4:24" x14ac:dyDescent="0.25">
      <c r="D1508"/>
      <c r="E1508"/>
      <c r="F1508"/>
      <c r="G1508"/>
      <c r="X1508"/>
    </row>
    <row r="1509" spans="4:24" x14ac:dyDescent="0.25">
      <c r="D1509"/>
      <c r="E1509"/>
      <c r="F1509"/>
      <c r="G1509"/>
      <c r="X1509"/>
    </row>
    <row r="1510" spans="4:24" x14ac:dyDescent="0.25">
      <c r="D1510"/>
      <c r="E1510"/>
      <c r="F1510"/>
      <c r="G1510"/>
      <c r="X1510"/>
    </row>
    <row r="1511" spans="4:24" x14ac:dyDescent="0.25">
      <c r="D1511"/>
      <c r="E1511"/>
      <c r="F1511"/>
      <c r="G1511"/>
      <c r="X1511"/>
    </row>
    <row r="1512" spans="4:24" x14ac:dyDescent="0.25">
      <c r="D1512"/>
      <c r="E1512"/>
      <c r="F1512"/>
      <c r="G1512"/>
      <c r="X1512"/>
    </row>
    <row r="1513" spans="4:24" x14ac:dyDescent="0.25">
      <c r="D1513"/>
      <c r="E1513"/>
      <c r="F1513"/>
      <c r="G1513"/>
      <c r="X1513"/>
    </row>
    <row r="1514" spans="4:24" x14ac:dyDescent="0.25">
      <c r="D1514"/>
      <c r="E1514"/>
      <c r="F1514"/>
      <c r="G1514"/>
      <c r="X1514"/>
    </row>
    <row r="1515" spans="4:24" x14ac:dyDescent="0.25">
      <c r="D1515"/>
      <c r="E1515"/>
      <c r="F1515"/>
      <c r="G1515"/>
      <c r="X1515"/>
    </row>
    <row r="1516" spans="4:24" x14ac:dyDescent="0.25">
      <c r="D1516"/>
      <c r="E1516"/>
      <c r="F1516"/>
      <c r="G1516"/>
      <c r="X1516"/>
    </row>
    <row r="1517" spans="4:24" x14ac:dyDescent="0.25">
      <c r="D1517"/>
      <c r="E1517"/>
      <c r="F1517"/>
      <c r="G1517"/>
      <c r="X1517"/>
    </row>
    <row r="1518" spans="4:24" x14ac:dyDescent="0.25">
      <c r="D1518"/>
      <c r="E1518"/>
      <c r="F1518"/>
      <c r="G1518"/>
      <c r="X1518"/>
    </row>
    <row r="1519" spans="4:24" x14ac:dyDescent="0.25">
      <c r="D1519"/>
      <c r="E1519"/>
      <c r="F1519"/>
      <c r="G1519"/>
      <c r="X1519"/>
    </row>
    <row r="1520" spans="4:24" x14ac:dyDescent="0.25">
      <c r="D1520"/>
      <c r="E1520"/>
      <c r="F1520"/>
      <c r="G1520"/>
      <c r="X1520"/>
    </row>
    <row r="1521" spans="4:24" x14ac:dyDescent="0.25">
      <c r="D1521"/>
      <c r="E1521"/>
      <c r="F1521"/>
      <c r="G1521"/>
      <c r="X1521"/>
    </row>
    <row r="1522" spans="4:24" x14ac:dyDescent="0.25">
      <c r="D1522"/>
      <c r="E1522"/>
      <c r="F1522"/>
      <c r="G1522"/>
      <c r="X1522"/>
    </row>
    <row r="1523" spans="4:24" x14ac:dyDescent="0.25">
      <c r="D1523"/>
      <c r="E1523"/>
      <c r="F1523"/>
      <c r="G1523"/>
      <c r="X1523"/>
    </row>
    <row r="1524" spans="4:24" x14ac:dyDescent="0.25">
      <c r="D1524"/>
      <c r="E1524"/>
      <c r="F1524"/>
      <c r="G1524"/>
      <c r="X1524"/>
    </row>
    <row r="1525" spans="4:24" x14ac:dyDescent="0.25">
      <c r="D1525"/>
      <c r="E1525"/>
      <c r="F1525"/>
      <c r="G1525"/>
      <c r="X1525"/>
    </row>
    <row r="1526" spans="4:24" x14ac:dyDescent="0.25">
      <c r="D1526"/>
      <c r="E1526"/>
      <c r="F1526"/>
      <c r="G1526"/>
      <c r="X1526"/>
    </row>
    <row r="1527" spans="4:24" x14ac:dyDescent="0.25">
      <c r="D1527"/>
      <c r="E1527"/>
      <c r="F1527"/>
      <c r="G1527"/>
      <c r="X1527"/>
    </row>
    <row r="1528" spans="4:24" x14ac:dyDescent="0.25">
      <c r="D1528"/>
      <c r="E1528"/>
      <c r="F1528"/>
      <c r="G1528"/>
      <c r="X1528"/>
    </row>
    <row r="1529" spans="4:24" x14ac:dyDescent="0.25">
      <c r="D1529"/>
      <c r="E1529"/>
      <c r="F1529"/>
      <c r="G1529"/>
      <c r="X1529"/>
    </row>
    <row r="1530" spans="4:24" x14ac:dyDescent="0.25">
      <c r="D1530"/>
      <c r="E1530"/>
      <c r="F1530"/>
      <c r="G1530"/>
      <c r="X1530"/>
    </row>
    <row r="1531" spans="4:24" x14ac:dyDescent="0.25">
      <c r="D1531"/>
      <c r="E1531"/>
      <c r="F1531"/>
      <c r="G1531"/>
      <c r="X1531"/>
    </row>
    <row r="1532" spans="4:24" x14ac:dyDescent="0.25">
      <c r="D1532"/>
      <c r="E1532"/>
      <c r="F1532"/>
      <c r="G1532"/>
      <c r="X1532"/>
    </row>
    <row r="1533" spans="4:24" x14ac:dyDescent="0.25">
      <c r="D1533"/>
      <c r="E1533"/>
      <c r="F1533"/>
      <c r="G1533"/>
      <c r="X1533"/>
    </row>
    <row r="1534" spans="4:24" x14ac:dyDescent="0.25">
      <c r="D1534"/>
      <c r="E1534"/>
      <c r="F1534"/>
      <c r="G1534"/>
      <c r="X1534"/>
    </row>
    <row r="1535" spans="4:24" x14ac:dyDescent="0.25">
      <c r="D1535"/>
      <c r="E1535"/>
      <c r="F1535"/>
      <c r="G1535"/>
      <c r="X1535"/>
    </row>
    <row r="1536" spans="4:24" x14ac:dyDescent="0.25">
      <c r="D1536"/>
      <c r="E1536"/>
      <c r="F1536"/>
      <c r="G1536"/>
      <c r="X1536"/>
    </row>
    <row r="1537" spans="4:24" x14ac:dyDescent="0.25">
      <c r="D1537"/>
      <c r="E1537"/>
      <c r="F1537"/>
      <c r="G1537"/>
      <c r="X1537"/>
    </row>
    <row r="1538" spans="4:24" x14ac:dyDescent="0.25">
      <c r="D1538"/>
      <c r="E1538"/>
      <c r="F1538"/>
      <c r="G1538"/>
      <c r="X1538"/>
    </row>
    <row r="1539" spans="4:24" x14ac:dyDescent="0.25">
      <c r="D1539"/>
      <c r="E1539"/>
      <c r="F1539"/>
      <c r="G1539"/>
      <c r="X1539"/>
    </row>
    <row r="1540" spans="4:24" x14ac:dyDescent="0.25">
      <c r="D1540"/>
      <c r="E1540"/>
      <c r="F1540"/>
      <c r="G1540"/>
      <c r="X1540"/>
    </row>
    <row r="1541" spans="4:24" x14ac:dyDescent="0.25">
      <c r="D1541"/>
      <c r="E1541"/>
      <c r="F1541"/>
      <c r="G1541"/>
      <c r="X1541"/>
    </row>
    <row r="1542" spans="4:24" x14ac:dyDescent="0.25">
      <c r="D1542"/>
      <c r="E1542"/>
      <c r="F1542"/>
      <c r="G1542"/>
      <c r="X1542"/>
    </row>
    <row r="1543" spans="4:24" x14ac:dyDescent="0.25">
      <c r="D1543"/>
      <c r="E1543"/>
      <c r="F1543"/>
      <c r="G1543"/>
      <c r="X1543"/>
    </row>
    <row r="1544" spans="4:24" x14ac:dyDescent="0.25">
      <c r="D1544"/>
      <c r="E1544"/>
      <c r="F1544"/>
      <c r="G1544"/>
      <c r="X1544"/>
    </row>
    <row r="1545" spans="4:24" x14ac:dyDescent="0.25">
      <c r="D1545"/>
      <c r="E1545"/>
      <c r="F1545"/>
      <c r="G1545"/>
      <c r="X1545"/>
    </row>
    <row r="1546" spans="4:24" x14ac:dyDescent="0.25">
      <c r="D1546"/>
      <c r="E1546"/>
      <c r="F1546"/>
      <c r="G1546"/>
      <c r="X1546"/>
    </row>
    <row r="1547" spans="4:24" x14ac:dyDescent="0.25">
      <c r="D1547"/>
      <c r="E1547"/>
      <c r="F1547"/>
      <c r="G1547"/>
      <c r="X1547"/>
    </row>
    <row r="1548" spans="4:24" x14ac:dyDescent="0.25">
      <c r="D1548"/>
      <c r="E1548"/>
      <c r="F1548"/>
      <c r="G1548"/>
      <c r="X1548"/>
    </row>
    <row r="1549" spans="4:24" x14ac:dyDescent="0.25">
      <c r="D1549"/>
      <c r="E1549"/>
      <c r="F1549"/>
      <c r="G1549"/>
      <c r="X1549"/>
    </row>
    <row r="1550" spans="4:24" x14ac:dyDescent="0.25">
      <c r="D1550"/>
      <c r="E1550"/>
      <c r="F1550"/>
      <c r="G1550"/>
      <c r="X1550"/>
    </row>
    <row r="1551" spans="4:24" x14ac:dyDescent="0.25">
      <c r="D1551"/>
      <c r="E1551"/>
      <c r="F1551"/>
      <c r="G1551"/>
      <c r="X1551"/>
    </row>
    <row r="1552" spans="4:24" x14ac:dyDescent="0.25">
      <c r="D1552"/>
      <c r="E1552"/>
      <c r="F1552"/>
      <c r="G1552"/>
      <c r="X1552"/>
    </row>
    <row r="1553" spans="4:24" x14ac:dyDescent="0.25">
      <c r="D1553"/>
      <c r="E1553"/>
      <c r="F1553"/>
      <c r="G1553"/>
      <c r="X1553"/>
    </row>
    <row r="1554" spans="4:24" x14ac:dyDescent="0.25">
      <c r="D1554"/>
      <c r="E1554"/>
      <c r="F1554"/>
      <c r="G1554"/>
      <c r="X1554"/>
    </row>
    <row r="1555" spans="4:24" x14ac:dyDescent="0.25">
      <c r="D1555"/>
      <c r="E1555"/>
      <c r="F1555"/>
      <c r="G1555"/>
      <c r="X1555"/>
    </row>
    <row r="1556" spans="4:24" x14ac:dyDescent="0.25">
      <c r="D1556"/>
      <c r="E1556"/>
      <c r="F1556"/>
      <c r="G1556"/>
      <c r="X1556"/>
    </row>
    <row r="1557" spans="4:24" x14ac:dyDescent="0.25">
      <c r="D1557"/>
      <c r="E1557"/>
      <c r="F1557"/>
      <c r="G1557"/>
      <c r="X1557"/>
    </row>
    <row r="1558" spans="4:24" x14ac:dyDescent="0.25">
      <c r="D1558"/>
      <c r="E1558"/>
      <c r="F1558"/>
      <c r="G1558"/>
      <c r="X1558"/>
    </row>
    <row r="1559" spans="4:24" x14ac:dyDescent="0.25">
      <c r="D1559"/>
      <c r="E1559"/>
      <c r="F1559"/>
      <c r="G1559"/>
      <c r="X1559"/>
    </row>
    <row r="1560" spans="4:24" x14ac:dyDescent="0.25">
      <c r="D1560"/>
      <c r="E1560"/>
      <c r="F1560"/>
      <c r="G1560"/>
      <c r="X1560"/>
    </row>
    <row r="1561" spans="4:24" x14ac:dyDescent="0.25">
      <c r="D1561"/>
      <c r="E1561"/>
      <c r="F1561"/>
      <c r="G1561"/>
      <c r="X1561"/>
    </row>
    <row r="1562" spans="4:24" x14ac:dyDescent="0.25">
      <c r="D1562"/>
      <c r="E1562"/>
      <c r="F1562"/>
      <c r="G1562"/>
      <c r="X1562"/>
    </row>
    <row r="1563" spans="4:24" x14ac:dyDescent="0.25">
      <c r="D1563"/>
      <c r="E1563"/>
      <c r="F1563"/>
      <c r="G1563"/>
      <c r="X1563"/>
    </row>
    <row r="1564" spans="4:24" x14ac:dyDescent="0.25">
      <c r="D1564"/>
      <c r="E1564"/>
      <c r="F1564"/>
      <c r="G1564"/>
      <c r="X1564"/>
    </row>
    <row r="1565" spans="4:24" x14ac:dyDescent="0.25">
      <c r="D1565"/>
      <c r="E1565"/>
      <c r="F1565"/>
      <c r="G1565"/>
      <c r="X1565"/>
    </row>
    <row r="1566" spans="4:24" x14ac:dyDescent="0.25">
      <c r="D1566"/>
      <c r="E1566"/>
      <c r="F1566"/>
      <c r="G1566"/>
      <c r="X1566"/>
    </row>
    <row r="1567" spans="4:24" x14ac:dyDescent="0.25">
      <c r="D1567"/>
      <c r="E1567"/>
      <c r="F1567"/>
      <c r="G1567"/>
      <c r="X1567"/>
    </row>
    <row r="1568" spans="4:24" x14ac:dyDescent="0.25">
      <c r="D1568"/>
      <c r="E1568"/>
      <c r="F1568"/>
      <c r="G1568"/>
      <c r="X1568"/>
    </row>
    <row r="1569" spans="4:24" x14ac:dyDescent="0.25">
      <c r="D1569"/>
      <c r="E1569"/>
      <c r="F1569"/>
      <c r="G1569"/>
      <c r="X1569"/>
    </row>
    <row r="1570" spans="4:24" x14ac:dyDescent="0.25">
      <c r="D1570"/>
      <c r="E1570"/>
      <c r="F1570"/>
      <c r="G1570"/>
      <c r="X1570"/>
    </row>
    <row r="1571" spans="4:24" x14ac:dyDescent="0.25">
      <c r="D1571"/>
      <c r="E1571"/>
      <c r="F1571"/>
      <c r="G1571"/>
      <c r="X1571"/>
    </row>
    <row r="1572" spans="4:24" x14ac:dyDescent="0.25">
      <c r="D1572"/>
      <c r="E1572"/>
      <c r="F1572"/>
      <c r="G1572"/>
      <c r="X1572"/>
    </row>
    <row r="1573" spans="4:24" x14ac:dyDescent="0.25">
      <c r="D1573"/>
      <c r="E1573"/>
      <c r="F1573"/>
      <c r="G1573"/>
      <c r="X1573"/>
    </row>
    <row r="1574" spans="4:24" x14ac:dyDescent="0.25">
      <c r="D1574"/>
      <c r="E1574"/>
      <c r="F1574"/>
      <c r="G1574"/>
      <c r="X1574"/>
    </row>
    <row r="1575" spans="4:24" x14ac:dyDescent="0.25">
      <c r="D1575"/>
      <c r="E1575"/>
      <c r="F1575"/>
      <c r="G1575"/>
      <c r="X1575"/>
    </row>
    <row r="1576" spans="4:24" x14ac:dyDescent="0.25">
      <c r="D1576"/>
      <c r="E1576"/>
      <c r="F1576"/>
      <c r="G1576"/>
      <c r="X1576"/>
    </row>
    <row r="1577" spans="4:24" x14ac:dyDescent="0.25">
      <c r="D1577"/>
      <c r="E1577"/>
      <c r="F1577"/>
      <c r="G1577"/>
      <c r="X1577"/>
    </row>
    <row r="1578" spans="4:24" x14ac:dyDescent="0.25">
      <c r="D1578"/>
      <c r="E1578"/>
      <c r="F1578"/>
      <c r="G1578"/>
      <c r="X1578"/>
    </row>
    <row r="1579" spans="4:24" x14ac:dyDescent="0.25">
      <c r="D1579"/>
      <c r="E1579"/>
      <c r="F1579"/>
      <c r="G1579"/>
      <c r="X1579"/>
    </row>
    <row r="1580" spans="4:24" x14ac:dyDescent="0.25">
      <c r="D1580"/>
      <c r="E1580"/>
      <c r="F1580"/>
      <c r="G1580"/>
      <c r="X1580"/>
    </row>
    <row r="1581" spans="4:24" x14ac:dyDescent="0.25">
      <c r="D1581"/>
      <c r="E1581"/>
      <c r="F1581"/>
      <c r="G1581"/>
      <c r="X1581"/>
    </row>
    <row r="1582" spans="4:24" x14ac:dyDescent="0.25">
      <c r="D1582"/>
      <c r="E1582"/>
      <c r="F1582"/>
      <c r="G1582"/>
      <c r="X1582"/>
    </row>
    <row r="1583" spans="4:24" x14ac:dyDescent="0.25">
      <c r="D1583"/>
      <c r="E1583"/>
      <c r="F1583"/>
      <c r="G1583"/>
      <c r="X1583"/>
    </row>
    <row r="1584" spans="4:24" x14ac:dyDescent="0.25">
      <c r="D1584"/>
      <c r="E1584"/>
      <c r="F1584"/>
      <c r="G1584"/>
      <c r="X1584"/>
    </row>
    <row r="1585" spans="4:24" x14ac:dyDescent="0.25">
      <c r="D1585"/>
      <c r="E1585"/>
      <c r="F1585"/>
      <c r="G1585"/>
      <c r="X1585"/>
    </row>
    <row r="1586" spans="4:24" x14ac:dyDescent="0.25">
      <c r="D1586"/>
      <c r="E1586"/>
      <c r="F1586"/>
      <c r="G1586"/>
      <c r="X1586"/>
    </row>
    <row r="1587" spans="4:24" x14ac:dyDescent="0.25">
      <c r="D1587"/>
      <c r="E1587"/>
      <c r="F1587"/>
      <c r="G1587"/>
      <c r="X1587"/>
    </row>
    <row r="1588" spans="4:24" x14ac:dyDescent="0.25">
      <c r="D1588"/>
      <c r="E1588"/>
      <c r="F1588"/>
      <c r="G1588"/>
      <c r="X1588"/>
    </row>
    <row r="1589" spans="4:24" x14ac:dyDescent="0.25">
      <c r="D1589"/>
      <c r="E1589"/>
      <c r="F1589"/>
      <c r="G1589"/>
      <c r="X1589"/>
    </row>
    <row r="1590" spans="4:24" x14ac:dyDescent="0.25">
      <c r="D1590"/>
      <c r="E1590"/>
      <c r="F1590"/>
      <c r="G1590"/>
      <c r="X1590"/>
    </row>
    <row r="1591" spans="4:24" x14ac:dyDescent="0.25">
      <c r="D1591"/>
      <c r="E1591"/>
      <c r="F1591"/>
      <c r="G1591"/>
      <c r="X1591"/>
    </row>
    <row r="1592" spans="4:24" x14ac:dyDescent="0.25">
      <c r="D1592"/>
      <c r="E1592"/>
      <c r="F1592"/>
      <c r="G1592"/>
      <c r="X1592"/>
    </row>
    <row r="1593" spans="4:24" x14ac:dyDescent="0.25">
      <c r="D1593"/>
      <c r="E1593"/>
      <c r="F1593"/>
      <c r="G1593"/>
      <c r="X1593"/>
    </row>
    <row r="1594" spans="4:24" x14ac:dyDescent="0.25">
      <c r="D1594"/>
      <c r="E1594"/>
      <c r="F1594"/>
      <c r="G1594"/>
      <c r="X1594"/>
    </row>
    <row r="1595" spans="4:24" x14ac:dyDescent="0.25">
      <c r="D1595"/>
      <c r="E1595"/>
      <c r="F1595"/>
      <c r="G1595"/>
      <c r="X1595"/>
    </row>
    <row r="1596" spans="4:24" x14ac:dyDescent="0.25">
      <c r="D1596"/>
      <c r="E1596"/>
      <c r="F1596"/>
      <c r="G1596"/>
      <c r="X1596"/>
    </row>
    <row r="1597" spans="4:24" x14ac:dyDescent="0.25">
      <c r="D1597"/>
      <c r="E1597"/>
      <c r="F1597"/>
      <c r="G1597"/>
      <c r="X1597"/>
    </row>
    <row r="1598" spans="4:24" x14ac:dyDescent="0.25">
      <c r="D1598"/>
      <c r="E1598"/>
      <c r="F1598"/>
      <c r="G1598"/>
      <c r="X1598"/>
    </row>
    <row r="1599" spans="4:24" x14ac:dyDescent="0.25">
      <c r="D1599"/>
      <c r="E1599"/>
      <c r="F1599"/>
      <c r="G1599"/>
      <c r="X1599"/>
    </row>
    <row r="1600" spans="4:24" x14ac:dyDescent="0.25">
      <c r="D1600"/>
      <c r="E1600"/>
      <c r="F1600"/>
      <c r="G1600"/>
      <c r="X1600"/>
    </row>
    <row r="1601" spans="4:24" x14ac:dyDescent="0.25">
      <c r="D1601"/>
      <c r="E1601"/>
      <c r="F1601"/>
      <c r="G1601"/>
      <c r="X1601"/>
    </row>
    <row r="1602" spans="4:24" x14ac:dyDescent="0.25">
      <c r="D1602"/>
      <c r="E1602"/>
      <c r="F1602"/>
      <c r="G1602"/>
      <c r="X1602"/>
    </row>
    <row r="1603" spans="4:24" x14ac:dyDescent="0.25">
      <c r="D1603"/>
      <c r="E1603"/>
      <c r="F1603"/>
      <c r="G1603"/>
      <c r="X1603"/>
    </row>
    <row r="1604" spans="4:24" x14ac:dyDescent="0.25">
      <c r="D1604"/>
      <c r="E1604"/>
      <c r="F1604"/>
      <c r="G1604"/>
      <c r="X1604"/>
    </row>
    <row r="1605" spans="4:24" x14ac:dyDescent="0.25">
      <c r="D1605"/>
      <c r="E1605"/>
      <c r="F1605"/>
      <c r="G1605"/>
      <c r="X1605"/>
    </row>
    <row r="1606" spans="4:24" x14ac:dyDescent="0.25">
      <c r="D1606"/>
      <c r="E1606"/>
      <c r="F1606"/>
      <c r="G1606"/>
      <c r="X1606"/>
    </row>
    <row r="1607" spans="4:24" x14ac:dyDescent="0.25">
      <c r="D1607"/>
      <c r="E1607"/>
      <c r="F1607"/>
      <c r="G1607"/>
      <c r="X1607"/>
    </row>
    <row r="1608" spans="4:24" x14ac:dyDescent="0.25">
      <c r="D1608"/>
      <c r="E1608"/>
      <c r="F1608"/>
      <c r="G1608"/>
      <c r="X1608"/>
    </row>
    <row r="1609" spans="4:24" x14ac:dyDescent="0.25">
      <c r="D1609"/>
      <c r="E1609"/>
      <c r="F1609"/>
      <c r="G1609"/>
      <c r="X1609"/>
    </row>
    <row r="1610" spans="4:24" x14ac:dyDescent="0.25">
      <c r="D1610"/>
      <c r="E1610"/>
      <c r="F1610"/>
      <c r="G1610"/>
      <c r="X1610"/>
    </row>
    <row r="1611" spans="4:24" x14ac:dyDescent="0.25">
      <c r="D1611"/>
      <c r="E1611"/>
      <c r="F1611"/>
      <c r="G1611"/>
      <c r="X1611"/>
    </row>
    <row r="1612" spans="4:24" x14ac:dyDescent="0.25">
      <c r="D1612"/>
      <c r="E1612"/>
      <c r="F1612"/>
      <c r="G1612"/>
      <c r="X1612"/>
    </row>
    <row r="1613" spans="4:24" x14ac:dyDescent="0.25">
      <c r="D1613"/>
      <c r="E1613"/>
      <c r="F1613"/>
      <c r="G1613"/>
      <c r="X1613"/>
    </row>
    <row r="1614" spans="4:24" x14ac:dyDescent="0.25">
      <c r="D1614"/>
      <c r="E1614"/>
      <c r="F1614"/>
      <c r="G1614"/>
      <c r="X1614"/>
    </row>
    <row r="1615" spans="4:24" x14ac:dyDescent="0.25">
      <c r="D1615"/>
      <c r="E1615"/>
      <c r="F1615"/>
      <c r="G1615"/>
      <c r="X1615"/>
    </row>
    <row r="1616" spans="4:24" x14ac:dyDescent="0.25">
      <c r="D1616"/>
      <c r="E1616"/>
      <c r="F1616"/>
      <c r="G1616"/>
      <c r="X1616"/>
    </row>
    <row r="1617" spans="4:24" x14ac:dyDescent="0.25">
      <c r="D1617"/>
      <c r="E1617"/>
      <c r="F1617"/>
      <c r="G1617"/>
      <c r="X1617"/>
    </row>
    <row r="1618" spans="4:24" x14ac:dyDescent="0.25">
      <c r="D1618"/>
      <c r="E1618"/>
      <c r="F1618"/>
      <c r="G1618"/>
      <c r="X1618"/>
    </row>
    <row r="1619" spans="4:24" x14ac:dyDescent="0.25">
      <c r="D1619"/>
      <c r="E1619"/>
      <c r="F1619"/>
      <c r="G1619"/>
      <c r="X1619"/>
    </row>
    <row r="1620" spans="4:24" x14ac:dyDescent="0.25">
      <c r="D1620"/>
      <c r="E1620"/>
      <c r="F1620"/>
      <c r="G1620"/>
      <c r="X1620"/>
    </row>
    <row r="1621" spans="4:24" x14ac:dyDescent="0.25">
      <c r="D1621"/>
      <c r="E1621"/>
      <c r="F1621"/>
      <c r="G1621"/>
      <c r="X1621"/>
    </row>
    <row r="1622" spans="4:24" x14ac:dyDescent="0.25">
      <c r="D1622"/>
      <c r="E1622"/>
      <c r="F1622"/>
      <c r="G1622"/>
      <c r="X1622"/>
    </row>
    <row r="1623" spans="4:24" x14ac:dyDescent="0.25">
      <c r="D1623"/>
      <c r="E1623"/>
      <c r="F1623"/>
      <c r="G1623"/>
      <c r="X1623"/>
    </row>
    <row r="1624" spans="4:24" x14ac:dyDescent="0.25">
      <c r="D1624"/>
      <c r="E1624"/>
      <c r="F1624"/>
      <c r="G1624"/>
      <c r="X1624"/>
    </row>
    <row r="1625" spans="4:24" x14ac:dyDescent="0.25">
      <c r="D1625"/>
      <c r="E1625"/>
      <c r="F1625"/>
      <c r="G1625"/>
      <c r="X1625"/>
    </row>
    <row r="1626" spans="4:24" x14ac:dyDescent="0.25">
      <c r="D1626"/>
      <c r="E1626"/>
      <c r="F1626"/>
      <c r="G1626"/>
      <c r="X1626"/>
    </row>
    <row r="1627" spans="4:24" x14ac:dyDescent="0.25">
      <c r="D1627"/>
      <c r="E1627"/>
      <c r="F1627"/>
      <c r="G1627"/>
      <c r="X1627"/>
    </row>
    <row r="1628" spans="4:24" x14ac:dyDescent="0.25">
      <c r="D1628"/>
      <c r="E1628"/>
      <c r="F1628"/>
      <c r="G1628"/>
      <c r="X1628"/>
    </row>
    <row r="1629" spans="4:24" x14ac:dyDescent="0.25">
      <c r="D1629"/>
      <c r="E1629"/>
      <c r="F1629"/>
      <c r="G1629"/>
      <c r="X1629"/>
    </row>
    <row r="1630" spans="4:24" x14ac:dyDescent="0.25">
      <c r="D1630"/>
      <c r="E1630"/>
      <c r="F1630"/>
      <c r="G1630"/>
      <c r="X1630"/>
    </row>
    <row r="1631" spans="4:24" x14ac:dyDescent="0.25">
      <c r="D1631"/>
      <c r="E1631"/>
      <c r="F1631"/>
      <c r="G1631"/>
      <c r="X1631"/>
    </row>
    <row r="1632" spans="4:24" x14ac:dyDescent="0.25">
      <c r="D1632"/>
      <c r="E1632"/>
      <c r="F1632"/>
      <c r="G1632"/>
      <c r="X1632"/>
    </row>
    <row r="1633" spans="4:24" x14ac:dyDescent="0.25">
      <c r="D1633"/>
      <c r="E1633"/>
      <c r="F1633"/>
      <c r="G1633"/>
      <c r="X1633"/>
    </row>
    <row r="1634" spans="4:24" x14ac:dyDescent="0.25">
      <c r="D1634"/>
      <c r="E1634"/>
      <c r="F1634"/>
      <c r="G1634"/>
      <c r="X1634"/>
    </row>
    <row r="1635" spans="4:24" x14ac:dyDescent="0.25">
      <c r="D1635"/>
      <c r="E1635"/>
      <c r="F1635"/>
      <c r="G1635"/>
      <c r="X1635"/>
    </row>
    <row r="1636" spans="4:24" x14ac:dyDescent="0.25">
      <c r="D1636"/>
      <c r="E1636"/>
      <c r="F1636"/>
      <c r="G1636"/>
      <c r="X1636"/>
    </row>
    <row r="1637" spans="4:24" x14ac:dyDescent="0.25">
      <c r="D1637"/>
      <c r="E1637"/>
      <c r="F1637"/>
      <c r="G1637"/>
      <c r="X1637"/>
    </row>
    <row r="1638" spans="4:24" x14ac:dyDescent="0.25">
      <c r="D1638"/>
      <c r="E1638"/>
      <c r="F1638"/>
      <c r="G1638"/>
      <c r="X1638"/>
    </row>
    <row r="1639" spans="4:24" x14ac:dyDescent="0.25">
      <c r="D1639"/>
      <c r="E1639"/>
      <c r="F1639"/>
      <c r="G1639"/>
      <c r="X1639"/>
    </row>
    <row r="1640" spans="4:24" x14ac:dyDescent="0.25">
      <c r="D1640"/>
      <c r="E1640"/>
      <c r="F1640"/>
      <c r="G1640"/>
      <c r="X1640"/>
    </row>
    <row r="1641" spans="4:24" x14ac:dyDescent="0.25">
      <c r="D1641"/>
      <c r="E1641"/>
      <c r="F1641"/>
      <c r="G1641"/>
      <c r="X1641"/>
    </row>
    <row r="1642" spans="4:24" x14ac:dyDescent="0.25">
      <c r="D1642"/>
      <c r="E1642"/>
      <c r="F1642"/>
      <c r="G1642"/>
      <c r="X1642"/>
    </row>
    <row r="1643" spans="4:24" x14ac:dyDescent="0.25">
      <c r="D1643"/>
      <c r="E1643"/>
      <c r="F1643"/>
      <c r="G1643"/>
      <c r="X1643"/>
    </row>
    <row r="1644" spans="4:24" x14ac:dyDescent="0.25">
      <c r="D1644"/>
      <c r="E1644"/>
      <c r="F1644"/>
      <c r="G1644"/>
      <c r="X1644"/>
    </row>
    <row r="1645" spans="4:24" x14ac:dyDescent="0.25">
      <c r="D1645"/>
      <c r="E1645"/>
      <c r="F1645"/>
      <c r="G1645"/>
      <c r="X1645"/>
    </row>
    <row r="1646" spans="4:24" x14ac:dyDescent="0.25">
      <c r="D1646"/>
      <c r="E1646"/>
      <c r="F1646"/>
      <c r="G1646"/>
      <c r="X1646"/>
    </row>
    <row r="1647" spans="4:24" x14ac:dyDescent="0.25">
      <c r="D1647"/>
      <c r="E1647"/>
      <c r="F1647"/>
      <c r="G1647"/>
      <c r="X1647"/>
    </row>
    <row r="1648" spans="4:24" x14ac:dyDescent="0.25">
      <c r="D1648"/>
      <c r="E1648"/>
      <c r="F1648"/>
      <c r="G1648"/>
      <c r="X1648"/>
    </row>
    <row r="1649" spans="4:24" x14ac:dyDescent="0.25">
      <c r="D1649"/>
      <c r="E1649"/>
      <c r="F1649"/>
      <c r="G1649"/>
      <c r="X1649"/>
    </row>
    <row r="1650" spans="4:24" x14ac:dyDescent="0.25">
      <c r="D1650"/>
      <c r="E1650"/>
      <c r="F1650"/>
      <c r="G1650"/>
      <c r="X1650"/>
    </row>
    <row r="1651" spans="4:24" x14ac:dyDescent="0.25">
      <c r="D1651"/>
      <c r="E1651"/>
      <c r="F1651"/>
      <c r="G1651"/>
      <c r="X1651"/>
    </row>
    <row r="1652" spans="4:24" x14ac:dyDescent="0.25">
      <c r="D1652"/>
      <c r="E1652"/>
      <c r="F1652"/>
      <c r="G1652"/>
      <c r="X1652"/>
    </row>
    <row r="1653" spans="4:24" x14ac:dyDescent="0.25">
      <c r="D1653"/>
      <c r="E1653"/>
      <c r="F1653"/>
      <c r="G1653"/>
      <c r="X1653"/>
    </row>
    <row r="1654" spans="4:24" x14ac:dyDescent="0.25">
      <c r="D1654"/>
      <c r="E1654"/>
      <c r="F1654"/>
      <c r="G1654"/>
      <c r="X1654"/>
    </row>
    <row r="1655" spans="4:24" x14ac:dyDescent="0.25">
      <c r="D1655"/>
      <c r="E1655"/>
      <c r="F1655"/>
      <c r="G1655"/>
      <c r="X1655"/>
    </row>
    <row r="1656" spans="4:24" x14ac:dyDescent="0.25">
      <c r="D1656"/>
      <c r="E1656"/>
      <c r="F1656"/>
      <c r="G1656"/>
      <c r="X1656"/>
    </row>
    <row r="1657" spans="4:24" x14ac:dyDescent="0.25">
      <c r="D1657"/>
      <c r="E1657"/>
      <c r="F1657"/>
      <c r="G1657"/>
      <c r="X1657"/>
    </row>
    <row r="1658" spans="4:24" x14ac:dyDescent="0.25">
      <c r="D1658"/>
      <c r="E1658"/>
      <c r="F1658"/>
      <c r="G1658"/>
      <c r="X1658"/>
    </row>
    <row r="1659" spans="4:24" x14ac:dyDescent="0.25">
      <c r="D1659"/>
      <c r="E1659"/>
      <c r="F1659"/>
      <c r="G1659"/>
      <c r="X1659"/>
    </row>
    <row r="1660" spans="4:24" x14ac:dyDescent="0.25">
      <c r="D1660"/>
      <c r="E1660"/>
      <c r="F1660"/>
      <c r="G1660"/>
      <c r="X1660"/>
    </row>
    <row r="1661" spans="4:24" x14ac:dyDescent="0.25">
      <c r="D1661"/>
      <c r="E1661"/>
      <c r="F1661"/>
      <c r="G1661"/>
      <c r="X1661"/>
    </row>
    <row r="1662" spans="4:24" x14ac:dyDescent="0.25">
      <c r="D1662"/>
      <c r="E1662"/>
      <c r="F1662"/>
      <c r="G1662"/>
      <c r="X1662"/>
    </row>
    <row r="1663" spans="4:24" x14ac:dyDescent="0.25">
      <c r="D1663"/>
      <c r="E1663"/>
      <c r="F1663"/>
      <c r="G1663"/>
      <c r="X1663"/>
    </row>
    <row r="1664" spans="4:24" x14ac:dyDescent="0.25">
      <c r="D1664"/>
      <c r="E1664"/>
      <c r="F1664"/>
      <c r="G1664"/>
      <c r="X1664"/>
    </row>
    <row r="1665" spans="4:24" x14ac:dyDescent="0.25">
      <c r="D1665"/>
      <c r="E1665"/>
      <c r="F1665"/>
      <c r="G1665"/>
      <c r="X1665"/>
    </row>
    <row r="1666" spans="4:24" x14ac:dyDescent="0.25">
      <c r="D1666"/>
      <c r="E1666"/>
      <c r="F1666"/>
      <c r="G1666"/>
      <c r="X1666"/>
    </row>
    <row r="1667" spans="4:24" x14ac:dyDescent="0.25">
      <c r="D1667"/>
      <c r="E1667"/>
      <c r="F1667"/>
      <c r="G1667"/>
      <c r="X1667"/>
    </row>
    <row r="1668" spans="4:24" x14ac:dyDescent="0.25">
      <c r="D1668"/>
      <c r="E1668"/>
      <c r="F1668"/>
      <c r="G1668"/>
      <c r="X1668"/>
    </row>
    <row r="1669" spans="4:24" x14ac:dyDescent="0.25">
      <c r="D1669"/>
      <c r="E1669"/>
      <c r="F1669"/>
      <c r="G1669"/>
      <c r="X1669"/>
    </row>
    <row r="1670" spans="4:24" x14ac:dyDescent="0.25">
      <c r="D1670"/>
      <c r="E1670"/>
      <c r="F1670"/>
      <c r="G1670"/>
      <c r="X1670"/>
    </row>
    <row r="1671" spans="4:24" x14ac:dyDescent="0.25">
      <c r="D1671"/>
      <c r="E1671"/>
      <c r="F1671"/>
      <c r="G1671"/>
      <c r="X1671"/>
    </row>
    <row r="1672" spans="4:24" x14ac:dyDescent="0.25">
      <c r="D1672"/>
      <c r="E1672"/>
      <c r="F1672"/>
      <c r="G1672"/>
      <c r="X1672"/>
    </row>
    <row r="1673" spans="4:24" x14ac:dyDescent="0.25">
      <c r="D1673"/>
      <c r="E1673"/>
      <c r="F1673"/>
      <c r="G1673"/>
      <c r="X1673"/>
    </row>
    <row r="1674" spans="4:24" x14ac:dyDescent="0.25">
      <c r="D1674"/>
      <c r="E1674"/>
      <c r="F1674"/>
      <c r="G1674"/>
      <c r="X1674"/>
    </row>
    <row r="1675" spans="4:24" x14ac:dyDescent="0.25">
      <c r="D1675"/>
      <c r="E1675"/>
      <c r="F1675"/>
      <c r="G1675"/>
      <c r="X1675"/>
    </row>
    <row r="1676" spans="4:24" x14ac:dyDescent="0.25">
      <c r="D1676"/>
      <c r="E1676"/>
      <c r="F1676"/>
      <c r="G1676"/>
      <c r="X1676"/>
    </row>
    <row r="1677" spans="4:24" x14ac:dyDescent="0.25">
      <c r="D1677"/>
      <c r="E1677"/>
      <c r="F1677"/>
      <c r="G1677"/>
      <c r="X1677"/>
    </row>
    <row r="1678" spans="4:24" x14ac:dyDescent="0.25">
      <c r="D1678"/>
      <c r="E1678"/>
      <c r="F1678"/>
      <c r="G1678"/>
      <c r="X1678"/>
    </row>
    <row r="1679" spans="4:24" x14ac:dyDescent="0.25">
      <c r="D1679"/>
      <c r="E1679"/>
      <c r="F1679"/>
      <c r="G1679"/>
      <c r="X1679"/>
    </row>
    <row r="1680" spans="4:24" x14ac:dyDescent="0.25">
      <c r="D1680"/>
      <c r="E1680"/>
      <c r="F1680"/>
      <c r="G1680"/>
      <c r="X1680"/>
    </row>
    <row r="1681" spans="4:24" x14ac:dyDescent="0.25">
      <c r="D1681"/>
      <c r="E1681"/>
      <c r="F1681"/>
      <c r="G1681"/>
      <c r="X1681"/>
    </row>
    <row r="1682" spans="4:24" x14ac:dyDescent="0.25">
      <c r="D1682"/>
      <c r="E1682"/>
      <c r="F1682"/>
      <c r="G1682"/>
      <c r="X1682"/>
    </row>
    <row r="1683" spans="4:24" x14ac:dyDescent="0.25">
      <c r="D1683"/>
      <c r="E1683"/>
      <c r="F1683"/>
      <c r="G1683"/>
      <c r="X1683"/>
    </row>
    <row r="1684" spans="4:24" x14ac:dyDescent="0.25">
      <c r="D1684"/>
      <c r="E1684"/>
      <c r="F1684"/>
      <c r="G1684"/>
      <c r="X1684"/>
    </row>
    <row r="1685" spans="4:24" x14ac:dyDescent="0.25">
      <c r="D1685"/>
      <c r="E1685"/>
      <c r="F1685"/>
      <c r="G1685"/>
      <c r="X1685"/>
    </row>
    <row r="1686" spans="4:24" x14ac:dyDescent="0.25">
      <c r="D1686"/>
      <c r="E1686"/>
      <c r="F1686"/>
      <c r="G1686"/>
      <c r="X1686"/>
    </row>
    <row r="1687" spans="4:24" x14ac:dyDescent="0.25">
      <c r="D1687"/>
      <c r="E1687"/>
      <c r="F1687"/>
      <c r="G1687"/>
      <c r="X1687"/>
    </row>
    <row r="1688" spans="4:24" x14ac:dyDescent="0.25">
      <c r="D1688"/>
      <c r="E1688"/>
      <c r="F1688"/>
      <c r="G1688"/>
      <c r="X1688"/>
    </row>
    <row r="1689" spans="4:24" x14ac:dyDescent="0.25">
      <c r="D1689"/>
      <c r="E1689"/>
      <c r="F1689"/>
      <c r="G1689"/>
      <c r="X1689"/>
    </row>
    <row r="1690" spans="4:24" x14ac:dyDescent="0.25">
      <c r="D1690"/>
      <c r="E1690"/>
      <c r="F1690"/>
      <c r="G1690"/>
      <c r="X1690"/>
    </row>
    <row r="1691" spans="4:24" x14ac:dyDescent="0.25">
      <c r="D1691"/>
      <c r="E1691"/>
      <c r="F1691"/>
      <c r="G1691"/>
      <c r="X1691"/>
    </row>
    <row r="1692" spans="4:24" x14ac:dyDescent="0.25">
      <c r="D1692"/>
      <c r="E1692"/>
      <c r="F1692"/>
      <c r="G1692"/>
      <c r="X1692"/>
    </row>
    <row r="1693" spans="4:24" x14ac:dyDescent="0.25">
      <c r="D1693"/>
      <c r="E1693"/>
      <c r="F1693"/>
      <c r="G1693"/>
      <c r="X1693"/>
    </row>
    <row r="1694" spans="4:24" x14ac:dyDescent="0.25">
      <c r="D1694"/>
      <c r="E1694"/>
      <c r="F1694"/>
      <c r="G1694"/>
      <c r="X1694"/>
    </row>
    <row r="1695" spans="4:24" x14ac:dyDescent="0.25">
      <c r="D1695"/>
      <c r="E1695"/>
      <c r="F1695"/>
      <c r="G1695"/>
      <c r="X1695"/>
    </row>
    <row r="1696" spans="4:24" x14ac:dyDescent="0.25">
      <c r="D1696"/>
      <c r="E1696"/>
      <c r="F1696"/>
      <c r="G1696"/>
      <c r="X1696"/>
    </row>
    <row r="1697" spans="4:24" x14ac:dyDescent="0.25">
      <c r="D1697"/>
      <c r="E1697"/>
      <c r="F1697"/>
      <c r="G1697"/>
      <c r="X1697"/>
    </row>
    <row r="1698" spans="4:24" x14ac:dyDescent="0.25">
      <c r="D1698"/>
      <c r="E1698"/>
      <c r="F1698"/>
      <c r="G1698"/>
      <c r="X1698"/>
    </row>
    <row r="1699" spans="4:24" x14ac:dyDescent="0.25">
      <c r="D1699"/>
      <c r="E1699"/>
      <c r="F1699"/>
      <c r="G1699"/>
      <c r="X1699"/>
    </row>
    <row r="1700" spans="4:24" x14ac:dyDescent="0.25">
      <c r="D1700"/>
      <c r="E1700"/>
      <c r="F1700"/>
      <c r="G1700"/>
      <c r="X1700"/>
    </row>
    <row r="1701" spans="4:24" x14ac:dyDescent="0.25">
      <c r="D1701"/>
      <c r="E1701"/>
      <c r="F1701"/>
      <c r="G1701"/>
      <c r="X1701"/>
    </row>
    <row r="1702" spans="4:24" x14ac:dyDescent="0.25">
      <c r="D1702"/>
      <c r="E1702"/>
      <c r="F1702"/>
      <c r="G1702"/>
      <c r="X1702"/>
    </row>
    <row r="1703" spans="4:24" x14ac:dyDescent="0.25">
      <c r="D1703"/>
      <c r="E1703"/>
      <c r="F1703"/>
      <c r="G1703"/>
      <c r="X1703"/>
    </row>
    <row r="1704" spans="4:24" x14ac:dyDescent="0.25">
      <c r="D1704"/>
      <c r="E1704"/>
      <c r="F1704"/>
      <c r="G1704"/>
      <c r="X1704"/>
    </row>
    <row r="1705" spans="4:24" x14ac:dyDescent="0.25">
      <c r="D1705"/>
      <c r="E1705"/>
      <c r="F1705"/>
      <c r="G1705"/>
      <c r="X1705"/>
    </row>
    <row r="1706" spans="4:24" x14ac:dyDescent="0.25">
      <c r="D1706"/>
      <c r="E1706"/>
      <c r="F1706"/>
      <c r="G1706"/>
      <c r="X1706"/>
    </row>
    <row r="1707" spans="4:24" x14ac:dyDescent="0.25">
      <c r="D1707"/>
      <c r="E1707"/>
      <c r="F1707"/>
      <c r="G1707"/>
      <c r="X1707"/>
    </row>
    <row r="1708" spans="4:24" x14ac:dyDescent="0.25">
      <c r="D1708"/>
      <c r="E1708"/>
      <c r="F1708"/>
      <c r="G1708"/>
      <c r="X1708"/>
    </row>
    <row r="1709" spans="4:24" x14ac:dyDescent="0.25">
      <c r="D1709"/>
      <c r="E1709"/>
      <c r="F1709"/>
      <c r="G1709"/>
      <c r="X1709"/>
    </row>
    <row r="1710" spans="4:24" x14ac:dyDescent="0.25">
      <c r="D1710"/>
      <c r="E1710"/>
      <c r="F1710"/>
      <c r="G1710"/>
      <c r="X1710"/>
    </row>
    <row r="1711" spans="4:24" x14ac:dyDescent="0.25">
      <c r="D1711"/>
      <c r="E1711"/>
      <c r="F1711"/>
      <c r="G1711"/>
      <c r="X1711"/>
    </row>
    <row r="1712" spans="4:24" x14ac:dyDescent="0.25">
      <c r="D1712"/>
      <c r="E1712"/>
      <c r="F1712"/>
      <c r="G1712"/>
      <c r="X1712"/>
    </row>
    <row r="1713" spans="4:24" x14ac:dyDescent="0.25">
      <c r="D1713"/>
      <c r="E1713"/>
      <c r="F1713"/>
      <c r="G1713"/>
      <c r="X1713"/>
    </row>
    <row r="1714" spans="4:24" x14ac:dyDescent="0.25">
      <c r="D1714"/>
      <c r="E1714"/>
      <c r="F1714"/>
      <c r="G1714"/>
      <c r="X1714"/>
    </row>
    <row r="1715" spans="4:24" x14ac:dyDescent="0.25">
      <c r="D1715"/>
      <c r="E1715"/>
      <c r="F1715"/>
      <c r="G1715"/>
      <c r="X1715"/>
    </row>
    <row r="1716" spans="4:24" x14ac:dyDescent="0.25">
      <c r="D1716"/>
      <c r="E1716"/>
      <c r="F1716"/>
      <c r="G1716"/>
      <c r="X1716"/>
    </row>
    <row r="1717" spans="4:24" x14ac:dyDescent="0.25">
      <c r="D1717"/>
      <c r="E1717"/>
      <c r="F1717"/>
      <c r="G1717"/>
      <c r="X1717"/>
    </row>
    <row r="1718" spans="4:24" x14ac:dyDescent="0.25">
      <c r="D1718"/>
      <c r="E1718"/>
      <c r="F1718"/>
      <c r="G1718"/>
      <c r="X1718"/>
    </row>
    <row r="1719" spans="4:24" x14ac:dyDescent="0.25">
      <c r="D1719"/>
      <c r="E1719"/>
      <c r="F1719"/>
      <c r="G1719"/>
      <c r="X1719"/>
    </row>
    <row r="1720" spans="4:24" x14ac:dyDescent="0.25">
      <c r="D1720"/>
      <c r="E1720"/>
      <c r="F1720"/>
      <c r="G1720"/>
      <c r="X1720"/>
    </row>
    <row r="1721" spans="4:24" x14ac:dyDescent="0.25">
      <c r="D1721"/>
      <c r="E1721"/>
      <c r="F1721"/>
      <c r="G1721"/>
      <c r="X1721"/>
    </row>
    <row r="1722" spans="4:24" x14ac:dyDescent="0.25">
      <c r="D1722"/>
      <c r="E1722"/>
      <c r="F1722"/>
      <c r="G1722"/>
      <c r="X1722"/>
    </row>
    <row r="1723" spans="4:24" x14ac:dyDescent="0.25">
      <c r="D1723"/>
      <c r="E1723"/>
      <c r="F1723"/>
      <c r="G1723"/>
      <c r="X1723"/>
    </row>
    <row r="1724" spans="4:24" x14ac:dyDescent="0.25">
      <c r="D1724"/>
      <c r="E1724"/>
      <c r="F1724"/>
      <c r="G1724"/>
      <c r="X1724"/>
    </row>
    <row r="1725" spans="4:24" x14ac:dyDescent="0.25">
      <c r="D1725"/>
      <c r="E1725"/>
      <c r="F1725"/>
      <c r="G1725"/>
      <c r="X1725"/>
    </row>
    <row r="1726" spans="4:24" x14ac:dyDescent="0.25">
      <c r="D1726"/>
      <c r="E1726"/>
      <c r="F1726"/>
      <c r="G1726"/>
      <c r="X1726"/>
    </row>
    <row r="1727" spans="4:24" x14ac:dyDescent="0.25">
      <c r="D1727"/>
      <c r="E1727"/>
      <c r="F1727"/>
      <c r="G1727"/>
      <c r="X1727"/>
    </row>
    <row r="1728" spans="4:24" x14ac:dyDescent="0.25">
      <c r="D1728"/>
      <c r="E1728"/>
      <c r="F1728"/>
      <c r="G1728"/>
      <c r="X1728"/>
    </row>
    <row r="1729" spans="4:24" x14ac:dyDescent="0.25">
      <c r="D1729"/>
      <c r="E1729"/>
      <c r="F1729"/>
      <c r="G1729"/>
      <c r="X1729"/>
    </row>
    <row r="1730" spans="4:24" x14ac:dyDescent="0.25">
      <c r="D1730"/>
      <c r="E1730"/>
      <c r="F1730"/>
      <c r="G1730"/>
      <c r="X1730"/>
    </row>
    <row r="1731" spans="4:24" x14ac:dyDescent="0.25">
      <c r="D1731"/>
      <c r="E1731"/>
      <c r="F1731"/>
      <c r="G1731"/>
      <c r="X1731"/>
    </row>
    <row r="1732" spans="4:24" x14ac:dyDescent="0.25">
      <c r="D1732"/>
      <c r="E1732"/>
      <c r="F1732"/>
      <c r="G1732"/>
      <c r="X1732"/>
    </row>
    <row r="1733" spans="4:24" x14ac:dyDescent="0.25">
      <c r="D1733"/>
      <c r="E1733"/>
      <c r="F1733"/>
      <c r="G1733"/>
      <c r="X1733"/>
    </row>
    <row r="1734" spans="4:24" x14ac:dyDescent="0.25">
      <c r="D1734"/>
      <c r="E1734"/>
      <c r="F1734"/>
      <c r="G1734"/>
      <c r="X1734"/>
    </row>
    <row r="1735" spans="4:24" x14ac:dyDescent="0.25">
      <c r="D1735"/>
      <c r="E1735"/>
      <c r="F1735"/>
      <c r="G1735"/>
      <c r="X1735"/>
    </row>
    <row r="1736" spans="4:24" x14ac:dyDescent="0.25">
      <c r="D1736"/>
      <c r="E1736"/>
      <c r="F1736"/>
      <c r="G1736"/>
      <c r="X1736"/>
    </row>
    <row r="1737" spans="4:24" x14ac:dyDescent="0.25">
      <c r="D1737"/>
      <c r="E1737"/>
      <c r="F1737"/>
      <c r="G1737"/>
      <c r="X1737"/>
    </row>
    <row r="1738" spans="4:24" x14ac:dyDescent="0.25">
      <c r="D1738"/>
      <c r="E1738"/>
      <c r="F1738"/>
      <c r="G1738"/>
      <c r="X1738"/>
    </row>
    <row r="1739" spans="4:24" x14ac:dyDescent="0.25">
      <c r="D1739"/>
      <c r="E1739"/>
      <c r="F1739"/>
      <c r="G1739"/>
      <c r="X1739"/>
    </row>
    <row r="1740" spans="4:24" x14ac:dyDescent="0.25">
      <c r="D1740"/>
      <c r="E1740"/>
      <c r="F1740"/>
      <c r="G1740"/>
      <c r="X1740"/>
    </row>
    <row r="1741" spans="4:24" x14ac:dyDescent="0.25">
      <c r="D1741"/>
      <c r="E1741"/>
      <c r="F1741"/>
      <c r="G1741"/>
      <c r="X1741"/>
    </row>
    <row r="1742" spans="4:24" x14ac:dyDescent="0.25">
      <c r="D1742"/>
      <c r="E1742"/>
      <c r="F1742"/>
      <c r="G1742"/>
      <c r="X1742"/>
    </row>
    <row r="1743" spans="4:24" x14ac:dyDescent="0.25">
      <c r="D1743"/>
      <c r="E1743"/>
      <c r="F1743"/>
      <c r="G1743"/>
      <c r="X1743"/>
    </row>
    <row r="1744" spans="4:24" x14ac:dyDescent="0.25">
      <c r="D1744"/>
      <c r="E1744"/>
      <c r="F1744"/>
      <c r="G1744"/>
      <c r="X1744"/>
    </row>
    <row r="1745" spans="4:24" x14ac:dyDescent="0.25">
      <c r="D1745"/>
      <c r="E1745"/>
      <c r="F1745"/>
      <c r="G1745"/>
      <c r="X1745"/>
    </row>
    <row r="1746" spans="4:24" x14ac:dyDescent="0.25">
      <c r="D1746"/>
      <c r="E1746"/>
      <c r="F1746"/>
      <c r="G1746"/>
      <c r="X1746"/>
    </row>
    <row r="1747" spans="4:24" x14ac:dyDescent="0.25">
      <c r="D1747"/>
      <c r="E1747"/>
      <c r="F1747"/>
      <c r="G1747"/>
      <c r="X1747"/>
    </row>
    <row r="1748" spans="4:24" x14ac:dyDescent="0.25">
      <c r="D1748"/>
      <c r="E1748"/>
      <c r="F1748"/>
      <c r="G1748"/>
      <c r="X1748"/>
    </row>
    <row r="1749" spans="4:24" x14ac:dyDescent="0.25">
      <c r="D1749"/>
      <c r="E1749"/>
      <c r="F1749"/>
      <c r="G1749"/>
      <c r="X1749"/>
    </row>
    <row r="1750" spans="4:24" x14ac:dyDescent="0.25">
      <c r="D1750"/>
      <c r="E1750"/>
      <c r="F1750"/>
      <c r="G1750"/>
      <c r="X1750"/>
    </row>
    <row r="1751" spans="4:24" x14ac:dyDescent="0.25">
      <c r="D1751"/>
      <c r="E1751"/>
      <c r="F1751"/>
      <c r="G1751"/>
      <c r="X1751"/>
    </row>
    <row r="1752" spans="4:24" x14ac:dyDescent="0.25">
      <c r="D1752"/>
      <c r="E1752"/>
      <c r="F1752"/>
      <c r="G1752"/>
      <c r="X1752"/>
    </row>
    <row r="1753" spans="4:24" x14ac:dyDescent="0.25">
      <c r="D1753"/>
      <c r="E1753"/>
      <c r="F1753"/>
      <c r="G1753"/>
      <c r="X1753"/>
    </row>
    <row r="1754" spans="4:24" x14ac:dyDescent="0.25">
      <c r="D1754"/>
      <c r="E1754"/>
      <c r="F1754"/>
      <c r="G1754"/>
      <c r="X1754"/>
    </row>
    <row r="1755" spans="4:24" x14ac:dyDescent="0.25">
      <c r="D1755"/>
      <c r="E1755"/>
      <c r="F1755"/>
      <c r="G1755"/>
      <c r="X1755"/>
    </row>
    <row r="1756" spans="4:24" x14ac:dyDescent="0.25">
      <c r="D1756"/>
      <c r="E1756"/>
      <c r="F1756"/>
      <c r="G1756"/>
      <c r="X1756"/>
    </row>
    <row r="1757" spans="4:24" x14ac:dyDescent="0.25">
      <c r="D1757"/>
      <c r="E1757"/>
      <c r="F1757"/>
      <c r="G1757"/>
      <c r="X1757"/>
    </row>
    <row r="1758" spans="4:24" x14ac:dyDescent="0.25">
      <c r="D1758"/>
      <c r="E1758"/>
      <c r="F1758"/>
      <c r="G1758"/>
      <c r="X1758"/>
    </row>
    <row r="1759" spans="4:24" x14ac:dyDescent="0.25">
      <c r="D1759"/>
      <c r="E1759"/>
      <c r="F1759"/>
      <c r="G1759"/>
      <c r="X1759"/>
    </row>
    <row r="1760" spans="4:24" x14ac:dyDescent="0.25">
      <c r="D1760"/>
      <c r="E1760"/>
      <c r="F1760"/>
      <c r="G1760"/>
      <c r="X1760"/>
    </row>
    <row r="1761" spans="4:24" x14ac:dyDescent="0.25">
      <c r="D1761"/>
      <c r="E1761"/>
      <c r="F1761"/>
      <c r="G1761"/>
      <c r="X1761"/>
    </row>
    <row r="1762" spans="4:24" x14ac:dyDescent="0.25">
      <c r="D1762"/>
      <c r="E1762"/>
      <c r="F1762"/>
      <c r="G1762"/>
      <c r="X1762"/>
    </row>
    <row r="1763" spans="4:24" x14ac:dyDescent="0.25">
      <c r="D1763"/>
      <c r="E1763"/>
      <c r="F1763"/>
      <c r="G1763"/>
      <c r="X1763"/>
    </row>
    <row r="1764" spans="4:24" x14ac:dyDescent="0.25">
      <c r="D1764"/>
      <c r="E1764"/>
      <c r="F1764"/>
      <c r="G1764"/>
      <c r="X1764"/>
    </row>
    <row r="1765" spans="4:24" x14ac:dyDescent="0.25">
      <c r="D1765"/>
      <c r="E1765"/>
      <c r="F1765"/>
      <c r="G1765"/>
      <c r="X1765"/>
    </row>
    <row r="1766" spans="4:24" x14ac:dyDescent="0.25">
      <c r="D1766"/>
      <c r="E1766"/>
      <c r="F1766"/>
      <c r="G1766"/>
      <c r="X1766"/>
    </row>
    <row r="1767" spans="4:24" x14ac:dyDescent="0.25">
      <c r="D1767"/>
      <c r="E1767"/>
      <c r="F1767"/>
      <c r="G1767"/>
      <c r="X1767"/>
    </row>
    <row r="1768" spans="4:24" x14ac:dyDescent="0.25">
      <c r="D1768"/>
      <c r="E1768"/>
      <c r="F1768"/>
      <c r="G1768"/>
      <c r="X1768"/>
    </row>
    <row r="1769" spans="4:24" x14ac:dyDescent="0.25">
      <c r="D1769"/>
      <c r="E1769"/>
      <c r="F1769"/>
      <c r="G1769"/>
      <c r="X1769"/>
    </row>
    <row r="1770" spans="4:24" x14ac:dyDescent="0.25">
      <c r="D1770"/>
      <c r="E1770"/>
      <c r="F1770"/>
      <c r="G1770"/>
      <c r="X1770"/>
    </row>
    <row r="1771" spans="4:24" x14ac:dyDescent="0.25">
      <c r="D1771"/>
      <c r="E1771"/>
      <c r="F1771"/>
      <c r="G1771"/>
      <c r="X1771"/>
    </row>
    <row r="1772" spans="4:24" x14ac:dyDescent="0.25">
      <c r="D1772"/>
      <c r="E1772"/>
      <c r="F1772"/>
      <c r="G1772"/>
      <c r="X1772"/>
    </row>
    <row r="1773" spans="4:24" x14ac:dyDescent="0.25">
      <c r="D1773"/>
      <c r="E1773"/>
      <c r="F1773"/>
      <c r="G1773"/>
      <c r="X1773"/>
    </row>
    <row r="1774" spans="4:24" x14ac:dyDescent="0.25">
      <c r="D1774"/>
      <c r="E1774"/>
      <c r="F1774"/>
      <c r="G1774"/>
      <c r="X1774"/>
    </row>
    <row r="1775" spans="4:24" x14ac:dyDescent="0.25">
      <c r="D1775"/>
      <c r="E1775"/>
      <c r="F1775"/>
      <c r="G1775"/>
      <c r="X1775"/>
    </row>
    <row r="1776" spans="4:24" x14ac:dyDescent="0.25">
      <c r="D1776"/>
      <c r="E1776"/>
      <c r="F1776"/>
      <c r="G1776"/>
      <c r="X1776"/>
    </row>
    <row r="1777" spans="4:24" x14ac:dyDescent="0.25">
      <c r="D1777"/>
      <c r="E1777"/>
      <c r="F1777"/>
      <c r="G1777"/>
      <c r="X1777"/>
    </row>
    <row r="1778" spans="4:24" x14ac:dyDescent="0.25">
      <c r="D1778"/>
      <c r="E1778"/>
      <c r="F1778"/>
      <c r="G1778"/>
      <c r="X1778"/>
    </row>
    <row r="1779" spans="4:24" x14ac:dyDescent="0.25">
      <c r="D1779"/>
      <c r="E1779"/>
      <c r="F1779"/>
      <c r="G1779"/>
      <c r="X1779"/>
    </row>
    <row r="1780" spans="4:24" x14ac:dyDescent="0.25">
      <c r="D1780"/>
      <c r="E1780"/>
      <c r="F1780"/>
      <c r="G1780"/>
      <c r="X1780"/>
    </row>
    <row r="1781" spans="4:24" x14ac:dyDescent="0.25">
      <c r="D1781"/>
      <c r="E1781"/>
      <c r="F1781"/>
      <c r="G1781"/>
      <c r="X1781"/>
    </row>
    <row r="1782" spans="4:24" x14ac:dyDescent="0.25">
      <c r="D1782"/>
      <c r="E1782"/>
      <c r="F1782"/>
      <c r="G1782"/>
      <c r="X1782"/>
    </row>
    <row r="1783" spans="4:24" x14ac:dyDescent="0.25">
      <c r="D1783"/>
      <c r="E1783"/>
      <c r="F1783"/>
      <c r="G1783"/>
      <c r="X1783"/>
    </row>
    <row r="1784" spans="4:24" x14ac:dyDescent="0.25">
      <c r="D1784"/>
      <c r="E1784"/>
      <c r="F1784"/>
      <c r="G1784"/>
      <c r="X1784"/>
    </row>
    <row r="1785" spans="4:24" x14ac:dyDescent="0.25">
      <c r="D1785"/>
      <c r="E1785"/>
      <c r="F1785"/>
      <c r="G1785"/>
      <c r="X1785"/>
    </row>
    <row r="1786" spans="4:24" x14ac:dyDescent="0.25">
      <c r="D1786"/>
      <c r="E1786"/>
      <c r="F1786"/>
      <c r="G1786"/>
      <c r="X1786"/>
    </row>
    <row r="1787" spans="4:24" x14ac:dyDescent="0.25">
      <c r="D1787"/>
      <c r="E1787"/>
      <c r="F1787"/>
      <c r="G1787"/>
      <c r="X1787"/>
    </row>
    <row r="1788" spans="4:24" x14ac:dyDescent="0.25">
      <c r="D1788"/>
      <c r="E1788"/>
      <c r="F1788"/>
      <c r="G1788"/>
      <c r="X1788"/>
    </row>
    <row r="1789" spans="4:24" x14ac:dyDescent="0.25">
      <c r="D1789"/>
      <c r="E1789"/>
      <c r="F1789"/>
      <c r="G1789"/>
      <c r="X1789"/>
    </row>
    <row r="1790" spans="4:24" x14ac:dyDescent="0.25">
      <c r="D1790"/>
      <c r="E1790"/>
      <c r="F1790"/>
      <c r="G1790"/>
      <c r="X1790"/>
    </row>
    <row r="1791" spans="4:24" x14ac:dyDescent="0.25">
      <c r="D1791"/>
      <c r="E1791"/>
      <c r="F1791"/>
      <c r="G1791"/>
      <c r="X1791"/>
    </row>
    <row r="1792" spans="4:24" x14ac:dyDescent="0.25">
      <c r="D1792"/>
      <c r="E1792"/>
      <c r="F1792"/>
      <c r="G1792"/>
      <c r="X1792"/>
    </row>
    <row r="1793" spans="4:24" x14ac:dyDescent="0.25">
      <c r="D1793"/>
      <c r="E1793"/>
      <c r="F1793"/>
      <c r="G1793"/>
      <c r="X1793"/>
    </row>
    <row r="1794" spans="4:24" x14ac:dyDescent="0.25">
      <c r="D1794"/>
      <c r="E1794"/>
      <c r="F1794"/>
      <c r="G1794"/>
      <c r="X1794"/>
    </row>
    <row r="1795" spans="4:24" x14ac:dyDescent="0.25">
      <c r="D1795"/>
      <c r="E1795"/>
      <c r="F1795"/>
      <c r="G1795"/>
      <c r="X1795"/>
    </row>
    <row r="1796" spans="4:24" x14ac:dyDescent="0.25">
      <c r="D1796"/>
      <c r="E1796"/>
      <c r="F1796"/>
      <c r="G1796"/>
      <c r="X1796"/>
    </row>
    <row r="1797" spans="4:24" x14ac:dyDescent="0.25">
      <c r="D1797"/>
      <c r="E1797"/>
      <c r="F1797"/>
      <c r="G1797"/>
      <c r="X1797"/>
    </row>
    <row r="1798" spans="4:24" x14ac:dyDescent="0.25">
      <c r="D1798"/>
      <c r="E1798"/>
      <c r="F1798"/>
      <c r="G1798"/>
      <c r="X1798"/>
    </row>
    <row r="1799" spans="4:24" x14ac:dyDescent="0.25">
      <c r="D1799"/>
      <c r="E1799"/>
      <c r="F1799"/>
      <c r="G1799"/>
      <c r="X1799"/>
    </row>
    <row r="1800" spans="4:24" x14ac:dyDescent="0.25">
      <c r="D1800"/>
      <c r="E1800"/>
      <c r="F1800"/>
      <c r="G1800"/>
      <c r="X1800"/>
    </row>
    <row r="1801" spans="4:24" x14ac:dyDescent="0.25">
      <c r="D1801"/>
      <c r="E1801"/>
      <c r="F1801"/>
      <c r="G1801"/>
      <c r="X1801"/>
    </row>
    <row r="1802" spans="4:24" x14ac:dyDescent="0.25">
      <c r="D1802"/>
      <c r="E1802"/>
      <c r="F1802"/>
      <c r="G1802"/>
      <c r="X1802"/>
    </row>
    <row r="1803" spans="4:24" x14ac:dyDescent="0.25">
      <c r="D1803"/>
      <c r="E1803"/>
      <c r="F1803"/>
      <c r="G1803"/>
      <c r="X1803"/>
    </row>
    <row r="1804" spans="4:24" x14ac:dyDescent="0.25">
      <c r="D1804"/>
      <c r="E1804"/>
      <c r="F1804"/>
      <c r="G1804"/>
      <c r="X1804"/>
    </row>
    <row r="1805" spans="4:24" x14ac:dyDescent="0.25">
      <c r="D1805"/>
      <c r="E1805"/>
      <c r="F1805"/>
      <c r="G1805"/>
      <c r="X1805"/>
    </row>
    <row r="1806" spans="4:24" x14ac:dyDescent="0.25">
      <c r="D1806"/>
      <c r="E1806"/>
      <c r="F1806"/>
      <c r="G1806"/>
      <c r="X1806"/>
    </row>
    <row r="1807" spans="4:24" x14ac:dyDescent="0.25">
      <c r="D1807"/>
      <c r="E1807"/>
      <c r="F1807"/>
      <c r="G1807"/>
      <c r="X1807"/>
    </row>
    <row r="1808" spans="4:24" x14ac:dyDescent="0.25">
      <c r="D1808"/>
      <c r="E1808"/>
      <c r="F1808"/>
      <c r="G1808"/>
      <c r="X1808"/>
    </row>
    <row r="1809" spans="4:24" x14ac:dyDescent="0.25">
      <c r="D1809"/>
      <c r="E1809"/>
      <c r="F1809"/>
      <c r="G1809"/>
      <c r="X1809"/>
    </row>
    <row r="1810" spans="4:24" x14ac:dyDescent="0.25">
      <c r="D1810"/>
      <c r="E1810"/>
      <c r="F1810"/>
      <c r="G1810"/>
      <c r="X1810"/>
    </row>
    <row r="1811" spans="4:24" x14ac:dyDescent="0.25">
      <c r="D1811"/>
      <c r="E1811"/>
      <c r="F1811"/>
      <c r="G1811"/>
      <c r="X1811"/>
    </row>
    <row r="1812" spans="4:24" x14ac:dyDescent="0.25">
      <c r="D1812"/>
      <c r="E1812"/>
      <c r="F1812"/>
      <c r="G1812"/>
      <c r="X1812"/>
    </row>
    <row r="1813" spans="4:24" x14ac:dyDescent="0.25">
      <c r="D1813"/>
      <c r="E1813"/>
      <c r="F1813"/>
      <c r="G1813"/>
      <c r="X1813"/>
    </row>
    <row r="1814" spans="4:24" x14ac:dyDescent="0.25">
      <c r="D1814"/>
      <c r="E1814"/>
      <c r="F1814"/>
      <c r="G1814"/>
      <c r="X1814"/>
    </row>
    <row r="1815" spans="4:24" x14ac:dyDescent="0.25">
      <c r="D1815"/>
      <c r="E1815"/>
      <c r="F1815"/>
      <c r="G1815"/>
      <c r="X1815"/>
    </row>
    <row r="1816" spans="4:24" x14ac:dyDescent="0.25">
      <c r="D1816"/>
      <c r="E1816"/>
      <c r="F1816"/>
      <c r="G1816"/>
      <c r="X1816"/>
    </row>
    <row r="1817" spans="4:24" x14ac:dyDescent="0.25">
      <c r="D1817"/>
      <c r="E1817"/>
      <c r="F1817"/>
      <c r="G1817"/>
      <c r="X1817"/>
    </row>
    <row r="1818" spans="4:24" x14ac:dyDescent="0.25">
      <c r="D1818"/>
      <c r="E1818"/>
      <c r="F1818"/>
      <c r="G1818"/>
      <c r="X1818"/>
    </row>
    <row r="1819" spans="4:24" x14ac:dyDescent="0.25">
      <c r="D1819"/>
      <c r="E1819"/>
      <c r="F1819"/>
      <c r="G1819"/>
      <c r="X1819"/>
    </row>
    <row r="1820" spans="4:24" x14ac:dyDescent="0.25">
      <c r="D1820"/>
      <c r="E1820"/>
      <c r="F1820"/>
      <c r="G1820"/>
      <c r="X1820"/>
    </row>
    <row r="1821" spans="4:24" x14ac:dyDescent="0.25">
      <c r="D1821"/>
      <c r="E1821"/>
      <c r="F1821"/>
      <c r="G1821"/>
      <c r="X1821"/>
    </row>
    <row r="1822" spans="4:24" x14ac:dyDescent="0.25">
      <c r="D1822"/>
      <c r="E1822"/>
      <c r="F1822"/>
      <c r="G1822"/>
      <c r="X1822"/>
    </row>
    <row r="1823" spans="4:24" x14ac:dyDescent="0.25">
      <c r="D1823"/>
      <c r="E1823"/>
      <c r="F1823"/>
      <c r="G1823"/>
      <c r="X1823"/>
    </row>
    <row r="1824" spans="4:24" x14ac:dyDescent="0.25">
      <c r="D1824"/>
      <c r="E1824"/>
      <c r="F1824"/>
      <c r="G1824"/>
      <c r="X1824"/>
    </row>
    <row r="1825" spans="4:24" x14ac:dyDescent="0.25">
      <c r="D1825"/>
      <c r="E1825"/>
      <c r="F1825"/>
      <c r="G1825"/>
      <c r="X1825"/>
    </row>
    <row r="1826" spans="4:24" x14ac:dyDescent="0.25">
      <c r="D1826"/>
      <c r="E1826"/>
      <c r="F1826"/>
      <c r="G1826"/>
      <c r="X1826"/>
    </row>
    <row r="1827" spans="4:24" x14ac:dyDescent="0.25">
      <c r="D1827"/>
      <c r="E1827"/>
      <c r="F1827"/>
      <c r="G1827"/>
      <c r="X1827"/>
    </row>
    <row r="1828" spans="4:24" x14ac:dyDescent="0.25">
      <c r="D1828"/>
      <c r="E1828"/>
      <c r="F1828"/>
      <c r="G1828"/>
      <c r="X1828"/>
    </row>
    <row r="1829" spans="4:24" x14ac:dyDescent="0.25">
      <c r="D1829"/>
      <c r="E1829"/>
      <c r="F1829"/>
      <c r="G1829"/>
      <c r="X1829"/>
    </row>
    <row r="1830" spans="4:24" x14ac:dyDescent="0.25">
      <c r="D1830"/>
      <c r="E1830"/>
      <c r="F1830"/>
      <c r="G1830"/>
      <c r="X1830"/>
    </row>
    <row r="1831" spans="4:24" x14ac:dyDescent="0.25">
      <c r="D1831"/>
      <c r="E1831"/>
      <c r="F1831"/>
      <c r="G1831"/>
      <c r="X1831"/>
    </row>
    <row r="1832" spans="4:24" x14ac:dyDescent="0.25">
      <c r="D1832"/>
      <c r="E1832"/>
      <c r="F1832"/>
      <c r="G1832"/>
      <c r="X1832"/>
    </row>
    <row r="1833" spans="4:24" x14ac:dyDescent="0.25">
      <c r="D1833"/>
      <c r="E1833"/>
      <c r="F1833"/>
      <c r="G1833"/>
      <c r="X1833"/>
    </row>
    <row r="1834" spans="4:24" x14ac:dyDescent="0.25">
      <c r="D1834"/>
      <c r="E1834"/>
      <c r="F1834"/>
      <c r="G1834"/>
      <c r="X1834"/>
    </row>
    <row r="1835" spans="4:24" x14ac:dyDescent="0.25">
      <c r="D1835"/>
      <c r="E1835"/>
      <c r="F1835"/>
      <c r="G1835"/>
      <c r="X1835"/>
    </row>
    <row r="1836" spans="4:24" x14ac:dyDescent="0.25">
      <c r="D1836"/>
      <c r="E1836"/>
      <c r="F1836"/>
      <c r="G1836"/>
      <c r="X1836"/>
    </row>
    <row r="1837" spans="4:24" x14ac:dyDescent="0.25">
      <c r="D1837"/>
      <c r="E1837"/>
      <c r="F1837"/>
      <c r="G1837"/>
      <c r="X1837"/>
    </row>
    <row r="1838" spans="4:24" x14ac:dyDescent="0.25">
      <c r="D1838"/>
      <c r="E1838"/>
      <c r="F1838"/>
      <c r="G1838"/>
      <c r="X1838"/>
    </row>
    <row r="1839" spans="4:24" x14ac:dyDescent="0.25">
      <c r="D1839"/>
      <c r="E1839"/>
      <c r="F1839"/>
      <c r="G1839"/>
      <c r="X1839"/>
    </row>
    <row r="1840" spans="4:24" x14ac:dyDescent="0.25">
      <c r="D1840"/>
      <c r="E1840"/>
      <c r="F1840"/>
      <c r="G1840"/>
      <c r="X1840"/>
    </row>
    <row r="1841" spans="4:24" x14ac:dyDescent="0.25">
      <c r="D1841"/>
      <c r="E1841"/>
      <c r="F1841"/>
      <c r="G1841"/>
      <c r="X1841"/>
    </row>
    <row r="1842" spans="4:24" x14ac:dyDescent="0.25">
      <c r="D1842"/>
      <c r="E1842"/>
      <c r="F1842"/>
      <c r="G1842"/>
      <c r="X1842"/>
    </row>
    <row r="1843" spans="4:24" x14ac:dyDescent="0.25">
      <c r="D1843"/>
      <c r="E1843"/>
      <c r="F1843"/>
      <c r="G1843"/>
      <c r="X1843"/>
    </row>
    <row r="1844" spans="4:24" x14ac:dyDescent="0.25">
      <c r="D1844"/>
      <c r="E1844"/>
      <c r="F1844"/>
      <c r="G1844"/>
      <c r="X1844"/>
    </row>
    <row r="1845" spans="4:24" x14ac:dyDescent="0.25">
      <c r="D1845"/>
      <c r="E1845"/>
      <c r="F1845"/>
      <c r="G1845"/>
      <c r="X1845"/>
    </row>
    <row r="1846" spans="4:24" x14ac:dyDescent="0.25">
      <c r="D1846"/>
      <c r="E1846"/>
      <c r="F1846"/>
      <c r="G1846"/>
      <c r="X1846"/>
    </row>
    <row r="1847" spans="4:24" x14ac:dyDescent="0.25">
      <c r="D1847"/>
      <c r="E1847"/>
      <c r="F1847"/>
      <c r="G1847"/>
      <c r="X1847"/>
    </row>
    <row r="1848" spans="4:24" x14ac:dyDescent="0.25">
      <c r="D1848"/>
      <c r="E1848"/>
      <c r="F1848"/>
      <c r="G1848"/>
      <c r="X1848"/>
    </row>
    <row r="1849" spans="4:24" x14ac:dyDescent="0.25">
      <c r="D1849"/>
      <c r="E1849"/>
      <c r="F1849"/>
      <c r="G1849"/>
      <c r="X1849"/>
    </row>
    <row r="1850" spans="4:24" x14ac:dyDescent="0.25">
      <c r="D1850"/>
      <c r="E1850"/>
      <c r="F1850"/>
      <c r="G1850"/>
      <c r="X1850"/>
    </row>
    <row r="1851" spans="4:24" x14ac:dyDescent="0.25">
      <c r="D1851"/>
      <c r="E1851"/>
      <c r="F1851"/>
      <c r="G1851"/>
      <c r="X1851"/>
    </row>
    <row r="1852" spans="4:24" x14ac:dyDescent="0.25">
      <c r="D1852"/>
      <c r="E1852"/>
      <c r="F1852"/>
      <c r="G1852"/>
      <c r="X1852"/>
    </row>
    <row r="1853" spans="4:24" x14ac:dyDescent="0.25">
      <c r="D1853"/>
      <c r="E1853"/>
      <c r="F1853"/>
      <c r="G1853"/>
      <c r="X1853"/>
    </row>
    <row r="1854" spans="4:24" x14ac:dyDescent="0.25">
      <c r="D1854"/>
      <c r="E1854"/>
      <c r="F1854"/>
      <c r="G1854"/>
      <c r="X1854"/>
    </row>
    <row r="1855" spans="4:24" x14ac:dyDescent="0.25">
      <c r="D1855"/>
      <c r="E1855"/>
      <c r="F1855"/>
      <c r="G1855"/>
      <c r="X1855"/>
    </row>
    <row r="1856" spans="4:24" x14ac:dyDescent="0.25">
      <c r="D1856"/>
      <c r="E1856"/>
      <c r="F1856"/>
      <c r="G1856"/>
      <c r="X1856"/>
    </row>
    <row r="1857" spans="4:24" x14ac:dyDescent="0.25">
      <c r="D1857"/>
      <c r="E1857"/>
      <c r="F1857"/>
      <c r="G1857"/>
      <c r="X1857"/>
    </row>
    <row r="1858" spans="4:24" x14ac:dyDescent="0.25">
      <c r="D1858"/>
      <c r="E1858"/>
      <c r="F1858"/>
      <c r="G1858"/>
      <c r="X1858"/>
    </row>
    <row r="1859" spans="4:24" x14ac:dyDescent="0.25">
      <c r="D1859"/>
      <c r="E1859"/>
      <c r="F1859"/>
      <c r="G1859"/>
      <c r="X1859"/>
    </row>
    <row r="1860" spans="4:24" x14ac:dyDescent="0.25">
      <c r="D1860"/>
      <c r="E1860"/>
      <c r="F1860"/>
      <c r="G1860"/>
      <c r="X1860"/>
    </row>
    <row r="1861" spans="4:24" x14ac:dyDescent="0.25">
      <c r="D1861"/>
      <c r="E1861"/>
      <c r="F1861"/>
      <c r="G1861"/>
      <c r="X1861"/>
    </row>
    <row r="1862" spans="4:24" x14ac:dyDescent="0.25">
      <c r="D1862"/>
      <c r="E1862"/>
      <c r="F1862"/>
      <c r="G1862"/>
      <c r="X1862"/>
    </row>
    <row r="1863" spans="4:24" x14ac:dyDescent="0.25">
      <c r="D1863"/>
      <c r="E1863"/>
      <c r="F1863"/>
      <c r="G1863"/>
      <c r="X1863"/>
    </row>
    <row r="1864" spans="4:24" x14ac:dyDescent="0.25">
      <c r="D1864"/>
      <c r="E1864"/>
      <c r="F1864"/>
      <c r="G1864"/>
      <c r="X1864"/>
    </row>
    <row r="1865" spans="4:24" x14ac:dyDescent="0.25">
      <c r="D1865"/>
      <c r="E1865"/>
      <c r="F1865"/>
      <c r="G1865"/>
      <c r="X1865"/>
    </row>
    <row r="1866" spans="4:24" x14ac:dyDescent="0.25">
      <c r="D1866"/>
      <c r="E1866"/>
      <c r="F1866"/>
      <c r="G1866"/>
      <c r="X1866"/>
    </row>
    <row r="1867" spans="4:24" x14ac:dyDescent="0.25">
      <c r="D1867"/>
      <c r="E1867"/>
      <c r="F1867"/>
      <c r="G1867"/>
      <c r="X1867"/>
    </row>
    <row r="1868" spans="4:24" x14ac:dyDescent="0.25">
      <c r="D1868"/>
      <c r="E1868"/>
      <c r="F1868"/>
      <c r="G1868"/>
      <c r="X1868"/>
    </row>
    <row r="1869" spans="4:24" x14ac:dyDescent="0.25">
      <c r="D1869"/>
      <c r="E1869"/>
      <c r="F1869"/>
      <c r="G1869"/>
      <c r="X1869"/>
    </row>
    <row r="1870" spans="4:24" x14ac:dyDescent="0.25">
      <c r="D1870"/>
      <c r="E1870"/>
      <c r="F1870"/>
      <c r="G1870"/>
      <c r="X1870"/>
    </row>
    <row r="1871" spans="4:24" x14ac:dyDescent="0.25">
      <c r="D1871"/>
      <c r="E1871"/>
      <c r="F1871"/>
      <c r="G1871"/>
      <c r="X1871"/>
    </row>
    <row r="1872" spans="4:24" x14ac:dyDescent="0.25">
      <c r="D1872"/>
      <c r="E1872"/>
      <c r="F1872"/>
      <c r="G1872"/>
      <c r="X1872"/>
    </row>
    <row r="1873" spans="4:24" x14ac:dyDescent="0.25">
      <c r="D1873"/>
      <c r="E1873"/>
      <c r="F1873"/>
      <c r="G1873"/>
      <c r="X1873"/>
    </row>
    <row r="1874" spans="4:24" x14ac:dyDescent="0.25">
      <c r="D1874"/>
      <c r="E1874"/>
      <c r="F1874"/>
      <c r="G1874"/>
      <c r="X1874"/>
    </row>
    <row r="1875" spans="4:24" x14ac:dyDescent="0.25">
      <c r="D1875"/>
      <c r="E1875"/>
      <c r="F1875"/>
      <c r="G1875"/>
      <c r="X1875"/>
    </row>
    <row r="1876" spans="4:24" x14ac:dyDescent="0.25">
      <c r="D1876"/>
      <c r="E1876"/>
      <c r="F1876"/>
      <c r="G1876"/>
      <c r="X1876"/>
    </row>
    <row r="1877" spans="4:24" x14ac:dyDescent="0.25">
      <c r="D1877"/>
      <c r="E1877"/>
      <c r="F1877"/>
      <c r="G1877"/>
      <c r="X1877"/>
    </row>
    <row r="1878" spans="4:24" x14ac:dyDescent="0.25">
      <c r="D1878"/>
      <c r="E1878"/>
      <c r="F1878"/>
      <c r="G1878"/>
      <c r="X1878"/>
    </row>
    <row r="1879" spans="4:24" x14ac:dyDescent="0.25">
      <c r="D1879"/>
      <c r="E1879"/>
      <c r="F1879"/>
      <c r="G1879"/>
      <c r="X1879"/>
    </row>
    <row r="1880" spans="4:24" x14ac:dyDescent="0.25">
      <c r="D1880"/>
      <c r="E1880"/>
      <c r="F1880"/>
      <c r="G1880"/>
      <c r="X1880"/>
    </row>
    <row r="1881" spans="4:24" x14ac:dyDescent="0.25">
      <c r="D1881"/>
      <c r="E1881"/>
      <c r="F1881"/>
      <c r="G1881"/>
      <c r="X1881"/>
    </row>
    <row r="1882" spans="4:24" x14ac:dyDescent="0.25">
      <c r="D1882"/>
      <c r="E1882"/>
      <c r="F1882"/>
      <c r="G1882"/>
      <c r="X1882"/>
    </row>
    <row r="1883" spans="4:24" x14ac:dyDescent="0.25">
      <c r="D1883"/>
      <c r="E1883"/>
      <c r="F1883"/>
      <c r="G1883"/>
      <c r="X1883"/>
    </row>
    <row r="1884" spans="4:24" x14ac:dyDescent="0.25">
      <c r="D1884"/>
      <c r="E1884"/>
      <c r="F1884"/>
      <c r="G1884"/>
      <c r="X1884"/>
    </row>
    <row r="1885" spans="4:24" x14ac:dyDescent="0.25">
      <c r="D1885"/>
      <c r="E1885"/>
      <c r="F1885"/>
      <c r="G1885"/>
      <c r="X1885"/>
    </row>
    <row r="1886" spans="4:24" x14ac:dyDescent="0.25">
      <c r="D1886"/>
      <c r="E1886"/>
      <c r="F1886"/>
      <c r="G1886"/>
      <c r="X1886"/>
    </row>
    <row r="1887" spans="4:24" x14ac:dyDescent="0.25">
      <c r="D1887"/>
      <c r="E1887"/>
      <c r="F1887"/>
      <c r="G1887"/>
      <c r="X1887"/>
    </row>
    <row r="1888" spans="4:24" x14ac:dyDescent="0.25">
      <c r="D1888"/>
      <c r="E1888"/>
      <c r="F1888"/>
      <c r="G1888"/>
      <c r="X1888"/>
    </row>
    <row r="1889" spans="4:24" x14ac:dyDescent="0.25">
      <c r="D1889"/>
      <c r="E1889"/>
      <c r="F1889"/>
      <c r="G1889"/>
      <c r="X1889"/>
    </row>
    <row r="1890" spans="4:24" x14ac:dyDescent="0.25">
      <c r="D1890"/>
      <c r="E1890"/>
      <c r="F1890"/>
      <c r="G1890"/>
      <c r="X1890"/>
    </row>
    <row r="1891" spans="4:24" x14ac:dyDescent="0.25">
      <c r="D1891"/>
      <c r="E1891"/>
      <c r="F1891"/>
      <c r="G1891"/>
      <c r="X1891"/>
    </row>
    <row r="1892" spans="4:24" x14ac:dyDescent="0.25">
      <c r="D1892"/>
      <c r="E1892"/>
      <c r="F1892"/>
      <c r="G1892"/>
      <c r="X1892"/>
    </row>
    <row r="1893" spans="4:24" x14ac:dyDescent="0.25">
      <c r="D1893"/>
      <c r="E1893"/>
      <c r="F1893"/>
      <c r="G1893"/>
      <c r="X1893"/>
    </row>
    <row r="1894" spans="4:24" x14ac:dyDescent="0.25">
      <c r="D1894"/>
      <c r="E1894"/>
      <c r="F1894"/>
      <c r="G1894"/>
      <c r="X1894"/>
    </row>
    <row r="1895" spans="4:24" x14ac:dyDescent="0.25">
      <c r="D1895"/>
      <c r="E1895"/>
      <c r="F1895"/>
      <c r="G1895"/>
      <c r="X1895"/>
    </row>
    <row r="1896" spans="4:24" x14ac:dyDescent="0.25">
      <c r="D1896"/>
      <c r="E1896"/>
      <c r="F1896"/>
      <c r="G1896"/>
      <c r="X1896"/>
    </row>
    <row r="1897" spans="4:24" x14ac:dyDescent="0.25">
      <c r="D1897"/>
      <c r="E1897"/>
      <c r="F1897"/>
      <c r="G1897"/>
      <c r="X1897"/>
    </row>
    <row r="1898" spans="4:24" x14ac:dyDescent="0.25">
      <c r="D1898"/>
      <c r="E1898"/>
      <c r="F1898"/>
      <c r="G1898"/>
      <c r="X1898"/>
    </row>
    <row r="1899" spans="4:24" x14ac:dyDescent="0.25">
      <c r="D1899"/>
      <c r="E1899"/>
      <c r="F1899"/>
      <c r="G1899"/>
      <c r="X1899"/>
    </row>
    <row r="1900" spans="4:24" x14ac:dyDescent="0.25">
      <c r="D1900"/>
      <c r="E1900"/>
      <c r="F1900"/>
      <c r="G1900"/>
      <c r="X1900"/>
    </row>
    <row r="1901" spans="4:24" x14ac:dyDescent="0.25">
      <c r="D1901"/>
      <c r="E1901"/>
      <c r="F1901"/>
      <c r="G1901"/>
      <c r="X1901"/>
    </row>
    <row r="1902" spans="4:24" x14ac:dyDescent="0.25">
      <c r="D1902"/>
      <c r="E1902"/>
      <c r="F1902"/>
      <c r="G1902"/>
      <c r="X1902"/>
    </row>
    <row r="1903" spans="4:24" x14ac:dyDescent="0.25">
      <c r="D1903"/>
      <c r="E1903"/>
      <c r="F1903"/>
      <c r="G1903"/>
      <c r="X1903"/>
    </row>
    <row r="1904" spans="4:24" x14ac:dyDescent="0.25">
      <c r="D1904"/>
      <c r="E1904"/>
      <c r="F1904"/>
      <c r="G1904"/>
      <c r="X1904"/>
    </row>
    <row r="1905" spans="4:24" x14ac:dyDescent="0.25">
      <c r="D1905"/>
      <c r="E1905"/>
      <c r="F1905"/>
      <c r="G1905"/>
      <c r="X1905"/>
    </row>
    <row r="1906" spans="4:24" x14ac:dyDescent="0.25">
      <c r="D1906"/>
      <c r="E1906"/>
      <c r="F1906"/>
      <c r="G1906"/>
      <c r="X1906"/>
    </row>
    <row r="1907" spans="4:24" x14ac:dyDescent="0.25">
      <c r="D1907"/>
      <c r="E1907"/>
      <c r="F1907"/>
      <c r="G1907"/>
      <c r="X1907"/>
    </row>
    <row r="1908" spans="4:24" x14ac:dyDescent="0.25">
      <c r="D1908"/>
      <c r="E1908"/>
      <c r="F1908"/>
      <c r="G1908"/>
      <c r="X1908"/>
    </row>
    <row r="1909" spans="4:24" x14ac:dyDescent="0.25">
      <c r="D1909"/>
      <c r="E1909"/>
      <c r="F1909"/>
      <c r="G1909"/>
      <c r="X1909"/>
    </row>
    <row r="1910" spans="4:24" x14ac:dyDescent="0.25">
      <c r="D1910"/>
      <c r="E1910"/>
      <c r="F1910"/>
      <c r="G1910"/>
      <c r="X1910"/>
    </row>
    <row r="1911" spans="4:24" x14ac:dyDescent="0.25">
      <c r="D1911"/>
      <c r="E1911"/>
      <c r="F1911"/>
      <c r="G1911"/>
      <c r="X1911"/>
    </row>
    <row r="1912" spans="4:24" x14ac:dyDescent="0.25">
      <c r="D1912"/>
      <c r="E1912"/>
      <c r="F1912"/>
      <c r="G1912"/>
      <c r="X1912"/>
    </row>
    <row r="1913" spans="4:24" x14ac:dyDescent="0.25">
      <c r="D1913"/>
      <c r="E1913"/>
      <c r="F1913"/>
      <c r="G1913"/>
      <c r="X1913"/>
    </row>
    <row r="1914" spans="4:24" x14ac:dyDescent="0.25">
      <c r="D1914"/>
      <c r="E1914"/>
      <c r="F1914"/>
      <c r="G1914"/>
      <c r="X1914"/>
    </row>
    <row r="1915" spans="4:24" x14ac:dyDescent="0.25">
      <c r="D1915"/>
      <c r="E1915"/>
      <c r="F1915"/>
      <c r="G1915"/>
      <c r="X1915"/>
    </row>
    <row r="1916" spans="4:24" x14ac:dyDescent="0.25">
      <c r="D1916"/>
      <c r="E1916"/>
      <c r="F1916"/>
      <c r="G1916"/>
      <c r="X1916"/>
    </row>
    <row r="1917" spans="4:24" x14ac:dyDescent="0.25">
      <c r="D1917"/>
      <c r="E1917"/>
      <c r="F1917"/>
      <c r="G1917"/>
      <c r="X1917"/>
    </row>
    <row r="1918" spans="4:24" x14ac:dyDescent="0.25">
      <c r="D1918"/>
      <c r="E1918"/>
      <c r="F1918"/>
      <c r="G1918"/>
      <c r="X1918"/>
    </row>
    <row r="1919" spans="4:24" x14ac:dyDescent="0.25">
      <c r="D1919"/>
      <c r="E1919"/>
      <c r="F1919"/>
      <c r="G1919"/>
      <c r="X1919"/>
    </row>
    <row r="1920" spans="4:24" x14ac:dyDescent="0.25">
      <c r="D1920"/>
      <c r="E1920"/>
      <c r="F1920"/>
      <c r="G1920"/>
      <c r="X1920"/>
    </row>
    <row r="1921" spans="4:24" x14ac:dyDescent="0.25">
      <c r="D1921"/>
      <c r="E1921"/>
      <c r="F1921"/>
      <c r="G1921"/>
      <c r="X1921"/>
    </row>
    <row r="1922" spans="4:24" x14ac:dyDescent="0.25">
      <c r="D1922"/>
      <c r="E1922"/>
      <c r="F1922"/>
      <c r="G1922"/>
      <c r="X1922"/>
    </row>
    <row r="1923" spans="4:24" x14ac:dyDescent="0.25">
      <c r="D1923"/>
      <c r="E1923"/>
      <c r="F1923"/>
      <c r="G1923"/>
      <c r="X1923"/>
    </row>
    <row r="1924" spans="4:24" x14ac:dyDescent="0.25">
      <c r="D1924"/>
      <c r="E1924"/>
      <c r="F1924"/>
      <c r="G1924"/>
      <c r="X1924"/>
    </row>
    <row r="1925" spans="4:24" x14ac:dyDescent="0.25">
      <c r="D1925"/>
      <c r="E1925"/>
      <c r="F1925"/>
      <c r="G1925"/>
      <c r="X1925"/>
    </row>
    <row r="1926" spans="4:24" x14ac:dyDescent="0.25">
      <c r="D1926"/>
      <c r="E1926"/>
      <c r="F1926"/>
      <c r="G1926"/>
      <c r="X1926"/>
    </row>
    <row r="1927" spans="4:24" x14ac:dyDescent="0.25">
      <c r="D1927"/>
      <c r="E1927"/>
      <c r="F1927"/>
      <c r="G1927"/>
      <c r="X1927"/>
    </row>
    <row r="1928" spans="4:24" x14ac:dyDescent="0.25">
      <c r="D1928"/>
      <c r="E1928"/>
      <c r="F1928"/>
      <c r="G1928"/>
      <c r="X1928"/>
    </row>
    <row r="1929" spans="4:24" x14ac:dyDescent="0.25">
      <c r="D1929"/>
      <c r="E1929"/>
      <c r="F1929"/>
      <c r="G1929"/>
      <c r="X1929"/>
    </row>
    <row r="1930" spans="4:24" x14ac:dyDescent="0.25">
      <c r="D1930"/>
      <c r="E1930"/>
      <c r="F1930"/>
      <c r="G1930"/>
      <c r="X1930"/>
    </row>
    <row r="1931" spans="4:24" x14ac:dyDescent="0.25">
      <c r="D1931"/>
      <c r="E1931"/>
      <c r="F1931"/>
      <c r="G1931"/>
      <c r="X1931"/>
    </row>
    <row r="1932" spans="4:24" x14ac:dyDescent="0.25">
      <c r="D1932"/>
      <c r="E1932"/>
      <c r="F1932"/>
      <c r="G1932"/>
      <c r="X1932"/>
    </row>
    <row r="1933" spans="4:24" x14ac:dyDescent="0.25">
      <c r="D1933"/>
      <c r="E1933"/>
      <c r="F1933"/>
      <c r="G1933"/>
      <c r="X1933"/>
    </row>
    <row r="1934" spans="4:24" x14ac:dyDescent="0.25">
      <c r="D1934"/>
      <c r="E1934"/>
      <c r="F1934"/>
      <c r="G1934"/>
      <c r="X1934"/>
    </row>
    <row r="1935" spans="4:24" x14ac:dyDescent="0.25">
      <c r="D1935"/>
      <c r="E1935"/>
      <c r="F1935"/>
      <c r="G1935"/>
      <c r="X1935"/>
    </row>
    <row r="1936" spans="4:24" x14ac:dyDescent="0.25">
      <c r="D1936"/>
      <c r="E1936"/>
      <c r="F1936"/>
      <c r="G1936"/>
      <c r="X1936"/>
    </row>
    <row r="1937" spans="4:24" x14ac:dyDescent="0.25">
      <c r="D1937"/>
      <c r="E1937"/>
      <c r="F1937"/>
      <c r="G1937"/>
      <c r="X1937"/>
    </row>
    <row r="1938" spans="4:24" x14ac:dyDescent="0.25">
      <c r="D1938"/>
      <c r="E1938"/>
      <c r="F1938"/>
      <c r="G1938"/>
      <c r="X1938"/>
    </row>
    <row r="1939" spans="4:24" x14ac:dyDescent="0.25">
      <c r="D1939"/>
      <c r="E1939"/>
      <c r="F1939"/>
      <c r="G1939"/>
      <c r="X1939"/>
    </row>
    <row r="1940" spans="4:24" x14ac:dyDescent="0.25">
      <c r="D1940"/>
      <c r="E1940"/>
      <c r="F1940"/>
      <c r="G1940"/>
      <c r="X1940"/>
    </row>
    <row r="1941" spans="4:24" x14ac:dyDescent="0.25">
      <c r="D1941"/>
      <c r="E1941"/>
      <c r="F1941"/>
      <c r="G1941"/>
      <c r="X1941"/>
    </row>
    <row r="1942" spans="4:24" x14ac:dyDescent="0.25">
      <c r="D1942"/>
      <c r="E1942"/>
      <c r="F1942"/>
      <c r="G1942"/>
      <c r="X1942"/>
    </row>
    <row r="1943" spans="4:24" x14ac:dyDescent="0.25">
      <c r="D1943"/>
      <c r="E1943"/>
      <c r="F1943"/>
      <c r="G1943"/>
      <c r="X1943"/>
    </row>
    <row r="1944" spans="4:24" x14ac:dyDescent="0.25">
      <c r="D1944"/>
      <c r="E1944"/>
      <c r="F1944"/>
      <c r="G1944"/>
      <c r="X1944"/>
    </row>
    <row r="1945" spans="4:24" x14ac:dyDescent="0.25">
      <c r="D1945"/>
      <c r="E1945"/>
      <c r="F1945"/>
      <c r="G1945"/>
      <c r="X1945"/>
    </row>
    <row r="1946" spans="4:24" x14ac:dyDescent="0.25">
      <c r="D1946"/>
      <c r="E1946"/>
      <c r="F1946"/>
      <c r="G1946"/>
      <c r="X1946"/>
    </row>
    <row r="1947" spans="4:24" x14ac:dyDescent="0.25">
      <c r="D1947"/>
      <c r="E1947"/>
      <c r="F1947"/>
      <c r="G1947"/>
      <c r="X1947"/>
    </row>
    <row r="1948" spans="4:24" x14ac:dyDescent="0.25">
      <c r="D1948"/>
      <c r="E1948"/>
      <c r="F1948"/>
      <c r="G1948"/>
      <c r="X1948"/>
    </row>
    <row r="1949" spans="4:24" x14ac:dyDescent="0.25">
      <c r="D1949"/>
      <c r="E1949"/>
      <c r="F1949"/>
      <c r="G1949"/>
      <c r="X1949"/>
    </row>
    <row r="1950" spans="4:24" x14ac:dyDescent="0.25">
      <c r="D1950"/>
      <c r="E1950"/>
      <c r="F1950"/>
      <c r="G1950"/>
      <c r="X1950"/>
    </row>
    <row r="1951" spans="4:24" x14ac:dyDescent="0.25">
      <c r="D1951"/>
      <c r="E1951"/>
      <c r="F1951"/>
      <c r="G1951"/>
      <c r="X1951"/>
    </row>
    <row r="1952" spans="4:24" x14ac:dyDescent="0.25">
      <c r="D1952"/>
      <c r="E1952"/>
      <c r="F1952"/>
      <c r="G1952"/>
      <c r="X1952"/>
    </row>
    <row r="1953" spans="4:24" x14ac:dyDescent="0.25">
      <c r="D1953"/>
      <c r="E1953"/>
      <c r="F1953"/>
      <c r="G1953"/>
      <c r="X1953"/>
    </row>
    <row r="1954" spans="4:24" x14ac:dyDescent="0.25">
      <c r="D1954"/>
      <c r="E1954"/>
      <c r="F1954"/>
      <c r="G1954"/>
      <c r="X1954"/>
    </row>
    <row r="1955" spans="4:24" x14ac:dyDescent="0.25">
      <c r="D1955"/>
      <c r="E1955"/>
      <c r="F1955"/>
      <c r="G1955"/>
      <c r="X1955"/>
    </row>
    <row r="1956" spans="4:24" x14ac:dyDescent="0.25">
      <c r="D1956"/>
      <c r="E1956"/>
      <c r="F1956"/>
      <c r="G1956"/>
      <c r="X1956"/>
    </row>
    <row r="1957" spans="4:24" x14ac:dyDescent="0.25">
      <c r="D1957"/>
      <c r="E1957"/>
      <c r="F1957"/>
      <c r="G1957"/>
      <c r="X1957"/>
    </row>
    <row r="1958" spans="4:24" x14ac:dyDescent="0.25">
      <c r="D1958"/>
      <c r="E1958"/>
      <c r="F1958"/>
      <c r="G1958"/>
      <c r="X1958"/>
    </row>
    <row r="1959" spans="4:24" x14ac:dyDescent="0.25">
      <c r="D1959"/>
      <c r="E1959"/>
      <c r="F1959"/>
      <c r="G1959"/>
      <c r="X1959"/>
    </row>
    <row r="1960" spans="4:24" x14ac:dyDescent="0.25">
      <c r="D1960"/>
      <c r="E1960"/>
      <c r="F1960"/>
      <c r="G1960"/>
      <c r="X1960"/>
    </row>
    <row r="1961" spans="4:24" x14ac:dyDescent="0.25">
      <c r="D1961"/>
      <c r="E1961"/>
      <c r="F1961"/>
      <c r="G1961"/>
      <c r="X1961"/>
    </row>
    <row r="1962" spans="4:24" x14ac:dyDescent="0.25">
      <c r="D1962"/>
      <c r="E1962"/>
      <c r="F1962"/>
      <c r="G1962"/>
      <c r="X1962"/>
    </row>
    <row r="1963" spans="4:24" x14ac:dyDescent="0.25">
      <c r="D1963"/>
      <c r="E1963"/>
      <c r="F1963"/>
      <c r="G1963"/>
      <c r="X1963"/>
    </row>
    <row r="1964" spans="4:24" x14ac:dyDescent="0.25">
      <c r="D1964"/>
      <c r="E1964"/>
      <c r="F1964"/>
      <c r="G1964"/>
      <c r="X1964"/>
    </row>
    <row r="1965" spans="4:24" x14ac:dyDescent="0.25">
      <c r="D1965"/>
      <c r="E1965"/>
      <c r="F1965"/>
      <c r="G1965"/>
      <c r="X1965"/>
    </row>
    <row r="1966" spans="4:24" x14ac:dyDescent="0.25">
      <c r="D1966"/>
      <c r="E1966"/>
      <c r="F1966"/>
      <c r="G1966"/>
      <c r="X1966"/>
    </row>
    <row r="1967" spans="4:24" x14ac:dyDescent="0.25">
      <c r="D1967"/>
      <c r="E1967"/>
      <c r="F1967"/>
      <c r="G1967"/>
      <c r="X1967"/>
    </row>
    <row r="1968" spans="4:24" x14ac:dyDescent="0.25">
      <c r="D1968"/>
      <c r="E1968"/>
      <c r="F1968"/>
      <c r="G1968"/>
      <c r="X1968"/>
    </row>
    <row r="1969" spans="4:24" x14ac:dyDescent="0.25">
      <c r="D1969"/>
      <c r="E1969"/>
      <c r="F1969"/>
      <c r="G1969"/>
      <c r="X1969"/>
    </row>
    <row r="1970" spans="4:24" x14ac:dyDescent="0.25">
      <c r="D1970"/>
      <c r="E1970"/>
      <c r="F1970"/>
      <c r="G1970"/>
      <c r="X1970"/>
    </row>
    <row r="1971" spans="4:24" x14ac:dyDescent="0.25">
      <c r="D1971"/>
      <c r="E1971"/>
      <c r="F1971"/>
      <c r="G1971"/>
      <c r="X1971"/>
    </row>
    <row r="1972" spans="4:24" x14ac:dyDescent="0.25">
      <c r="D1972"/>
      <c r="E1972"/>
      <c r="F1972"/>
      <c r="G1972"/>
      <c r="X1972"/>
    </row>
    <row r="1973" spans="4:24" x14ac:dyDescent="0.25">
      <c r="D1973"/>
      <c r="E1973"/>
      <c r="F1973"/>
      <c r="G1973"/>
      <c r="X1973"/>
    </row>
    <row r="1974" spans="4:24" x14ac:dyDescent="0.25">
      <c r="D1974"/>
      <c r="E1974"/>
      <c r="F1974"/>
      <c r="G1974"/>
      <c r="X1974"/>
    </row>
    <row r="1975" spans="4:24" x14ac:dyDescent="0.25">
      <c r="D1975"/>
      <c r="E1975"/>
      <c r="F1975"/>
      <c r="G1975"/>
      <c r="X1975"/>
    </row>
    <row r="1976" spans="4:24" x14ac:dyDescent="0.25">
      <c r="D1976"/>
      <c r="E1976"/>
      <c r="F1976"/>
      <c r="G1976"/>
      <c r="X1976"/>
    </row>
    <row r="1977" spans="4:24" x14ac:dyDescent="0.25">
      <c r="D1977"/>
      <c r="E1977"/>
      <c r="F1977"/>
      <c r="G1977"/>
      <c r="X1977"/>
    </row>
    <row r="1978" spans="4:24" x14ac:dyDescent="0.25">
      <c r="D1978"/>
      <c r="E1978"/>
      <c r="F1978"/>
      <c r="G1978"/>
      <c r="X1978"/>
    </row>
    <row r="1979" spans="4:24" x14ac:dyDescent="0.25">
      <c r="D1979"/>
      <c r="E1979"/>
      <c r="F1979"/>
      <c r="G1979"/>
      <c r="X1979"/>
    </row>
    <row r="1980" spans="4:24" x14ac:dyDescent="0.25">
      <c r="D1980"/>
      <c r="E1980"/>
      <c r="F1980"/>
      <c r="G1980"/>
      <c r="X1980"/>
    </row>
    <row r="1981" spans="4:24" x14ac:dyDescent="0.25">
      <c r="D1981"/>
      <c r="E1981"/>
      <c r="F1981"/>
      <c r="G1981"/>
      <c r="X1981"/>
    </row>
    <row r="1982" spans="4:24" x14ac:dyDescent="0.25">
      <c r="D1982"/>
      <c r="E1982"/>
      <c r="F1982"/>
      <c r="G1982"/>
      <c r="X1982"/>
    </row>
    <row r="1983" spans="4:24" x14ac:dyDescent="0.25">
      <c r="D1983"/>
      <c r="E1983"/>
      <c r="F1983"/>
      <c r="G1983"/>
      <c r="X1983"/>
    </row>
    <row r="1984" spans="4:24" x14ac:dyDescent="0.25">
      <c r="D1984"/>
      <c r="E1984"/>
      <c r="F1984"/>
      <c r="G1984"/>
      <c r="X1984"/>
    </row>
    <row r="1985" spans="4:24" x14ac:dyDescent="0.25">
      <c r="D1985"/>
      <c r="E1985"/>
      <c r="F1985"/>
      <c r="G1985"/>
      <c r="X1985"/>
    </row>
    <row r="1986" spans="4:24" x14ac:dyDescent="0.25">
      <c r="D1986"/>
      <c r="E1986"/>
      <c r="F1986"/>
      <c r="G1986"/>
      <c r="X1986"/>
    </row>
    <row r="1987" spans="4:24" x14ac:dyDescent="0.25">
      <c r="D1987"/>
      <c r="E1987"/>
      <c r="F1987"/>
      <c r="G1987"/>
      <c r="X1987"/>
    </row>
    <row r="1988" spans="4:24" x14ac:dyDescent="0.25">
      <c r="D1988"/>
      <c r="E1988"/>
      <c r="F1988"/>
      <c r="G1988"/>
      <c r="X1988"/>
    </row>
    <row r="1989" spans="4:24" x14ac:dyDescent="0.25">
      <c r="D1989"/>
      <c r="E1989"/>
      <c r="F1989"/>
      <c r="G1989"/>
      <c r="X1989"/>
    </row>
    <row r="1990" spans="4:24" x14ac:dyDescent="0.25">
      <c r="D1990"/>
      <c r="E1990"/>
      <c r="F1990"/>
      <c r="G1990"/>
      <c r="X1990"/>
    </row>
    <row r="1991" spans="4:24" x14ac:dyDescent="0.25">
      <c r="D1991"/>
      <c r="E1991"/>
      <c r="F1991"/>
      <c r="G1991"/>
      <c r="X1991"/>
    </row>
    <row r="1992" spans="4:24" x14ac:dyDescent="0.25">
      <c r="D1992"/>
      <c r="E1992"/>
      <c r="F1992"/>
      <c r="G1992"/>
      <c r="X1992"/>
    </row>
    <row r="1993" spans="4:24" x14ac:dyDescent="0.25">
      <c r="D1993"/>
      <c r="E1993"/>
      <c r="F1993"/>
      <c r="G1993"/>
      <c r="X1993"/>
    </row>
    <row r="1994" spans="4:24" x14ac:dyDescent="0.25">
      <c r="D1994"/>
      <c r="E1994"/>
      <c r="F1994"/>
      <c r="G1994"/>
      <c r="X1994"/>
    </row>
    <row r="1995" spans="4:24" x14ac:dyDescent="0.25">
      <c r="D1995"/>
      <c r="E1995"/>
      <c r="F1995"/>
      <c r="G1995"/>
      <c r="X1995"/>
    </row>
    <row r="1996" spans="4:24" x14ac:dyDescent="0.25">
      <c r="D1996"/>
      <c r="E1996"/>
      <c r="F1996"/>
      <c r="G1996"/>
      <c r="X1996"/>
    </row>
    <row r="1997" spans="4:24" x14ac:dyDescent="0.25">
      <c r="D1997"/>
      <c r="E1997"/>
      <c r="F1997"/>
      <c r="G1997"/>
      <c r="X1997"/>
    </row>
    <row r="1998" spans="4:24" x14ac:dyDescent="0.25">
      <c r="D1998"/>
      <c r="E1998"/>
      <c r="F1998"/>
      <c r="G1998"/>
      <c r="X1998"/>
    </row>
    <row r="1999" spans="4:24" x14ac:dyDescent="0.25">
      <c r="D1999"/>
      <c r="E1999"/>
      <c r="F1999"/>
      <c r="G1999"/>
      <c r="X1999"/>
    </row>
    <row r="2000" spans="4:24" x14ac:dyDescent="0.25">
      <c r="D2000"/>
      <c r="E2000"/>
      <c r="F2000"/>
      <c r="G2000"/>
      <c r="X2000"/>
    </row>
    <row r="2001" spans="4:24" x14ac:dyDescent="0.25">
      <c r="D2001"/>
      <c r="E2001"/>
      <c r="F2001"/>
      <c r="G2001"/>
      <c r="X2001"/>
    </row>
    <row r="2002" spans="4:24" x14ac:dyDescent="0.25">
      <c r="D2002"/>
      <c r="E2002"/>
      <c r="F2002"/>
      <c r="G2002"/>
      <c r="X2002"/>
    </row>
    <row r="2003" spans="4:24" x14ac:dyDescent="0.25">
      <c r="D2003"/>
      <c r="E2003"/>
      <c r="F2003"/>
      <c r="G2003"/>
      <c r="X2003"/>
    </row>
    <row r="2004" spans="4:24" x14ac:dyDescent="0.25">
      <c r="D2004"/>
      <c r="E2004"/>
      <c r="F2004"/>
      <c r="G2004"/>
      <c r="X2004"/>
    </row>
    <row r="2005" spans="4:24" x14ac:dyDescent="0.25">
      <c r="D2005"/>
      <c r="E2005"/>
      <c r="F2005"/>
      <c r="G2005"/>
      <c r="X2005"/>
    </row>
    <row r="2006" spans="4:24" x14ac:dyDescent="0.25">
      <c r="D2006"/>
      <c r="E2006"/>
      <c r="F2006"/>
      <c r="G2006"/>
      <c r="X2006"/>
    </row>
    <row r="2007" spans="4:24" x14ac:dyDescent="0.25">
      <c r="D2007"/>
      <c r="E2007"/>
      <c r="F2007"/>
      <c r="G2007"/>
      <c r="X2007"/>
    </row>
    <row r="2008" spans="4:24" x14ac:dyDescent="0.25">
      <c r="D2008"/>
      <c r="E2008"/>
      <c r="F2008"/>
      <c r="G2008"/>
      <c r="X2008"/>
    </row>
    <row r="2009" spans="4:24" x14ac:dyDescent="0.25">
      <c r="D2009"/>
      <c r="E2009"/>
      <c r="F2009"/>
      <c r="G2009"/>
      <c r="X2009"/>
    </row>
    <row r="2010" spans="4:24" x14ac:dyDescent="0.25">
      <c r="D2010"/>
      <c r="E2010"/>
      <c r="F2010"/>
      <c r="G2010"/>
      <c r="X2010"/>
    </row>
    <row r="2011" spans="4:24" x14ac:dyDescent="0.25">
      <c r="D2011"/>
      <c r="E2011"/>
      <c r="F2011"/>
      <c r="G2011"/>
      <c r="X2011"/>
    </row>
    <row r="2012" spans="4:24" x14ac:dyDescent="0.25">
      <c r="D2012"/>
      <c r="E2012"/>
      <c r="F2012"/>
      <c r="G2012"/>
      <c r="X2012"/>
    </row>
    <row r="2013" spans="4:24" x14ac:dyDescent="0.25">
      <c r="D2013"/>
      <c r="E2013"/>
      <c r="F2013"/>
      <c r="G2013"/>
      <c r="X2013"/>
    </row>
    <row r="2014" spans="4:24" x14ac:dyDescent="0.25">
      <c r="D2014"/>
      <c r="E2014"/>
      <c r="F2014"/>
      <c r="G2014"/>
      <c r="X2014"/>
    </row>
    <row r="2015" spans="4:24" x14ac:dyDescent="0.25">
      <c r="D2015"/>
      <c r="E2015"/>
      <c r="F2015"/>
      <c r="G2015"/>
      <c r="X2015"/>
    </row>
    <row r="2016" spans="4:24" x14ac:dyDescent="0.25">
      <c r="D2016"/>
      <c r="E2016"/>
      <c r="F2016"/>
      <c r="G2016"/>
      <c r="X2016"/>
    </row>
    <row r="2017" spans="4:24" x14ac:dyDescent="0.25">
      <c r="D2017"/>
      <c r="E2017"/>
      <c r="F2017"/>
      <c r="G2017"/>
      <c r="X2017"/>
    </row>
    <row r="2018" spans="4:24" x14ac:dyDescent="0.25">
      <c r="D2018"/>
      <c r="E2018"/>
      <c r="F2018"/>
      <c r="G2018"/>
      <c r="X2018"/>
    </row>
    <row r="2019" spans="4:24" x14ac:dyDescent="0.25">
      <c r="D2019"/>
      <c r="E2019"/>
      <c r="F2019"/>
      <c r="G2019"/>
      <c r="X2019"/>
    </row>
    <row r="2020" spans="4:24" x14ac:dyDescent="0.25">
      <c r="D2020"/>
      <c r="E2020"/>
      <c r="F2020"/>
      <c r="G2020"/>
      <c r="X2020"/>
    </row>
    <row r="2021" spans="4:24" x14ac:dyDescent="0.25">
      <c r="D2021"/>
      <c r="E2021"/>
      <c r="F2021"/>
      <c r="G2021"/>
      <c r="X2021"/>
    </row>
    <row r="2022" spans="4:24" x14ac:dyDescent="0.25">
      <c r="D2022"/>
      <c r="E2022"/>
      <c r="F2022"/>
      <c r="G2022"/>
      <c r="X2022"/>
    </row>
    <row r="2023" spans="4:24" x14ac:dyDescent="0.25">
      <c r="D2023"/>
      <c r="E2023"/>
      <c r="F2023"/>
      <c r="G2023"/>
      <c r="X2023"/>
    </row>
    <row r="2024" spans="4:24" x14ac:dyDescent="0.25">
      <c r="D2024"/>
      <c r="E2024"/>
      <c r="F2024"/>
      <c r="G2024"/>
      <c r="X2024"/>
    </row>
    <row r="2025" spans="4:24" x14ac:dyDescent="0.25">
      <c r="D2025"/>
      <c r="E2025"/>
      <c r="F2025"/>
      <c r="G2025"/>
      <c r="X2025"/>
    </row>
    <row r="2026" spans="4:24" x14ac:dyDescent="0.25">
      <c r="D2026"/>
      <c r="E2026"/>
      <c r="F2026"/>
      <c r="G2026"/>
      <c r="X2026"/>
    </row>
    <row r="2027" spans="4:24" x14ac:dyDescent="0.25">
      <c r="D2027"/>
      <c r="E2027"/>
      <c r="F2027"/>
      <c r="G2027"/>
      <c r="X2027"/>
    </row>
    <row r="2028" spans="4:24" x14ac:dyDescent="0.25">
      <c r="D2028"/>
      <c r="E2028"/>
      <c r="F2028"/>
      <c r="G2028"/>
      <c r="X2028"/>
    </row>
    <row r="2029" spans="4:24" x14ac:dyDescent="0.25">
      <c r="D2029"/>
      <c r="E2029"/>
      <c r="F2029"/>
      <c r="G2029"/>
      <c r="X2029"/>
    </row>
    <row r="2030" spans="4:24" x14ac:dyDescent="0.25">
      <c r="D2030"/>
      <c r="E2030"/>
      <c r="F2030"/>
      <c r="G2030"/>
      <c r="X2030"/>
    </row>
    <row r="2031" spans="4:24" x14ac:dyDescent="0.25">
      <c r="D2031"/>
      <c r="E2031"/>
      <c r="F2031"/>
      <c r="G2031"/>
      <c r="X2031"/>
    </row>
    <row r="2032" spans="4:24" x14ac:dyDescent="0.25">
      <c r="D2032"/>
      <c r="E2032"/>
      <c r="F2032"/>
      <c r="G2032"/>
      <c r="X2032"/>
    </row>
    <row r="2033" spans="4:24" x14ac:dyDescent="0.25">
      <c r="D2033"/>
      <c r="E2033"/>
      <c r="F2033"/>
      <c r="G2033"/>
      <c r="X2033"/>
    </row>
    <row r="2034" spans="4:24" x14ac:dyDescent="0.25">
      <c r="D2034"/>
      <c r="E2034"/>
      <c r="F2034"/>
      <c r="G2034"/>
      <c r="X2034"/>
    </row>
    <row r="2035" spans="4:24" x14ac:dyDescent="0.25">
      <c r="D2035"/>
      <c r="E2035"/>
      <c r="F2035"/>
      <c r="G2035"/>
      <c r="X2035"/>
    </row>
    <row r="2036" spans="4:24" x14ac:dyDescent="0.25">
      <c r="D2036"/>
      <c r="E2036"/>
      <c r="F2036"/>
      <c r="G2036"/>
      <c r="X2036"/>
    </row>
    <row r="2037" spans="4:24" x14ac:dyDescent="0.25">
      <c r="D2037"/>
      <c r="E2037"/>
      <c r="F2037"/>
      <c r="G2037"/>
      <c r="X2037"/>
    </row>
    <row r="2038" spans="4:24" x14ac:dyDescent="0.25">
      <c r="D2038"/>
      <c r="E2038"/>
      <c r="F2038"/>
      <c r="G2038"/>
      <c r="X2038"/>
    </row>
    <row r="2039" spans="4:24" x14ac:dyDescent="0.25">
      <c r="D2039"/>
      <c r="E2039"/>
      <c r="F2039"/>
      <c r="G2039"/>
      <c r="X2039"/>
    </row>
    <row r="2040" spans="4:24" x14ac:dyDescent="0.25">
      <c r="D2040"/>
      <c r="E2040"/>
      <c r="F2040"/>
      <c r="G2040"/>
      <c r="X2040"/>
    </row>
    <row r="2041" spans="4:24" x14ac:dyDescent="0.25">
      <c r="D2041"/>
      <c r="E2041"/>
      <c r="F2041"/>
      <c r="G2041"/>
      <c r="X2041"/>
    </row>
    <row r="2042" spans="4:24" x14ac:dyDescent="0.25">
      <c r="D2042"/>
      <c r="E2042"/>
      <c r="F2042"/>
      <c r="G2042"/>
      <c r="X2042"/>
    </row>
    <row r="2043" spans="4:24" x14ac:dyDescent="0.25">
      <c r="D2043"/>
      <c r="E2043"/>
      <c r="F2043"/>
      <c r="G2043"/>
      <c r="X2043"/>
    </row>
    <row r="2044" spans="4:24" x14ac:dyDescent="0.25">
      <c r="D2044"/>
      <c r="E2044"/>
      <c r="F2044"/>
      <c r="G2044"/>
      <c r="X2044"/>
    </row>
    <row r="2045" spans="4:24" x14ac:dyDescent="0.25">
      <c r="D2045"/>
      <c r="E2045"/>
      <c r="F2045"/>
      <c r="G2045"/>
      <c r="X2045"/>
    </row>
    <row r="2046" spans="4:24" x14ac:dyDescent="0.25">
      <c r="D2046"/>
      <c r="E2046"/>
      <c r="F2046"/>
      <c r="G2046"/>
      <c r="X2046"/>
    </row>
    <row r="2047" spans="4:24" x14ac:dyDescent="0.25">
      <c r="D2047"/>
      <c r="E2047"/>
      <c r="F2047"/>
      <c r="G2047"/>
      <c r="X2047"/>
    </row>
    <row r="2048" spans="4:24" x14ac:dyDescent="0.25">
      <c r="D2048"/>
      <c r="E2048"/>
      <c r="F2048"/>
      <c r="G2048"/>
      <c r="X2048"/>
    </row>
    <row r="2049" spans="4:24" x14ac:dyDescent="0.25">
      <c r="D2049"/>
      <c r="E2049"/>
      <c r="F2049"/>
      <c r="G2049"/>
      <c r="X2049"/>
    </row>
    <row r="2050" spans="4:24" x14ac:dyDescent="0.25">
      <c r="D2050"/>
      <c r="E2050"/>
      <c r="F2050"/>
      <c r="G2050"/>
      <c r="X2050"/>
    </row>
    <row r="2051" spans="4:24" x14ac:dyDescent="0.25">
      <c r="D2051"/>
      <c r="E2051"/>
      <c r="F2051"/>
      <c r="G2051"/>
      <c r="X2051"/>
    </row>
    <row r="2052" spans="4:24" x14ac:dyDescent="0.25">
      <c r="D2052"/>
      <c r="E2052"/>
      <c r="F2052"/>
      <c r="G2052"/>
      <c r="X2052"/>
    </row>
    <row r="2053" spans="4:24" x14ac:dyDescent="0.25">
      <c r="D2053"/>
      <c r="E2053"/>
      <c r="F2053"/>
      <c r="G2053"/>
      <c r="X2053"/>
    </row>
    <row r="2054" spans="4:24" x14ac:dyDescent="0.25">
      <c r="D2054"/>
      <c r="E2054"/>
      <c r="F2054"/>
      <c r="G2054"/>
      <c r="X2054"/>
    </row>
    <row r="2055" spans="4:24" x14ac:dyDescent="0.25">
      <c r="D2055"/>
      <c r="E2055"/>
      <c r="F2055"/>
      <c r="G2055"/>
      <c r="X2055"/>
    </row>
    <row r="2056" spans="4:24" x14ac:dyDescent="0.25">
      <c r="D2056"/>
      <c r="E2056"/>
      <c r="F2056"/>
      <c r="G2056"/>
      <c r="X2056"/>
    </row>
    <row r="2057" spans="4:24" x14ac:dyDescent="0.25">
      <c r="D2057"/>
      <c r="E2057"/>
      <c r="F2057"/>
      <c r="G2057"/>
      <c r="X2057"/>
    </row>
    <row r="2058" spans="4:24" x14ac:dyDescent="0.25">
      <c r="D2058"/>
      <c r="E2058"/>
      <c r="F2058"/>
      <c r="G2058"/>
      <c r="X2058"/>
    </row>
    <row r="2059" spans="4:24" x14ac:dyDescent="0.25">
      <c r="D2059"/>
      <c r="E2059"/>
      <c r="F2059"/>
      <c r="G2059"/>
      <c r="X2059"/>
    </row>
    <row r="2060" spans="4:24" x14ac:dyDescent="0.25">
      <c r="D2060"/>
      <c r="E2060"/>
      <c r="F2060"/>
      <c r="G2060"/>
      <c r="X2060"/>
    </row>
    <row r="2061" spans="4:24" x14ac:dyDescent="0.25">
      <c r="D2061"/>
      <c r="E2061"/>
      <c r="F2061"/>
      <c r="G2061"/>
      <c r="X2061"/>
    </row>
    <row r="2062" spans="4:24" x14ac:dyDescent="0.25">
      <c r="D2062"/>
      <c r="E2062"/>
      <c r="F2062"/>
      <c r="G2062"/>
      <c r="X2062"/>
    </row>
    <row r="2063" spans="4:24" x14ac:dyDescent="0.25">
      <c r="D2063"/>
      <c r="E2063"/>
      <c r="F2063"/>
      <c r="G2063"/>
      <c r="X2063"/>
    </row>
    <row r="2064" spans="4:24" x14ac:dyDescent="0.25">
      <c r="D2064"/>
      <c r="E2064"/>
      <c r="F2064"/>
      <c r="G2064"/>
      <c r="X2064"/>
    </row>
    <row r="2065" spans="4:24" x14ac:dyDescent="0.25">
      <c r="D2065"/>
      <c r="E2065"/>
      <c r="F2065"/>
      <c r="G2065"/>
      <c r="X2065"/>
    </row>
    <row r="2066" spans="4:24" x14ac:dyDescent="0.25">
      <c r="D2066"/>
      <c r="E2066"/>
      <c r="F2066"/>
      <c r="G2066"/>
      <c r="X2066"/>
    </row>
    <row r="2067" spans="4:24" x14ac:dyDescent="0.25">
      <c r="D2067"/>
      <c r="E2067"/>
      <c r="F2067"/>
      <c r="G2067"/>
      <c r="X2067"/>
    </row>
    <row r="2068" spans="4:24" x14ac:dyDescent="0.25">
      <c r="D2068"/>
      <c r="E2068"/>
      <c r="F2068"/>
      <c r="G2068"/>
      <c r="X2068"/>
    </row>
    <row r="2069" spans="4:24" x14ac:dyDescent="0.25">
      <c r="D2069"/>
      <c r="E2069"/>
      <c r="F2069"/>
      <c r="G2069"/>
      <c r="X2069"/>
    </row>
    <row r="2070" spans="4:24" x14ac:dyDescent="0.25">
      <c r="D2070"/>
      <c r="E2070"/>
      <c r="F2070"/>
      <c r="G2070"/>
      <c r="X2070"/>
    </row>
    <row r="2071" spans="4:24" x14ac:dyDescent="0.25">
      <c r="D2071"/>
      <c r="E2071"/>
      <c r="F2071"/>
      <c r="G2071"/>
      <c r="X2071"/>
    </row>
    <row r="2072" spans="4:24" x14ac:dyDescent="0.25">
      <c r="D2072"/>
      <c r="E2072"/>
      <c r="F2072"/>
      <c r="G2072"/>
      <c r="X2072"/>
    </row>
    <row r="2073" spans="4:24" x14ac:dyDescent="0.25">
      <c r="D2073"/>
      <c r="E2073"/>
      <c r="F2073"/>
      <c r="G2073"/>
      <c r="X2073"/>
    </row>
    <row r="2074" spans="4:24" x14ac:dyDescent="0.25">
      <c r="D2074"/>
      <c r="E2074"/>
      <c r="F2074"/>
      <c r="G2074"/>
      <c r="X2074"/>
    </row>
    <row r="2075" spans="4:24" x14ac:dyDescent="0.25">
      <c r="D2075"/>
      <c r="E2075"/>
      <c r="F2075"/>
      <c r="G2075"/>
      <c r="X2075"/>
    </row>
    <row r="2076" spans="4:24" x14ac:dyDescent="0.25">
      <c r="D2076"/>
      <c r="E2076"/>
      <c r="F2076"/>
      <c r="G2076"/>
      <c r="X2076"/>
    </row>
    <row r="2077" spans="4:24" x14ac:dyDescent="0.25">
      <c r="D2077"/>
      <c r="E2077"/>
      <c r="F2077"/>
      <c r="G2077"/>
      <c r="X2077"/>
    </row>
    <row r="2078" spans="4:24" x14ac:dyDescent="0.25">
      <c r="D2078"/>
      <c r="E2078"/>
      <c r="F2078"/>
      <c r="G2078"/>
      <c r="X2078"/>
    </row>
    <row r="2079" spans="4:24" x14ac:dyDescent="0.25">
      <c r="D2079"/>
      <c r="E2079"/>
      <c r="F2079"/>
      <c r="G2079"/>
      <c r="X2079"/>
    </row>
    <row r="2080" spans="4:24" x14ac:dyDescent="0.25">
      <c r="D2080"/>
      <c r="E2080"/>
      <c r="F2080"/>
      <c r="G2080"/>
      <c r="X2080"/>
    </row>
    <row r="2081" spans="4:24" x14ac:dyDescent="0.25">
      <c r="D2081"/>
      <c r="E2081"/>
      <c r="F2081"/>
      <c r="G2081"/>
      <c r="X2081"/>
    </row>
    <row r="2082" spans="4:24" x14ac:dyDescent="0.25">
      <c r="D2082"/>
      <c r="E2082"/>
      <c r="F2082"/>
      <c r="G2082"/>
      <c r="X2082"/>
    </row>
    <row r="2083" spans="4:24" x14ac:dyDescent="0.25">
      <c r="D2083"/>
      <c r="E2083"/>
      <c r="F2083"/>
      <c r="G2083"/>
      <c r="X2083"/>
    </row>
    <row r="2084" spans="4:24" x14ac:dyDescent="0.25">
      <c r="D2084"/>
      <c r="E2084"/>
      <c r="F2084"/>
      <c r="G2084"/>
      <c r="X2084"/>
    </row>
    <row r="2085" spans="4:24" x14ac:dyDescent="0.25">
      <c r="D2085"/>
      <c r="E2085"/>
      <c r="F2085"/>
      <c r="G2085"/>
      <c r="X2085"/>
    </row>
    <row r="2086" spans="4:24" x14ac:dyDescent="0.25">
      <c r="D2086"/>
      <c r="E2086"/>
      <c r="F2086"/>
      <c r="G2086"/>
      <c r="X2086"/>
    </row>
    <row r="2087" spans="4:24" x14ac:dyDescent="0.25">
      <c r="D2087"/>
      <c r="E2087"/>
      <c r="F2087"/>
      <c r="G2087"/>
      <c r="X2087"/>
    </row>
    <row r="2088" spans="4:24" x14ac:dyDescent="0.25">
      <c r="D2088"/>
      <c r="E2088"/>
      <c r="F2088"/>
      <c r="G2088"/>
      <c r="X2088"/>
    </row>
    <row r="2089" spans="4:24" x14ac:dyDescent="0.25">
      <c r="D2089"/>
      <c r="E2089"/>
      <c r="F2089"/>
      <c r="G2089"/>
      <c r="X2089"/>
    </row>
    <row r="2090" spans="4:24" x14ac:dyDescent="0.25">
      <c r="D2090"/>
      <c r="E2090"/>
      <c r="F2090"/>
      <c r="G2090"/>
      <c r="X2090"/>
    </row>
    <row r="2091" spans="4:24" x14ac:dyDescent="0.25">
      <c r="D2091"/>
      <c r="E2091"/>
      <c r="F2091"/>
      <c r="G2091"/>
      <c r="X2091"/>
    </row>
    <row r="2092" spans="4:24" x14ac:dyDescent="0.25">
      <c r="D2092"/>
      <c r="E2092"/>
      <c r="F2092"/>
      <c r="G2092"/>
      <c r="X2092"/>
    </row>
    <row r="2093" spans="4:24" x14ac:dyDescent="0.25">
      <c r="D2093"/>
      <c r="E2093"/>
      <c r="F2093"/>
      <c r="G2093"/>
      <c r="X2093"/>
    </row>
    <row r="2094" spans="4:24" x14ac:dyDescent="0.25">
      <c r="D2094"/>
      <c r="E2094"/>
      <c r="F2094"/>
      <c r="G2094"/>
      <c r="X2094"/>
    </row>
    <row r="2095" spans="4:24" x14ac:dyDescent="0.25">
      <c r="D2095"/>
      <c r="E2095"/>
      <c r="F2095"/>
      <c r="G2095"/>
      <c r="X2095"/>
    </row>
    <row r="2096" spans="4:24" x14ac:dyDescent="0.25">
      <c r="D2096"/>
      <c r="E2096"/>
      <c r="F2096"/>
      <c r="G2096"/>
      <c r="X2096"/>
    </row>
    <row r="2097" spans="4:24" x14ac:dyDescent="0.25">
      <c r="D2097"/>
      <c r="E2097"/>
      <c r="F2097"/>
      <c r="G2097"/>
      <c r="X2097"/>
    </row>
    <row r="2098" spans="4:24" x14ac:dyDescent="0.25">
      <c r="D2098"/>
      <c r="E2098"/>
      <c r="F2098"/>
      <c r="G2098"/>
      <c r="X2098"/>
    </row>
    <row r="2099" spans="4:24" x14ac:dyDescent="0.25">
      <c r="D2099"/>
      <c r="E2099"/>
      <c r="F2099"/>
      <c r="G2099"/>
      <c r="X2099"/>
    </row>
    <row r="2100" spans="4:24" x14ac:dyDescent="0.25">
      <c r="D2100"/>
      <c r="E2100"/>
      <c r="F2100"/>
      <c r="G2100"/>
      <c r="X2100"/>
    </row>
    <row r="2101" spans="4:24" x14ac:dyDescent="0.25">
      <c r="D2101"/>
      <c r="E2101"/>
      <c r="F2101"/>
      <c r="G2101"/>
      <c r="X2101"/>
    </row>
    <row r="2102" spans="4:24" x14ac:dyDescent="0.25">
      <c r="D2102"/>
      <c r="E2102"/>
      <c r="F2102"/>
      <c r="G2102"/>
      <c r="X2102"/>
    </row>
    <row r="2103" spans="4:24" x14ac:dyDescent="0.25">
      <c r="D2103"/>
      <c r="E2103"/>
      <c r="F2103"/>
      <c r="G2103"/>
      <c r="X2103"/>
    </row>
    <row r="2104" spans="4:24" x14ac:dyDescent="0.25">
      <c r="D2104"/>
      <c r="E2104"/>
      <c r="F2104"/>
      <c r="G2104"/>
      <c r="X2104"/>
    </row>
    <row r="2105" spans="4:24" x14ac:dyDescent="0.25">
      <c r="D2105"/>
      <c r="E2105"/>
      <c r="F2105"/>
      <c r="G2105"/>
      <c r="X2105"/>
    </row>
    <row r="2106" spans="4:24" x14ac:dyDescent="0.25">
      <c r="D2106"/>
      <c r="E2106"/>
      <c r="F2106"/>
      <c r="G2106"/>
      <c r="X2106"/>
    </row>
    <row r="2107" spans="4:24" x14ac:dyDescent="0.25">
      <c r="D2107"/>
      <c r="E2107"/>
      <c r="F2107"/>
      <c r="G2107"/>
      <c r="X2107"/>
    </row>
    <row r="2108" spans="4:24" x14ac:dyDescent="0.25">
      <c r="D2108"/>
      <c r="E2108"/>
      <c r="F2108"/>
      <c r="G2108"/>
      <c r="X2108"/>
    </row>
    <row r="2109" spans="4:24" x14ac:dyDescent="0.25">
      <c r="D2109"/>
      <c r="E2109"/>
      <c r="F2109"/>
      <c r="G2109"/>
      <c r="X2109"/>
    </row>
    <row r="2110" spans="4:24" x14ac:dyDescent="0.25">
      <c r="D2110"/>
      <c r="E2110"/>
      <c r="F2110"/>
      <c r="G2110"/>
      <c r="X2110"/>
    </row>
    <row r="2111" spans="4:24" x14ac:dyDescent="0.25">
      <c r="D2111"/>
      <c r="E2111"/>
      <c r="F2111"/>
      <c r="G2111"/>
      <c r="X2111"/>
    </row>
    <row r="2112" spans="4:24" x14ac:dyDescent="0.25">
      <c r="D2112"/>
      <c r="E2112"/>
      <c r="F2112"/>
      <c r="G2112"/>
      <c r="X2112"/>
    </row>
    <row r="2113" spans="4:24" x14ac:dyDescent="0.25">
      <c r="D2113"/>
      <c r="E2113"/>
      <c r="F2113"/>
      <c r="G2113"/>
      <c r="X2113"/>
    </row>
    <row r="2114" spans="4:24" x14ac:dyDescent="0.25">
      <c r="D2114"/>
      <c r="E2114"/>
      <c r="F2114"/>
      <c r="G2114"/>
      <c r="X2114"/>
    </row>
    <row r="2115" spans="4:24" x14ac:dyDescent="0.25">
      <c r="D2115"/>
      <c r="E2115"/>
      <c r="F2115"/>
      <c r="G2115"/>
      <c r="X2115"/>
    </row>
    <row r="2116" spans="4:24" x14ac:dyDescent="0.25">
      <c r="D2116"/>
      <c r="E2116"/>
      <c r="F2116"/>
      <c r="G2116"/>
      <c r="X2116"/>
    </row>
    <row r="2117" spans="4:24" x14ac:dyDescent="0.25">
      <c r="D2117"/>
      <c r="E2117"/>
      <c r="F2117"/>
      <c r="G2117"/>
      <c r="X2117"/>
    </row>
    <row r="2118" spans="4:24" x14ac:dyDescent="0.25">
      <c r="D2118"/>
      <c r="E2118"/>
      <c r="F2118"/>
      <c r="G2118"/>
      <c r="X2118"/>
    </row>
    <row r="2119" spans="4:24" x14ac:dyDescent="0.25">
      <c r="D2119"/>
      <c r="E2119"/>
      <c r="F2119"/>
      <c r="G2119"/>
      <c r="X2119"/>
    </row>
    <row r="2120" spans="4:24" x14ac:dyDescent="0.25">
      <c r="D2120"/>
      <c r="E2120"/>
      <c r="F2120"/>
      <c r="G2120"/>
      <c r="X2120"/>
    </row>
    <row r="2121" spans="4:24" x14ac:dyDescent="0.25">
      <c r="D2121"/>
      <c r="E2121"/>
      <c r="F2121"/>
      <c r="G2121"/>
      <c r="X2121"/>
    </row>
    <row r="2122" spans="4:24" x14ac:dyDescent="0.25">
      <c r="D2122"/>
      <c r="E2122"/>
      <c r="F2122"/>
      <c r="G2122"/>
      <c r="X2122"/>
    </row>
    <row r="2123" spans="4:24" x14ac:dyDescent="0.25">
      <c r="D2123"/>
      <c r="E2123"/>
      <c r="F2123"/>
      <c r="G2123"/>
      <c r="X2123"/>
    </row>
    <row r="2124" spans="4:24" x14ac:dyDescent="0.25">
      <c r="D2124"/>
      <c r="E2124"/>
      <c r="F2124"/>
      <c r="G2124"/>
      <c r="X2124"/>
    </row>
    <row r="2125" spans="4:24" x14ac:dyDescent="0.25">
      <c r="D2125"/>
      <c r="E2125"/>
      <c r="F2125"/>
      <c r="G2125"/>
      <c r="X2125"/>
    </row>
    <row r="2126" spans="4:24" x14ac:dyDescent="0.25">
      <c r="D2126"/>
      <c r="E2126"/>
      <c r="F2126"/>
      <c r="G2126"/>
      <c r="X2126"/>
    </row>
    <row r="2127" spans="4:24" x14ac:dyDescent="0.25">
      <c r="D2127"/>
      <c r="E2127"/>
      <c r="F2127"/>
      <c r="G2127"/>
      <c r="X2127"/>
    </row>
    <row r="2128" spans="4:24" x14ac:dyDescent="0.25">
      <c r="D2128"/>
      <c r="E2128"/>
      <c r="F2128"/>
      <c r="G2128"/>
      <c r="X2128"/>
    </row>
    <row r="2129" spans="4:24" x14ac:dyDescent="0.25">
      <c r="D2129"/>
      <c r="E2129"/>
      <c r="F2129"/>
      <c r="G2129"/>
      <c r="X2129"/>
    </row>
    <row r="2130" spans="4:24" x14ac:dyDescent="0.25">
      <c r="D2130"/>
      <c r="E2130"/>
      <c r="F2130"/>
      <c r="G2130"/>
      <c r="X2130"/>
    </row>
    <row r="2131" spans="4:24" x14ac:dyDescent="0.25">
      <c r="D2131"/>
      <c r="E2131"/>
      <c r="F2131"/>
      <c r="G2131"/>
      <c r="X2131"/>
    </row>
    <row r="2132" spans="4:24" x14ac:dyDescent="0.25">
      <c r="D2132"/>
      <c r="E2132"/>
      <c r="F2132"/>
      <c r="G2132"/>
      <c r="X2132"/>
    </row>
    <row r="2133" spans="4:24" x14ac:dyDescent="0.25">
      <c r="D2133"/>
      <c r="E2133"/>
      <c r="F2133"/>
      <c r="G2133"/>
      <c r="X2133"/>
    </row>
    <row r="2134" spans="4:24" x14ac:dyDescent="0.25">
      <c r="D2134"/>
      <c r="E2134"/>
      <c r="F2134"/>
      <c r="G2134"/>
      <c r="X2134"/>
    </row>
    <row r="2135" spans="4:24" x14ac:dyDescent="0.25">
      <c r="D2135"/>
      <c r="E2135"/>
      <c r="F2135"/>
      <c r="G2135"/>
      <c r="X2135"/>
    </row>
    <row r="2136" spans="4:24" x14ac:dyDescent="0.25">
      <c r="D2136"/>
      <c r="E2136"/>
      <c r="F2136"/>
      <c r="G2136"/>
      <c r="X2136"/>
    </row>
    <row r="2137" spans="4:24" x14ac:dyDescent="0.25">
      <c r="D2137"/>
      <c r="E2137"/>
      <c r="F2137"/>
      <c r="G2137"/>
      <c r="X2137"/>
    </row>
    <row r="2138" spans="4:24" x14ac:dyDescent="0.25">
      <c r="D2138"/>
      <c r="E2138"/>
      <c r="F2138"/>
      <c r="G2138"/>
      <c r="X2138"/>
    </row>
    <row r="2139" spans="4:24" x14ac:dyDescent="0.25">
      <c r="D2139"/>
      <c r="E2139"/>
      <c r="F2139"/>
      <c r="G2139"/>
      <c r="X2139"/>
    </row>
    <row r="2140" spans="4:24" x14ac:dyDescent="0.25">
      <c r="D2140"/>
      <c r="E2140"/>
      <c r="F2140"/>
      <c r="G2140"/>
      <c r="X2140"/>
    </row>
    <row r="2141" spans="4:24" x14ac:dyDescent="0.25">
      <c r="D2141"/>
      <c r="E2141"/>
      <c r="F2141"/>
      <c r="G2141"/>
      <c r="X2141"/>
    </row>
    <row r="2142" spans="4:24" x14ac:dyDescent="0.25">
      <c r="D2142"/>
      <c r="E2142"/>
      <c r="F2142"/>
      <c r="G2142"/>
      <c r="X2142"/>
    </row>
    <row r="2143" spans="4:24" x14ac:dyDescent="0.25">
      <c r="D2143"/>
      <c r="E2143"/>
      <c r="F2143"/>
      <c r="G2143"/>
      <c r="X2143"/>
    </row>
    <row r="2144" spans="4:24" x14ac:dyDescent="0.25">
      <c r="D2144"/>
      <c r="E2144"/>
      <c r="F2144"/>
      <c r="G2144"/>
      <c r="X2144"/>
    </row>
    <row r="2145" spans="4:24" x14ac:dyDescent="0.25">
      <c r="D2145"/>
      <c r="E2145"/>
      <c r="F2145"/>
      <c r="G2145"/>
      <c r="X2145"/>
    </row>
    <row r="2146" spans="4:24" x14ac:dyDescent="0.25">
      <c r="D2146"/>
      <c r="E2146"/>
      <c r="F2146"/>
      <c r="G2146"/>
      <c r="X2146"/>
    </row>
    <row r="2147" spans="4:24" x14ac:dyDescent="0.25">
      <c r="D2147"/>
      <c r="E2147"/>
      <c r="F2147"/>
      <c r="G2147"/>
      <c r="X2147"/>
    </row>
    <row r="2148" spans="4:24" x14ac:dyDescent="0.25">
      <c r="D2148"/>
      <c r="E2148"/>
      <c r="F2148"/>
      <c r="G2148"/>
      <c r="X2148"/>
    </row>
    <row r="2149" spans="4:24" x14ac:dyDescent="0.25">
      <c r="D2149"/>
      <c r="E2149"/>
      <c r="F2149"/>
      <c r="G2149"/>
      <c r="X2149"/>
    </row>
    <row r="2150" spans="4:24" x14ac:dyDescent="0.25">
      <c r="D2150"/>
      <c r="E2150"/>
      <c r="F2150"/>
      <c r="G2150"/>
      <c r="X2150"/>
    </row>
    <row r="2151" spans="4:24" x14ac:dyDescent="0.25">
      <c r="D2151"/>
      <c r="E2151"/>
      <c r="F2151"/>
      <c r="G2151"/>
      <c r="X2151"/>
    </row>
    <row r="2152" spans="4:24" x14ac:dyDescent="0.25">
      <c r="D2152"/>
      <c r="E2152"/>
      <c r="F2152"/>
      <c r="G2152"/>
      <c r="X2152"/>
    </row>
    <row r="2153" spans="4:24" x14ac:dyDescent="0.25">
      <c r="D2153"/>
      <c r="E2153"/>
      <c r="F2153"/>
      <c r="G2153"/>
      <c r="X2153"/>
    </row>
    <row r="2154" spans="4:24" x14ac:dyDescent="0.25">
      <c r="D2154"/>
      <c r="E2154"/>
      <c r="F2154"/>
      <c r="G2154"/>
      <c r="X2154"/>
    </row>
    <row r="2155" spans="4:24" x14ac:dyDescent="0.25">
      <c r="D2155"/>
      <c r="E2155"/>
      <c r="F2155"/>
      <c r="G2155"/>
      <c r="X2155"/>
    </row>
    <row r="2156" spans="4:24" x14ac:dyDescent="0.25">
      <c r="D2156"/>
      <c r="E2156"/>
      <c r="F2156"/>
      <c r="G2156"/>
      <c r="X2156"/>
    </row>
    <row r="2157" spans="4:24" x14ac:dyDescent="0.25">
      <c r="D2157"/>
      <c r="E2157"/>
      <c r="F2157"/>
      <c r="G2157"/>
      <c r="X2157"/>
    </row>
    <row r="2158" spans="4:24" x14ac:dyDescent="0.25">
      <c r="D2158"/>
      <c r="E2158"/>
      <c r="F2158"/>
      <c r="G2158"/>
      <c r="X2158"/>
    </row>
    <row r="2159" spans="4:24" x14ac:dyDescent="0.25">
      <c r="D2159"/>
      <c r="E2159"/>
      <c r="F2159"/>
      <c r="G2159"/>
      <c r="X2159"/>
    </row>
    <row r="2160" spans="4:24" x14ac:dyDescent="0.25">
      <c r="D2160"/>
      <c r="E2160"/>
      <c r="F2160"/>
      <c r="G2160"/>
      <c r="X2160"/>
    </row>
    <row r="2161" spans="4:24" x14ac:dyDescent="0.25">
      <c r="D2161"/>
      <c r="E2161"/>
      <c r="F2161"/>
      <c r="G2161"/>
      <c r="X2161"/>
    </row>
    <row r="2162" spans="4:24" x14ac:dyDescent="0.25">
      <c r="D2162"/>
      <c r="E2162"/>
      <c r="F2162"/>
      <c r="G2162"/>
      <c r="X2162"/>
    </row>
    <row r="2163" spans="4:24" x14ac:dyDescent="0.25">
      <c r="D2163"/>
      <c r="E2163"/>
      <c r="F2163"/>
      <c r="G2163"/>
      <c r="X2163"/>
    </row>
    <row r="2164" spans="4:24" x14ac:dyDescent="0.25">
      <c r="D2164"/>
      <c r="E2164"/>
      <c r="F2164"/>
      <c r="G2164"/>
      <c r="X2164"/>
    </row>
    <row r="2165" spans="4:24" x14ac:dyDescent="0.25">
      <c r="D2165"/>
      <c r="E2165"/>
      <c r="F2165"/>
      <c r="G2165"/>
      <c r="X2165"/>
    </row>
    <row r="2166" spans="4:24" x14ac:dyDescent="0.25">
      <c r="D2166"/>
      <c r="E2166"/>
      <c r="F2166"/>
      <c r="G2166"/>
      <c r="X2166"/>
    </row>
    <row r="2167" spans="4:24" x14ac:dyDescent="0.25">
      <c r="D2167"/>
      <c r="E2167"/>
      <c r="F2167"/>
      <c r="G2167"/>
      <c r="X2167"/>
    </row>
    <row r="2168" spans="4:24" x14ac:dyDescent="0.25">
      <c r="D2168"/>
      <c r="E2168"/>
      <c r="F2168"/>
      <c r="G2168"/>
      <c r="X2168"/>
    </row>
    <row r="2169" spans="4:24" x14ac:dyDescent="0.25">
      <c r="D2169"/>
      <c r="E2169"/>
      <c r="F2169"/>
      <c r="G2169"/>
      <c r="X2169"/>
    </row>
    <row r="2170" spans="4:24" x14ac:dyDescent="0.25">
      <c r="D2170"/>
      <c r="E2170"/>
      <c r="F2170"/>
      <c r="G2170"/>
      <c r="X2170"/>
    </row>
    <row r="2171" spans="4:24" x14ac:dyDescent="0.25">
      <c r="D2171"/>
      <c r="E2171"/>
      <c r="F2171"/>
      <c r="G2171"/>
      <c r="X2171"/>
    </row>
    <row r="2172" spans="4:24" x14ac:dyDescent="0.25">
      <c r="D2172"/>
      <c r="E2172"/>
      <c r="F2172"/>
      <c r="G2172"/>
      <c r="X2172"/>
    </row>
    <row r="2173" spans="4:24" x14ac:dyDescent="0.25">
      <c r="D2173"/>
      <c r="E2173"/>
      <c r="F2173"/>
      <c r="G2173"/>
      <c r="X2173"/>
    </row>
    <row r="2174" spans="4:24" x14ac:dyDescent="0.25">
      <c r="D2174"/>
      <c r="E2174"/>
      <c r="F2174"/>
      <c r="G2174"/>
      <c r="X2174"/>
    </row>
    <row r="2175" spans="4:24" x14ac:dyDescent="0.25">
      <c r="D2175"/>
      <c r="E2175"/>
      <c r="F2175"/>
      <c r="G2175"/>
      <c r="X2175"/>
    </row>
    <row r="2176" spans="4:24" x14ac:dyDescent="0.25">
      <c r="D2176"/>
      <c r="E2176"/>
      <c r="F2176"/>
      <c r="G2176"/>
      <c r="X2176"/>
    </row>
    <row r="2177" spans="4:24" x14ac:dyDescent="0.25">
      <c r="D2177"/>
      <c r="E2177"/>
      <c r="F2177"/>
      <c r="G2177"/>
      <c r="X2177"/>
    </row>
    <row r="2178" spans="4:24" x14ac:dyDescent="0.25">
      <c r="D2178"/>
      <c r="E2178"/>
      <c r="F2178"/>
      <c r="G2178"/>
      <c r="X2178"/>
    </row>
    <row r="2179" spans="4:24" x14ac:dyDescent="0.25">
      <c r="D2179"/>
      <c r="E2179"/>
      <c r="F2179"/>
      <c r="G2179"/>
      <c r="X2179"/>
    </row>
    <row r="2180" spans="4:24" x14ac:dyDescent="0.25">
      <c r="D2180"/>
      <c r="E2180"/>
      <c r="F2180"/>
      <c r="G2180"/>
      <c r="X2180"/>
    </row>
    <row r="2181" spans="4:24" x14ac:dyDescent="0.25">
      <c r="D2181"/>
      <c r="E2181"/>
      <c r="F2181"/>
      <c r="G2181"/>
      <c r="X2181"/>
    </row>
    <row r="2182" spans="4:24" x14ac:dyDescent="0.25">
      <c r="D2182"/>
      <c r="E2182"/>
      <c r="F2182"/>
      <c r="G2182"/>
      <c r="X2182"/>
    </row>
    <row r="2183" spans="4:24" x14ac:dyDescent="0.25">
      <c r="D2183"/>
      <c r="E2183"/>
      <c r="F2183"/>
      <c r="G2183"/>
      <c r="X2183"/>
    </row>
    <row r="2184" spans="4:24" x14ac:dyDescent="0.25">
      <c r="D2184"/>
      <c r="E2184"/>
      <c r="F2184"/>
      <c r="G2184"/>
      <c r="X2184"/>
    </row>
    <row r="2185" spans="4:24" x14ac:dyDescent="0.25">
      <c r="D2185"/>
      <c r="E2185"/>
      <c r="F2185"/>
      <c r="G2185"/>
      <c r="X2185"/>
    </row>
    <row r="2186" spans="4:24" x14ac:dyDescent="0.25">
      <c r="D2186"/>
      <c r="E2186"/>
      <c r="F2186"/>
      <c r="G2186"/>
      <c r="X2186"/>
    </row>
    <row r="2187" spans="4:24" x14ac:dyDescent="0.25">
      <c r="D2187"/>
      <c r="E2187"/>
      <c r="F2187"/>
      <c r="G2187"/>
      <c r="X2187"/>
    </row>
    <row r="2188" spans="4:24" x14ac:dyDescent="0.25">
      <c r="D2188"/>
      <c r="E2188"/>
      <c r="F2188"/>
      <c r="G2188"/>
      <c r="X2188"/>
    </row>
    <row r="2189" spans="4:24" x14ac:dyDescent="0.25">
      <c r="D2189"/>
      <c r="E2189"/>
      <c r="F2189"/>
      <c r="G2189"/>
      <c r="X2189"/>
    </row>
    <row r="2190" spans="4:24" x14ac:dyDescent="0.25">
      <c r="D2190"/>
      <c r="E2190"/>
      <c r="F2190"/>
      <c r="G2190"/>
      <c r="X2190"/>
    </row>
    <row r="2191" spans="4:24" x14ac:dyDescent="0.25">
      <c r="D2191"/>
      <c r="E2191"/>
      <c r="F2191"/>
      <c r="G2191"/>
      <c r="X2191"/>
    </row>
    <row r="2192" spans="4:24" x14ac:dyDescent="0.25">
      <c r="D2192"/>
      <c r="E2192"/>
      <c r="F2192"/>
      <c r="G2192"/>
      <c r="X2192"/>
    </row>
    <row r="2193" spans="4:24" x14ac:dyDescent="0.25">
      <c r="D2193"/>
      <c r="E2193"/>
      <c r="F2193"/>
      <c r="G2193"/>
      <c r="X2193"/>
    </row>
    <row r="2194" spans="4:24" x14ac:dyDescent="0.25">
      <c r="D2194"/>
      <c r="E2194"/>
      <c r="F2194"/>
      <c r="G2194"/>
      <c r="X2194"/>
    </row>
    <row r="2195" spans="4:24" x14ac:dyDescent="0.25">
      <c r="D2195"/>
      <c r="E2195"/>
      <c r="F2195"/>
      <c r="G2195"/>
      <c r="X2195"/>
    </row>
    <row r="2196" spans="4:24" x14ac:dyDescent="0.25">
      <c r="D2196"/>
      <c r="E2196"/>
      <c r="F2196"/>
      <c r="G2196"/>
      <c r="X2196"/>
    </row>
    <row r="2197" spans="4:24" x14ac:dyDescent="0.25">
      <c r="D2197"/>
      <c r="E2197"/>
      <c r="F2197"/>
      <c r="G2197"/>
      <c r="X2197"/>
    </row>
    <row r="2198" spans="4:24" x14ac:dyDescent="0.25">
      <c r="D2198"/>
      <c r="E2198"/>
      <c r="F2198"/>
      <c r="G2198"/>
      <c r="X2198"/>
    </row>
    <row r="2199" spans="4:24" x14ac:dyDescent="0.25">
      <c r="D2199"/>
      <c r="E2199"/>
      <c r="F2199"/>
      <c r="G2199"/>
      <c r="X2199"/>
    </row>
    <row r="2200" spans="4:24" x14ac:dyDescent="0.25">
      <c r="D2200"/>
      <c r="E2200"/>
      <c r="F2200"/>
      <c r="G2200"/>
      <c r="X2200"/>
    </row>
    <row r="2201" spans="4:24" x14ac:dyDescent="0.25">
      <c r="D2201"/>
      <c r="E2201"/>
      <c r="F2201"/>
      <c r="G2201"/>
      <c r="X2201"/>
    </row>
    <row r="2202" spans="4:24" x14ac:dyDescent="0.25">
      <c r="D2202"/>
      <c r="E2202"/>
      <c r="F2202"/>
      <c r="G2202"/>
      <c r="X2202"/>
    </row>
    <row r="2203" spans="4:24" x14ac:dyDescent="0.25">
      <c r="D2203"/>
      <c r="E2203"/>
      <c r="F2203"/>
      <c r="G2203"/>
      <c r="X2203"/>
    </row>
    <row r="2204" spans="4:24" x14ac:dyDescent="0.25">
      <c r="D2204"/>
      <c r="E2204"/>
      <c r="F2204"/>
      <c r="G2204"/>
      <c r="X2204"/>
    </row>
    <row r="2205" spans="4:24" x14ac:dyDescent="0.25">
      <c r="D2205"/>
      <c r="E2205"/>
      <c r="F2205"/>
      <c r="G2205"/>
      <c r="X2205"/>
    </row>
    <row r="2206" spans="4:24" x14ac:dyDescent="0.25">
      <c r="D2206"/>
      <c r="E2206"/>
      <c r="F2206"/>
      <c r="G2206"/>
      <c r="X2206"/>
    </row>
    <row r="2207" spans="4:24" x14ac:dyDescent="0.25">
      <c r="D2207"/>
      <c r="E2207"/>
      <c r="F2207"/>
      <c r="G2207"/>
      <c r="X2207"/>
    </row>
    <row r="2208" spans="4:24" x14ac:dyDescent="0.25">
      <c r="D2208"/>
      <c r="E2208"/>
      <c r="F2208"/>
      <c r="G2208"/>
      <c r="X2208"/>
    </row>
    <row r="2209" spans="4:24" x14ac:dyDescent="0.25">
      <c r="D2209"/>
      <c r="E2209"/>
      <c r="F2209"/>
      <c r="G2209"/>
      <c r="X2209"/>
    </row>
    <row r="2210" spans="4:24" x14ac:dyDescent="0.25">
      <c r="D2210"/>
      <c r="E2210"/>
      <c r="F2210"/>
      <c r="G2210"/>
      <c r="X2210"/>
    </row>
    <row r="2211" spans="4:24" x14ac:dyDescent="0.25">
      <c r="D2211"/>
      <c r="E2211"/>
      <c r="F2211"/>
      <c r="G2211"/>
      <c r="X2211"/>
    </row>
    <row r="2212" spans="4:24" x14ac:dyDescent="0.25">
      <c r="D2212"/>
      <c r="E2212"/>
      <c r="F2212"/>
      <c r="G2212"/>
      <c r="X2212"/>
    </row>
    <row r="2213" spans="4:24" x14ac:dyDescent="0.25">
      <c r="D2213"/>
      <c r="E2213"/>
      <c r="F2213"/>
      <c r="G2213"/>
      <c r="X2213"/>
    </row>
    <row r="2214" spans="4:24" x14ac:dyDescent="0.25">
      <c r="D2214"/>
      <c r="E2214"/>
      <c r="F2214"/>
      <c r="G2214"/>
      <c r="X2214"/>
    </row>
    <row r="2215" spans="4:24" x14ac:dyDescent="0.25">
      <c r="D2215"/>
      <c r="E2215"/>
      <c r="F2215"/>
      <c r="G2215"/>
      <c r="X2215"/>
    </row>
    <row r="2216" spans="4:24" x14ac:dyDescent="0.25">
      <c r="D2216"/>
      <c r="E2216"/>
      <c r="F2216"/>
      <c r="G2216"/>
      <c r="X2216"/>
    </row>
    <row r="2217" spans="4:24" x14ac:dyDescent="0.25">
      <c r="D2217"/>
      <c r="E2217"/>
      <c r="F2217"/>
      <c r="G2217"/>
      <c r="X2217"/>
    </row>
    <row r="2218" spans="4:24" x14ac:dyDescent="0.25">
      <c r="D2218"/>
      <c r="E2218"/>
      <c r="F2218"/>
      <c r="G2218"/>
      <c r="X2218"/>
    </row>
    <row r="2219" spans="4:24" x14ac:dyDescent="0.25">
      <c r="D2219"/>
      <c r="E2219"/>
      <c r="F2219"/>
      <c r="G2219"/>
      <c r="X2219"/>
    </row>
    <row r="2220" spans="4:24" x14ac:dyDescent="0.25">
      <c r="D2220"/>
      <c r="E2220"/>
      <c r="F2220"/>
      <c r="G2220"/>
      <c r="X2220"/>
    </row>
    <row r="2221" spans="4:24" x14ac:dyDescent="0.25">
      <c r="D2221"/>
      <c r="E2221"/>
      <c r="F2221"/>
      <c r="G2221"/>
      <c r="X2221"/>
    </row>
    <row r="2222" spans="4:24" x14ac:dyDescent="0.25">
      <c r="D2222"/>
      <c r="E2222"/>
      <c r="F2222"/>
      <c r="G2222"/>
      <c r="X2222"/>
    </row>
    <row r="2223" spans="4:24" x14ac:dyDescent="0.25">
      <c r="D2223"/>
      <c r="E2223"/>
      <c r="F2223"/>
      <c r="G2223"/>
      <c r="X2223"/>
    </row>
    <row r="2224" spans="4:24" x14ac:dyDescent="0.25">
      <c r="D2224"/>
      <c r="E2224"/>
      <c r="F2224"/>
      <c r="G2224"/>
      <c r="X2224"/>
    </row>
    <row r="2225" spans="4:24" x14ac:dyDescent="0.25">
      <c r="D2225"/>
      <c r="E2225"/>
      <c r="F2225"/>
      <c r="G2225"/>
      <c r="X2225"/>
    </row>
    <row r="2226" spans="4:24" x14ac:dyDescent="0.25">
      <c r="D2226"/>
      <c r="E2226"/>
      <c r="F2226"/>
      <c r="G2226"/>
      <c r="X2226"/>
    </row>
    <row r="2227" spans="4:24" x14ac:dyDescent="0.25">
      <c r="D2227"/>
      <c r="E2227"/>
      <c r="F2227"/>
      <c r="G2227"/>
      <c r="X2227"/>
    </row>
    <row r="2228" spans="4:24" x14ac:dyDescent="0.25">
      <c r="D2228"/>
      <c r="E2228"/>
      <c r="F2228"/>
      <c r="G2228"/>
      <c r="X2228"/>
    </row>
    <row r="2229" spans="4:24" x14ac:dyDescent="0.25">
      <c r="D2229"/>
      <c r="E2229"/>
      <c r="F2229"/>
      <c r="G2229"/>
      <c r="X2229"/>
    </row>
    <row r="2230" spans="4:24" x14ac:dyDescent="0.25">
      <c r="D2230"/>
      <c r="E2230"/>
      <c r="F2230"/>
      <c r="G2230"/>
      <c r="X2230"/>
    </row>
    <row r="2231" spans="4:24" x14ac:dyDescent="0.25">
      <c r="D2231"/>
      <c r="E2231"/>
      <c r="F2231"/>
      <c r="G2231"/>
      <c r="X2231"/>
    </row>
    <row r="2232" spans="4:24" x14ac:dyDescent="0.25">
      <c r="D2232"/>
      <c r="E2232"/>
      <c r="F2232"/>
      <c r="G2232"/>
      <c r="X2232"/>
    </row>
    <row r="2233" spans="4:24" x14ac:dyDescent="0.25">
      <c r="D2233"/>
      <c r="E2233"/>
      <c r="F2233"/>
      <c r="G2233"/>
      <c r="X2233"/>
    </row>
    <row r="2234" spans="4:24" x14ac:dyDescent="0.25">
      <c r="D2234"/>
      <c r="E2234"/>
      <c r="F2234"/>
      <c r="G2234"/>
      <c r="X2234"/>
    </row>
    <row r="2235" spans="4:24" x14ac:dyDescent="0.25">
      <c r="D2235"/>
      <c r="E2235"/>
      <c r="F2235"/>
      <c r="G2235"/>
      <c r="X2235"/>
    </row>
    <row r="2236" spans="4:24" x14ac:dyDescent="0.25">
      <c r="D2236"/>
      <c r="E2236"/>
      <c r="F2236"/>
      <c r="G2236"/>
      <c r="X2236"/>
    </row>
    <row r="2237" spans="4:24" x14ac:dyDescent="0.25">
      <c r="D2237"/>
      <c r="E2237"/>
      <c r="F2237"/>
      <c r="G2237"/>
      <c r="X2237"/>
    </row>
    <row r="2238" spans="4:24" x14ac:dyDescent="0.25">
      <c r="D2238"/>
      <c r="E2238"/>
      <c r="F2238"/>
      <c r="G2238"/>
      <c r="X2238"/>
    </row>
    <row r="2239" spans="4:24" x14ac:dyDescent="0.25">
      <c r="D2239"/>
      <c r="E2239"/>
      <c r="F2239"/>
      <c r="G2239"/>
      <c r="X2239"/>
    </row>
    <row r="2240" spans="4:24" x14ac:dyDescent="0.25">
      <c r="D2240"/>
      <c r="E2240"/>
      <c r="F2240"/>
      <c r="G2240"/>
      <c r="X2240"/>
    </row>
    <row r="2241" spans="4:24" x14ac:dyDescent="0.25">
      <c r="D2241"/>
      <c r="E2241"/>
      <c r="F2241"/>
      <c r="G2241"/>
      <c r="X2241"/>
    </row>
    <row r="2242" spans="4:24" x14ac:dyDescent="0.25">
      <c r="D2242"/>
      <c r="E2242"/>
      <c r="F2242"/>
      <c r="G2242"/>
      <c r="X2242"/>
    </row>
    <row r="2243" spans="4:24" x14ac:dyDescent="0.25">
      <c r="D2243"/>
      <c r="E2243"/>
      <c r="F2243"/>
      <c r="G2243"/>
      <c r="X2243"/>
    </row>
    <row r="2244" spans="4:24" x14ac:dyDescent="0.25">
      <c r="D2244"/>
      <c r="E2244"/>
      <c r="F2244"/>
      <c r="G2244"/>
      <c r="X2244"/>
    </row>
    <row r="2245" spans="4:24" x14ac:dyDescent="0.25">
      <c r="D2245"/>
      <c r="E2245"/>
      <c r="F2245"/>
      <c r="G2245"/>
      <c r="X2245"/>
    </row>
    <row r="2246" spans="4:24" x14ac:dyDescent="0.25">
      <c r="D2246"/>
      <c r="E2246"/>
      <c r="F2246"/>
      <c r="G2246"/>
      <c r="X2246"/>
    </row>
    <row r="2247" spans="4:24" x14ac:dyDescent="0.25">
      <c r="D2247"/>
      <c r="E2247"/>
      <c r="F2247"/>
      <c r="G2247"/>
      <c r="X2247"/>
    </row>
    <row r="2248" spans="4:24" x14ac:dyDescent="0.25">
      <c r="D2248"/>
      <c r="E2248"/>
      <c r="F2248"/>
      <c r="G2248"/>
      <c r="X2248"/>
    </row>
    <row r="2249" spans="4:24" x14ac:dyDescent="0.25">
      <c r="D2249"/>
      <c r="E2249"/>
      <c r="F2249"/>
      <c r="G2249"/>
      <c r="X2249"/>
    </row>
    <row r="2250" spans="4:24" x14ac:dyDescent="0.25">
      <c r="D2250"/>
      <c r="E2250"/>
      <c r="F2250"/>
      <c r="G2250"/>
      <c r="X2250"/>
    </row>
    <row r="2251" spans="4:24" x14ac:dyDescent="0.25">
      <c r="D2251"/>
      <c r="E2251"/>
      <c r="F2251"/>
      <c r="G2251"/>
      <c r="X2251"/>
    </row>
    <row r="2252" spans="4:24" x14ac:dyDescent="0.25">
      <c r="D2252"/>
      <c r="E2252"/>
      <c r="F2252"/>
      <c r="G2252"/>
      <c r="X2252"/>
    </row>
    <row r="2253" spans="4:24" x14ac:dyDescent="0.25">
      <c r="D2253"/>
      <c r="E2253"/>
      <c r="F2253"/>
      <c r="G2253"/>
      <c r="X2253"/>
    </row>
    <row r="2254" spans="4:24" x14ac:dyDescent="0.25">
      <c r="D2254"/>
      <c r="E2254"/>
      <c r="F2254"/>
      <c r="G2254"/>
      <c r="X2254"/>
    </row>
    <row r="2255" spans="4:24" x14ac:dyDescent="0.25">
      <c r="D2255"/>
      <c r="E2255"/>
      <c r="F2255"/>
      <c r="G2255"/>
      <c r="X2255"/>
    </row>
    <row r="2256" spans="4:24" x14ac:dyDescent="0.25">
      <c r="D2256"/>
      <c r="E2256"/>
      <c r="F2256"/>
      <c r="G2256"/>
      <c r="X2256"/>
    </row>
    <row r="2257" spans="4:24" x14ac:dyDescent="0.25">
      <c r="D2257"/>
      <c r="E2257"/>
      <c r="F2257"/>
      <c r="G2257"/>
      <c r="X2257"/>
    </row>
    <row r="2258" spans="4:24" x14ac:dyDescent="0.25">
      <c r="D2258"/>
      <c r="E2258"/>
      <c r="F2258"/>
      <c r="G2258"/>
      <c r="X2258"/>
    </row>
    <row r="2259" spans="4:24" x14ac:dyDescent="0.25">
      <c r="D2259"/>
      <c r="E2259"/>
      <c r="F2259"/>
      <c r="G2259"/>
      <c r="X2259"/>
    </row>
    <row r="2260" spans="4:24" x14ac:dyDescent="0.25">
      <c r="D2260"/>
      <c r="E2260"/>
      <c r="F2260"/>
      <c r="G2260"/>
      <c r="X2260"/>
    </row>
    <row r="2261" spans="4:24" x14ac:dyDescent="0.25">
      <c r="D2261"/>
      <c r="E2261"/>
      <c r="F2261"/>
      <c r="G2261"/>
      <c r="X2261"/>
    </row>
    <row r="2262" spans="4:24" x14ac:dyDescent="0.25">
      <c r="D2262"/>
      <c r="E2262"/>
      <c r="F2262"/>
      <c r="G2262"/>
      <c r="X2262"/>
    </row>
    <row r="2263" spans="4:24" x14ac:dyDescent="0.25">
      <c r="D2263"/>
      <c r="E2263"/>
      <c r="F2263"/>
      <c r="G2263"/>
      <c r="X2263"/>
    </row>
    <row r="2264" spans="4:24" x14ac:dyDescent="0.25">
      <c r="D2264"/>
      <c r="E2264"/>
      <c r="F2264"/>
      <c r="G2264"/>
      <c r="X2264"/>
    </row>
    <row r="2265" spans="4:24" x14ac:dyDescent="0.25">
      <c r="D2265"/>
      <c r="E2265"/>
      <c r="F2265"/>
      <c r="G2265"/>
      <c r="X2265"/>
    </row>
    <row r="2266" spans="4:24" x14ac:dyDescent="0.25">
      <c r="D2266"/>
      <c r="E2266"/>
      <c r="F2266"/>
      <c r="G2266"/>
      <c r="X2266"/>
    </row>
    <row r="2267" spans="4:24" x14ac:dyDescent="0.25">
      <c r="D2267"/>
      <c r="E2267"/>
      <c r="F2267"/>
      <c r="G2267"/>
      <c r="X2267"/>
    </row>
    <row r="2268" spans="4:24" x14ac:dyDescent="0.25">
      <c r="D2268"/>
      <c r="E2268"/>
      <c r="F2268"/>
      <c r="G2268"/>
      <c r="X2268"/>
    </row>
    <row r="2269" spans="4:24" x14ac:dyDescent="0.25">
      <c r="D2269"/>
      <c r="E2269"/>
      <c r="F2269"/>
      <c r="G2269"/>
      <c r="X2269"/>
    </row>
    <row r="2270" spans="4:24" x14ac:dyDescent="0.25">
      <c r="D2270"/>
      <c r="E2270"/>
      <c r="F2270"/>
      <c r="G2270"/>
      <c r="X2270"/>
    </row>
    <row r="2271" spans="4:24" x14ac:dyDescent="0.25">
      <c r="D2271"/>
      <c r="E2271"/>
      <c r="F2271"/>
      <c r="G2271"/>
      <c r="X2271"/>
    </row>
    <row r="2272" spans="4:24" x14ac:dyDescent="0.25">
      <c r="D2272"/>
      <c r="E2272"/>
      <c r="F2272"/>
      <c r="G2272"/>
      <c r="X2272"/>
    </row>
    <row r="2273" spans="4:24" x14ac:dyDescent="0.25">
      <c r="D2273"/>
      <c r="E2273"/>
      <c r="F2273"/>
      <c r="G2273"/>
      <c r="X2273"/>
    </row>
    <row r="2274" spans="4:24" x14ac:dyDescent="0.25">
      <c r="D2274"/>
      <c r="E2274"/>
      <c r="F2274"/>
      <c r="G2274"/>
      <c r="X2274"/>
    </row>
    <row r="2275" spans="4:24" x14ac:dyDescent="0.25">
      <c r="D2275"/>
      <c r="E2275"/>
      <c r="F2275"/>
      <c r="G2275"/>
      <c r="X2275"/>
    </row>
    <row r="2276" spans="4:24" x14ac:dyDescent="0.25">
      <c r="D2276"/>
      <c r="E2276"/>
      <c r="F2276"/>
      <c r="G2276"/>
      <c r="X2276"/>
    </row>
    <row r="2277" spans="4:24" x14ac:dyDescent="0.25">
      <c r="D2277"/>
      <c r="E2277"/>
      <c r="F2277"/>
      <c r="G2277"/>
      <c r="X2277"/>
    </row>
    <row r="2278" spans="4:24" x14ac:dyDescent="0.25">
      <c r="D2278"/>
      <c r="E2278"/>
      <c r="F2278"/>
      <c r="G2278"/>
      <c r="X2278"/>
    </row>
    <row r="2279" spans="4:24" x14ac:dyDescent="0.25">
      <c r="D2279"/>
      <c r="E2279"/>
      <c r="F2279"/>
      <c r="G2279"/>
      <c r="X2279"/>
    </row>
    <row r="2280" spans="4:24" x14ac:dyDescent="0.25">
      <c r="D2280"/>
      <c r="E2280"/>
      <c r="F2280"/>
      <c r="G2280"/>
      <c r="X2280"/>
    </row>
    <row r="2281" spans="4:24" x14ac:dyDescent="0.25">
      <c r="D2281"/>
      <c r="E2281"/>
      <c r="F2281"/>
      <c r="G2281"/>
      <c r="X2281"/>
    </row>
    <row r="2282" spans="4:24" x14ac:dyDescent="0.25">
      <c r="D2282"/>
      <c r="E2282"/>
      <c r="F2282"/>
      <c r="G2282"/>
      <c r="X2282"/>
    </row>
    <row r="2283" spans="4:24" x14ac:dyDescent="0.25">
      <c r="D2283"/>
      <c r="E2283"/>
      <c r="F2283"/>
      <c r="G2283"/>
      <c r="X2283"/>
    </row>
    <row r="2284" spans="4:24" x14ac:dyDescent="0.25">
      <c r="D2284"/>
      <c r="E2284"/>
      <c r="F2284"/>
      <c r="G2284"/>
      <c r="X2284"/>
    </row>
    <row r="2285" spans="4:24" x14ac:dyDescent="0.25">
      <c r="D2285"/>
      <c r="E2285"/>
      <c r="F2285"/>
      <c r="G2285"/>
      <c r="X2285"/>
    </row>
    <row r="2286" spans="4:24" x14ac:dyDescent="0.25">
      <c r="D2286"/>
      <c r="E2286"/>
      <c r="F2286"/>
      <c r="G2286"/>
      <c r="X2286"/>
    </row>
    <row r="2287" spans="4:24" x14ac:dyDescent="0.25">
      <c r="D2287"/>
      <c r="E2287"/>
      <c r="F2287"/>
      <c r="G2287"/>
      <c r="X2287"/>
    </row>
    <row r="2288" spans="4:24" x14ac:dyDescent="0.25">
      <c r="D2288"/>
      <c r="E2288"/>
      <c r="F2288"/>
      <c r="G2288"/>
      <c r="X2288"/>
    </row>
    <row r="2289" spans="4:24" x14ac:dyDescent="0.25">
      <c r="D2289"/>
      <c r="E2289"/>
      <c r="F2289"/>
      <c r="G2289"/>
      <c r="X2289"/>
    </row>
    <row r="2290" spans="4:24" x14ac:dyDescent="0.25">
      <c r="D2290"/>
      <c r="E2290"/>
      <c r="F2290"/>
      <c r="G2290"/>
      <c r="X2290"/>
    </row>
    <row r="2291" spans="4:24" x14ac:dyDescent="0.25">
      <c r="D2291"/>
      <c r="E2291"/>
      <c r="F2291"/>
      <c r="G2291"/>
      <c r="X2291"/>
    </row>
    <row r="2292" spans="4:24" x14ac:dyDescent="0.25">
      <c r="D2292"/>
      <c r="E2292"/>
      <c r="F2292"/>
      <c r="G2292"/>
      <c r="X2292"/>
    </row>
    <row r="2293" spans="4:24" x14ac:dyDescent="0.25">
      <c r="D2293"/>
      <c r="E2293"/>
      <c r="F2293"/>
      <c r="G2293"/>
      <c r="X2293"/>
    </row>
    <row r="2294" spans="4:24" x14ac:dyDescent="0.25">
      <c r="D2294"/>
      <c r="E2294"/>
      <c r="F2294"/>
      <c r="G2294"/>
      <c r="X2294"/>
    </row>
    <row r="2295" spans="4:24" x14ac:dyDescent="0.25">
      <c r="D2295"/>
      <c r="E2295"/>
      <c r="F2295"/>
      <c r="G2295"/>
      <c r="X2295"/>
    </row>
    <row r="2296" spans="4:24" x14ac:dyDescent="0.25">
      <c r="D2296"/>
      <c r="E2296"/>
      <c r="F2296"/>
      <c r="G2296"/>
      <c r="X2296"/>
    </row>
    <row r="2297" spans="4:24" x14ac:dyDescent="0.25">
      <c r="D2297"/>
      <c r="E2297"/>
      <c r="F2297"/>
      <c r="G2297"/>
      <c r="X2297"/>
    </row>
    <row r="2298" spans="4:24" x14ac:dyDescent="0.25">
      <c r="D2298"/>
      <c r="E2298"/>
      <c r="F2298"/>
      <c r="G2298"/>
      <c r="X2298"/>
    </row>
    <row r="2299" spans="4:24" x14ac:dyDescent="0.25">
      <c r="D2299"/>
      <c r="E2299"/>
      <c r="F2299"/>
      <c r="G2299"/>
      <c r="X2299"/>
    </row>
    <row r="2300" spans="4:24" x14ac:dyDescent="0.25">
      <c r="D2300"/>
      <c r="E2300"/>
      <c r="F2300"/>
      <c r="G2300"/>
      <c r="X2300"/>
    </row>
    <row r="2301" spans="4:24" x14ac:dyDescent="0.25">
      <c r="D2301"/>
      <c r="E2301"/>
      <c r="F2301"/>
      <c r="G2301"/>
      <c r="X2301"/>
    </row>
    <row r="2302" spans="4:24" x14ac:dyDescent="0.25">
      <c r="D2302"/>
      <c r="E2302"/>
      <c r="F2302"/>
      <c r="G2302"/>
      <c r="X2302"/>
    </row>
    <row r="2303" spans="4:24" x14ac:dyDescent="0.25">
      <c r="D2303"/>
      <c r="E2303"/>
      <c r="F2303"/>
      <c r="G2303"/>
      <c r="X2303"/>
    </row>
    <row r="2304" spans="4:24" x14ac:dyDescent="0.25">
      <c r="D2304"/>
      <c r="E2304"/>
      <c r="F2304"/>
      <c r="G2304"/>
      <c r="X2304"/>
    </row>
    <row r="2305" spans="4:24" x14ac:dyDescent="0.25">
      <c r="D2305"/>
      <c r="E2305"/>
      <c r="F2305"/>
      <c r="G2305"/>
      <c r="X2305"/>
    </row>
    <row r="2306" spans="4:24" x14ac:dyDescent="0.25">
      <c r="D2306"/>
      <c r="E2306"/>
      <c r="F2306"/>
      <c r="G2306"/>
      <c r="X2306"/>
    </row>
    <row r="2307" spans="4:24" x14ac:dyDescent="0.25">
      <c r="D2307"/>
      <c r="E2307"/>
      <c r="F2307"/>
      <c r="G2307"/>
      <c r="X2307"/>
    </row>
    <row r="2308" spans="4:24" x14ac:dyDescent="0.25">
      <c r="D2308"/>
      <c r="E2308"/>
      <c r="F2308"/>
      <c r="G2308"/>
      <c r="X2308"/>
    </row>
    <row r="2309" spans="4:24" x14ac:dyDescent="0.25">
      <c r="D2309"/>
      <c r="E2309"/>
      <c r="F2309"/>
      <c r="G2309"/>
      <c r="X2309"/>
    </row>
    <row r="2310" spans="4:24" x14ac:dyDescent="0.25">
      <c r="D2310"/>
      <c r="E2310"/>
      <c r="F2310"/>
      <c r="G2310"/>
      <c r="X2310"/>
    </row>
    <row r="2311" spans="4:24" x14ac:dyDescent="0.25">
      <c r="D2311"/>
      <c r="E2311"/>
      <c r="F2311"/>
      <c r="G2311"/>
      <c r="X2311"/>
    </row>
    <row r="2312" spans="4:24" x14ac:dyDescent="0.25">
      <c r="D2312"/>
      <c r="E2312"/>
      <c r="F2312"/>
      <c r="G2312"/>
      <c r="X2312"/>
    </row>
    <row r="2313" spans="4:24" x14ac:dyDescent="0.25">
      <c r="D2313"/>
      <c r="E2313"/>
      <c r="F2313"/>
      <c r="G2313"/>
      <c r="X2313"/>
    </row>
    <row r="2314" spans="4:24" x14ac:dyDescent="0.25">
      <c r="D2314"/>
      <c r="E2314"/>
      <c r="F2314"/>
      <c r="G2314"/>
      <c r="X2314"/>
    </row>
    <row r="2315" spans="4:24" x14ac:dyDescent="0.25">
      <c r="D2315"/>
      <c r="E2315"/>
      <c r="F2315"/>
      <c r="G2315"/>
      <c r="X2315"/>
    </row>
    <row r="2316" spans="4:24" x14ac:dyDescent="0.25">
      <c r="D2316"/>
      <c r="E2316"/>
      <c r="F2316"/>
      <c r="G2316"/>
      <c r="X2316"/>
    </row>
    <row r="2317" spans="4:24" x14ac:dyDescent="0.25">
      <c r="D2317"/>
      <c r="E2317"/>
      <c r="F2317"/>
      <c r="G2317"/>
      <c r="X2317"/>
    </row>
    <row r="2318" spans="4:24" x14ac:dyDescent="0.25">
      <c r="D2318"/>
      <c r="E2318"/>
      <c r="F2318"/>
      <c r="G2318"/>
      <c r="X2318"/>
    </row>
    <row r="2319" spans="4:24" x14ac:dyDescent="0.25">
      <c r="D2319"/>
      <c r="E2319"/>
      <c r="F2319"/>
      <c r="G2319"/>
      <c r="X2319"/>
    </row>
    <row r="2320" spans="4:24" x14ac:dyDescent="0.25">
      <c r="D2320"/>
      <c r="E2320"/>
      <c r="F2320"/>
      <c r="G2320"/>
      <c r="X2320"/>
    </row>
    <row r="2321" spans="4:24" x14ac:dyDescent="0.25">
      <c r="D2321"/>
      <c r="E2321"/>
      <c r="F2321"/>
      <c r="G2321"/>
      <c r="X2321"/>
    </row>
    <row r="2322" spans="4:24" x14ac:dyDescent="0.25">
      <c r="D2322"/>
      <c r="E2322"/>
      <c r="F2322"/>
      <c r="G2322"/>
      <c r="X2322"/>
    </row>
    <row r="2323" spans="4:24" x14ac:dyDescent="0.25">
      <c r="D2323"/>
      <c r="E2323"/>
      <c r="F2323"/>
      <c r="G2323"/>
      <c r="X2323"/>
    </row>
    <row r="2324" spans="4:24" x14ac:dyDescent="0.25">
      <c r="D2324"/>
      <c r="E2324"/>
      <c r="F2324"/>
      <c r="G2324"/>
      <c r="X2324"/>
    </row>
    <row r="2325" spans="4:24" x14ac:dyDescent="0.25">
      <c r="D2325"/>
      <c r="E2325"/>
      <c r="F2325"/>
      <c r="G2325"/>
      <c r="X2325"/>
    </row>
    <row r="2326" spans="4:24" x14ac:dyDescent="0.25">
      <c r="D2326"/>
      <c r="E2326"/>
      <c r="F2326"/>
      <c r="G2326"/>
      <c r="X2326"/>
    </row>
    <row r="2327" spans="4:24" x14ac:dyDescent="0.25">
      <c r="D2327"/>
      <c r="E2327"/>
      <c r="F2327"/>
      <c r="G2327"/>
      <c r="X2327"/>
    </row>
    <row r="2328" spans="4:24" x14ac:dyDescent="0.25">
      <c r="D2328"/>
      <c r="E2328"/>
      <c r="F2328"/>
      <c r="G2328"/>
      <c r="X2328"/>
    </row>
    <row r="2329" spans="4:24" x14ac:dyDescent="0.25">
      <c r="D2329"/>
      <c r="E2329"/>
      <c r="F2329"/>
      <c r="G2329"/>
      <c r="X2329"/>
    </row>
    <row r="2330" spans="4:24" x14ac:dyDescent="0.25">
      <c r="D2330"/>
      <c r="E2330"/>
      <c r="F2330"/>
      <c r="G2330"/>
      <c r="X2330"/>
    </row>
    <row r="2331" spans="4:24" x14ac:dyDescent="0.25">
      <c r="D2331"/>
      <c r="E2331"/>
      <c r="F2331"/>
      <c r="G2331"/>
      <c r="X2331"/>
    </row>
    <row r="2332" spans="4:24" x14ac:dyDescent="0.25">
      <c r="D2332"/>
      <c r="E2332"/>
      <c r="F2332"/>
      <c r="G2332"/>
      <c r="X2332"/>
    </row>
    <row r="2333" spans="4:24" x14ac:dyDescent="0.25">
      <c r="D2333"/>
      <c r="E2333"/>
      <c r="F2333"/>
      <c r="G2333"/>
      <c r="X2333"/>
    </row>
    <row r="2334" spans="4:24" x14ac:dyDescent="0.25">
      <c r="D2334"/>
      <c r="E2334"/>
      <c r="F2334"/>
      <c r="G2334"/>
      <c r="X2334"/>
    </row>
    <row r="2335" spans="4:24" x14ac:dyDescent="0.25">
      <c r="D2335"/>
      <c r="E2335"/>
      <c r="F2335"/>
      <c r="G2335"/>
      <c r="X2335"/>
    </row>
    <row r="2336" spans="4:24" x14ac:dyDescent="0.25">
      <c r="D2336"/>
      <c r="E2336"/>
      <c r="F2336"/>
      <c r="G2336"/>
      <c r="X2336"/>
    </row>
    <row r="2337" spans="4:24" x14ac:dyDescent="0.25">
      <c r="D2337"/>
      <c r="E2337"/>
      <c r="F2337"/>
      <c r="G2337"/>
      <c r="X2337"/>
    </row>
    <row r="2338" spans="4:24" x14ac:dyDescent="0.25">
      <c r="D2338"/>
      <c r="E2338"/>
      <c r="F2338"/>
      <c r="G2338"/>
      <c r="X2338"/>
    </row>
    <row r="2339" spans="4:24" x14ac:dyDescent="0.25">
      <c r="D2339"/>
      <c r="E2339"/>
      <c r="F2339"/>
      <c r="G2339"/>
      <c r="X2339"/>
    </row>
    <row r="2340" spans="4:24" x14ac:dyDescent="0.25">
      <c r="D2340"/>
      <c r="E2340"/>
      <c r="F2340"/>
      <c r="G2340"/>
      <c r="X2340"/>
    </row>
    <row r="2341" spans="4:24" x14ac:dyDescent="0.25">
      <c r="D2341"/>
      <c r="E2341"/>
      <c r="F2341"/>
      <c r="G2341"/>
      <c r="X2341"/>
    </row>
    <row r="2342" spans="4:24" x14ac:dyDescent="0.25">
      <c r="D2342"/>
      <c r="E2342"/>
      <c r="F2342"/>
      <c r="G2342"/>
      <c r="X2342"/>
    </row>
    <row r="2343" spans="4:24" x14ac:dyDescent="0.25">
      <c r="D2343"/>
      <c r="E2343"/>
      <c r="F2343"/>
      <c r="G2343"/>
      <c r="X2343"/>
    </row>
    <row r="2344" spans="4:24" x14ac:dyDescent="0.25">
      <c r="D2344"/>
      <c r="E2344"/>
      <c r="F2344"/>
      <c r="G2344"/>
      <c r="X2344"/>
    </row>
    <row r="2345" spans="4:24" x14ac:dyDescent="0.25">
      <c r="D2345"/>
      <c r="E2345"/>
      <c r="F2345"/>
      <c r="G2345"/>
      <c r="X2345"/>
    </row>
    <row r="2346" spans="4:24" x14ac:dyDescent="0.25">
      <c r="D2346"/>
      <c r="E2346"/>
      <c r="F2346"/>
      <c r="G2346"/>
      <c r="X2346"/>
    </row>
    <row r="2347" spans="4:24" x14ac:dyDescent="0.25">
      <c r="D2347"/>
      <c r="E2347"/>
      <c r="F2347"/>
      <c r="G2347"/>
      <c r="X2347"/>
    </row>
    <row r="2348" spans="4:24" x14ac:dyDescent="0.25">
      <c r="D2348"/>
      <c r="E2348"/>
      <c r="F2348"/>
      <c r="G2348"/>
      <c r="X2348"/>
    </row>
    <row r="2349" spans="4:24" x14ac:dyDescent="0.25">
      <c r="D2349"/>
      <c r="E2349"/>
      <c r="F2349"/>
      <c r="G2349"/>
      <c r="X2349"/>
    </row>
    <row r="2350" spans="4:24" x14ac:dyDescent="0.25">
      <c r="D2350"/>
      <c r="E2350"/>
      <c r="F2350"/>
      <c r="G2350"/>
      <c r="X2350"/>
    </row>
    <row r="2351" spans="4:24" x14ac:dyDescent="0.25">
      <c r="D2351"/>
      <c r="E2351"/>
      <c r="F2351"/>
      <c r="G2351"/>
      <c r="X2351"/>
    </row>
    <row r="2352" spans="4:24" x14ac:dyDescent="0.25">
      <c r="D2352"/>
      <c r="E2352"/>
      <c r="F2352"/>
      <c r="G2352"/>
      <c r="X2352"/>
    </row>
    <row r="2353" spans="4:24" x14ac:dyDescent="0.25">
      <c r="D2353"/>
      <c r="E2353"/>
      <c r="F2353"/>
      <c r="G2353"/>
      <c r="X2353"/>
    </row>
    <row r="2354" spans="4:24" x14ac:dyDescent="0.25">
      <c r="D2354"/>
      <c r="E2354"/>
      <c r="F2354"/>
      <c r="G2354"/>
      <c r="X2354"/>
    </row>
    <row r="2355" spans="4:24" x14ac:dyDescent="0.25">
      <c r="D2355"/>
      <c r="E2355"/>
      <c r="F2355"/>
      <c r="G2355"/>
      <c r="X2355"/>
    </row>
    <row r="2356" spans="4:24" x14ac:dyDescent="0.25">
      <c r="D2356"/>
      <c r="E2356"/>
      <c r="F2356"/>
      <c r="G2356"/>
      <c r="X2356"/>
    </row>
    <row r="2357" spans="4:24" x14ac:dyDescent="0.25">
      <c r="D2357"/>
      <c r="E2357"/>
      <c r="F2357"/>
      <c r="G2357"/>
      <c r="X2357"/>
    </row>
    <row r="2358" spans="4:24" x14ac:dyDescent="0.25">
      <c r="D2358"/>
      <c r="E2358"/>
      <c r="F2358"/>
      <c r="G2358"/>
      <c r="X2358"/>
    </row>
    <row r="2359" spans="4:24" x14ac:dyDescent="0.25">
      <c r="D2359"/>
      <c r="E2359"/>
      <c r="F2359"/>
      <c r="G2359"/>
      <c r="X2359"/>
    </row>
    <row r="2360" spans="4:24" x14ac:dyDescent="0.25">
      <c r="D2360"/>
      <c r="E2360"/>
      <c r="F2360"/>
      <c r="G2360"/>
      <c r="X2360"/>
    </row>
    <row r="2361" spans="4:24" x14ac:dyDescent="0.25">
      <c r="D2361"/>
      <c r="E2361"/>
      <c r="F2361"/>
      <c r="G2361"/>
      <c r="X2361"/>
    </row>
    <row r="2362" spans="4:24" x14ac:dyDescent="0.25">
      <c r="D2362"/>
      <c r="E2362"/>
      <c r="F2362"/>
      <c r="G2362"/>
      <c r="X2362"/>
    </row>
    <row r="2363" spans="4:24" x14ac:dyDescent="0.25">
      <c r="D2363"/>
      <c r="E2363"/>
      <c r="F2363"/>
      <c r="G2363"/>
      <c r="X2363"/>
    </row>
    <row r="2364" spans="4:24" x14ac:dyDescent="0.25">
      <c r="D2364"/>
      <c r="E2364"/>
      <c r="F2364"/>
      <c r="G2364"/>
      <c r="X2364"/>
    </row>
    <row r="2365" spans="4:24" x14ac:dyDescent="0.25">
      <c r="D2365"/>
      <c r="E2365"/>
      <c r="F2365"/>
      <c r="G2365"/>
      <c r="X2365"/>
    </row>
    <row r="2366" spans="4:24" x14ac:dyDescent="0.25">
      <c r="D2366"/>
      <c r="E2366"/>
      <c r="F2366"/>
      <c r="G2366"/>
      <c r="X2366"/>
    </row>
    <row r="2367" spans="4:24" x14ac:dyDescent="0.25">
      <c r="D2367"/>
      <c r="E2367"/>
      <c r="F2367"/>
      <c r="G2367"/>
      <c r="X2367"/>
    </row>
    <row r="2368" spans="4:24" x14ac:dyDescent="0.25">
      <c r="D2368"/>
      <c r="E2368"/>
      <c r="F2368"/>
      <c r="G2368"/>
      <c r="X2368"/>
    </row>
    <row r="2369" spans="4:24" x14ac:dyDescent="0.25">
      <c r="D2369"/>
      <c r="E2369"/>
      <c r="F2369"/>
      <c r="G2369"/>
      <c r="X2369"/>
    </row>
    <row r="2370" spans="4:24" x14ac:dyDescent="0.25">
      <c r="D2370"/>
      <c r="E2370"/>
      <c r="F2370"/>
      <c r="G2370"/>
      <c r="X2370"/>
    </row>
    <row r="2371" spans="4:24" x14ac:dyDescent="0.25">
      <c r="D2371"/>
      <c r="E2371"/>
      <c r="F2371"/>
      <c r="G2371"/>
      <c r="X2371"/>
    </row>
    <row r="2372" spans="4:24" x14ac:dyDescent="0.25">
      <c r="D2372"/>
      <c r="E2372"/>
      <c r="F2372"/>
      <c r="G2372"/>
      <c r="X2372"/>
    </row>
    <row r="2373" spans="4:24" x14ac:dyDescent="0.25">
      <c r="D2373"/>
      <c r="E2373"/>
      <c r="F2373"/>
      <c r="G2373"/>
      <c r="X2373"/>
    </row>
    <row r="2374" spans="4:24" x14ac:dyDescent="0.25">
      <c r="D2374"/>
      <c r="E2374"/>
      <c r="F2374"/>
      <c r="G2374"/>
      <c r="X2374"/>
    </row>
    <row r="2375" spans="4:24" x14ac:dyDescent="0.25">
      <c r="D2375"/>
      <c r="E2375"/>
      <c r="F2375"/>
      <c r="G2375"/>
      <c r="X2375"/>
    </row>
    <row r="2376" spans="4:24" x14ac:dyDescent="0.25">
      <c r="D2376"/>
      <c r="E2376"/>
      <c r="F2376"/>
      <c r="G2376"/>
      <c r="X2376"/>
    </row>
    <row r="2377" spans="4:24" x14ac:dyDescent="0.25">
      <c r="D2377"/>
      <c r="E2377"/>
      <c r="F2377"/>
      <c r="G2377"/>
      <c r="X2377"/>
    </row>
    <row r="2378" spans="4:24" x14ac:dyDescent="0.25">
      <c r="D2378"/>
      <c r="E2378"/>
      <c r="F2378"/>
      <c r="G2378"/>
      <c r="X2378"/>
    </row>
    <row r="2379" spans="4:24" x14ac:dyDescent="0.25">
      <c r="D2379"/>
      <c r="E2379"/>
      <c r="F2379"/>
      <c r="G2379"/>
      <c r="X2379"/>
    </row>
    <row r="2380" spans="4:24" x14ac:dyDescent="0.25">
      <c r="D2380"/>
      <c r="E2380"/>
      <c r="F2380"/>
      <c r="G2380"/>
      <c r="X2380"/>
    </row>
    <row r="2381" spans="4:24" x14ac:dyDescent="0.25">
      <c r="D2381"/>
      <c r="E2381"/>
      <c r="F2381"/>
      <c r="G2381"/>
      <c r="X2381"/>
    </row>
    <row r="2382" spans="4:24" x14ac:dyDescent="0.25">
      <c r="D2382"/>
      <c r="E2382"/>
      <c r="F2382"/>
      <c r="G2382"/>
      <c r="X2382"/>
    </row>
    <row r="2383" spans="4:24" x14ac:dyDescent="0.25">
      <c r="D2383"/>
      <c r="E2383"/>
      <c r="F2383"/>
      <c r="G2383"/>
      <c r="X2383"/>
    </row>
    <row r="2384" spans="4:24" x14ac:dyDescent="0.25">
      <c r="D2384"/>
      <c r="E2384"/>
      <c r="F2384"/>
      <c r="G2384"/>
      <c r="X2384"/>
    </row>
    <row r="2385" spans="4:24" x14ac:dyDescent="0.25">
      <c r="D2385"/>
      <c r="E2385"/>
      <c r="F2385"/>
      <c r="G2385"/>
      <c r="X2385"/>
    </row>
    <row r="2386" spans="4:24" x14ac:dyDescent="0.25">
      <c r="D2386"/>
      <c r="E2386"/>
      <c r="F2386"/>
      <c r="G2386"/>
      <c r="X2386"/>
    </row>
    <row r="2387" spans="4:24" x14ac:dyDescent="0.25">
      <c r="D2387"/>
      <c r="E2387"/>
      <c r="F2387"/>
      <c r="G2387"/>
      <c r="X2387"/>
    </row>
    <row r="2388" spans="4:24" x14ac:dyDescent="0.25">
      <c r="D2388"/>
      <c r="E2388"/>
      <c r="F2388"/>
      <c r="G2388"/>
      <c r="X2388"/>
    </row>
    <row r="2389" spans="4:24" x14ac:dyDescent="0.25">
      <c r="D2389"/>
      <c r="E2389"/>
      <c r="F2389"/>
      <c r="G2389"/>
      <c r="X2389"/>
    </row>
    <row r="2390" spans="4:24" x14ac:dyDescent="0.25">
      <c r="D2390"/>
      <c r="E2390"/>
      <c r="F2390"/>
      <c r="G2390"/>
      <c r="X2390"/>
    </row>
    <row r="2391" spans="4:24" x14ac:dyDescent="0.25">
      <c r="D2391"/>
      <c r="E2391"/>
      <c r="F2391"/>
      <c r="G2391"/>
      <c r="X2391"/>
    </row>
    <row r="2392" spans="4:24" x14ac:dyDescent="0.25">
      <c r="D2392"/>
      <c r="E2392"/>
      <c r="F2392"/>
      <c r="G2392"/>
      <c r="X2392"/>
    </row>
    <row r="2393" spans="4:24" x14ac:dyDescent="0.25">
      <c r="D2393"/>
      <c r="E2393"/>
      <c r="F2393"/>
      <c r="G2393"/>
      <c r="X2393"/>
    </row>
    <row r="2394" spans="4:24" x14ac:dyDescent="0.25">
      <c r="D2394"/>
      <c r="E2394"/>
      <c r="F2394"/>
      <c r="G2394"/>
      <c r="X2394"/>
    </row>
    <row r="2395" spans="4:24" x14ac:dyDescent="0.25">
      <c r="D2395"/>
      <c r="E2395"/>
      <c r="F2395"/>
      <c r="G2395"/>
      <c r="X2395"/>
    </row>
    <row r="2396" spans="4:24" x14ac:dyDescent="0.25">
      <c r="D2396"/>
      <c r="E2396"/>
      <c r="F2396"/>
      <c r="G2396"/>
      <c r="X2396"/>
    </row>
    <row r="2397" spans="4:24" x14ac:dyDescent="0.25">
      <c r="D2397"/>
      <c r="E2397"/>
      <c r="F2397"/>
      <c r="G2397"/>
      <c r="X2397"/>
    </row>
    <row r="2398" spans="4:24" x14ac:dyDescent="0.25">
      <c r="D2398"/>
      <c r="E2398"/>
      <c r="F2398"/>
      <c r="G2398"/>
      <c r="X2398"/>
    </row>
    <row r="2399" spans="4:24" x14ac:dyDescent="0.25">
      <c r="D2399"/>
      <c r="E2399"/>
      <c r="F2399"/>
      <c r="G2399"/>
      <c r="X2399"/>
    </row>
    <row r="2400" spans="4:24" x14ac:dyDescent="0.25">
      <c r="D2400"/>
      <c r="E2400"/>
      <c r="F2400"/>
      <c r="G2400"/>
      <c r="X2400"/>
    </row>
    <row r="2401" spans="4:24" x14ac:dyDescent="0.25">
      <c r="D2401"/>
      <c r="E2401"/>
      <c r="F2401"/>
      <c r="G2401"/>
      <c r="X2401"/>
    </row>
    <row r="2402" spans="4:24" x14ac:dyDescent="0.25">
      <c r="D2402"/>
      <c r="E2402"/>
      <c r="F2402"/>
      <c r="G2402"/>
      <c r="X2402"/>
    </row>
    <row r="2403" spans="4:24" x14ac:dyDescent="0.25">
      <c r="D2403"/>
      <c r="E2403"/>
      <c r="F2403"/>
      <c r="G2403"/>
      <c r="X2403"/>
    </row>
    <row r="2404" spans="4:24" x14ac:dyDescent="0.25">
      <c r="D2404"/>
      <c r="E2404"/>
      <c r="F2404"/>
      <c r="G2404"/>
      <c r="X2404"/>
    </row>
    <row r="2405" spans="4:24" x14ac:dyDescent="0.25">
      <c r="D2405"/>
      <c r="E2405"/>
      <c r="F2405"/>
      <c r="G2405"/>
      <c r="X2405"/>
    </row>
    <row r="2406" spans="4:24" x14ac:dyDescent="0.25">
      <c r="D2406"/>
      <c r="E2406"/>
      <c r="F2406"/>
      <c r="G2406"/>
      <c r="X2406"/>
    </row>
    <row r="2407" spans="4:24" x14ac:dyDescent="0.25">
      <c r="D2407"/>
      <c r="E2407"/>
      <c r="F2407"/>
      <c r="G2407"/>
      <c r="X2407"/>
    </row>
    <row r="2408" spans="4:24" x14ac:dyDescent="0.25">
      <c r="D2408"/>
      <c r="E2408"/>
      <c r="F2408"/>
      <c r="G2408"/>
      <c r="X2408"/>
    </row>
    <row r="2409" spans="4:24" x14ac:dyDescent="0.25">
      <c r="D2409"/>
      <c r="E2409"/>
      <c r="F2409"/>
      <c r="G2409"/>
      <c r="X2409"/>
    </row>
    <row r="2410" spans="4:24" x14ac:dyDescent="0.25">
      <c r="D2410"/>
      <c r="E2410"/>
      <c r="F2410"/>
      <c r="G2410"/>
      <c r="X2410"/>
    </row>
    <row r="2411" spans="4:24" x14ac:dyDescent="0.25">
      <c r="D2411"/>
      <c r="E2411"/>
      <c r="F2411"/>
      <c r="G2411"/>
      <c r="X2411"/>
    </row>
    <row r="2412" spans="4:24" x14ac:dyDescent="0.25">
      <c r="D2412"/>
      <c r="E2412"/>
      <c r="F2412"/>
      <c r="G2412"/>
      <c r="X2412"/>
    </row>
    <row r="2413" spans="4:24" x14ac:dyDescent="0.25">
      <c r="D2413"/>
      <c r="E2413"/>
      <c r="F2413"/>
      <c r="G2413"/>
      <c r="X2413"/>
    </row>
    <row r="2414" spans="4:24" x14ac:dyDescent="0.25">
      <c r="D2414"/>
      <c r="E2414"/>
      <c r="F2414"/>
      <c r="G2414"/>
      <c r="X2414"/>
    </row>
    <row r="2415" spans="4:24" x14ac:dyDescent="0.25">
      <c r="D2415"/>
      <c r="E2415"/>
      <c r="F2415"/>
      <c r="G2415"/>
      <c r="X2415"/>
    </row>
    <row r="2416" spans="4:24" x14ac:dyDescent="0.25">
      <c r="D2416"/>
      <c r="E2416"/>
      <c r="F2416"/>
      <c r="G2416"/>
      <c r="X2416"/>
    </row>
    <row r="2417" spans="4:24" x14ac:dyDescent="0.25">
      <c r="D2417"/>
      <c r="E2417"/>
      <c r="F2417"/>
      <c r="G2417"/>
      <c r="X2417"/>
    </row>
    <row r="2418" spans="4:24" x14ac:dyDescent="0.25">
      <c r="D2418"/>
      <c r="E2418"/>
      <c r="F2418"/>
      <c r="G2418"/>
      <c r="X2418"/>
    </row>
    <row r="2419" spans="4:24" x14ac:dyDescent="0.25">
      <c r="D2419"/>
      <c r="E2419"/>
      <c r="F2419"/>
      <c r="G2419"/>
      <c r="X2419"/>
    </row>
    <row r="2420" spans="4:24" x14ac:dyDescent="0.25">
      <c r="D2420"/>
      <c r="E2420"/>
      <c r="F2420"/>
      <c r="G2420"/>
      <c r="X2420"/>
    </row>
    <row r="2421" spans="4:24" x14ac:dyDescent="0.25">
      <c r="D2421"/>
      <c r="E2421"/>
      <c r="F2421"/>
      <c r="G2421"/>
      <c r="X2421"/>
    </row>
    <row r="2422" spans="4:24" x14ac:dyDescent="0.25">
      <c r="D2422"/>
      <c r="E2422"/>
      <c r="F2422"/>
      <c r="G2422"/>
      <c r="X2422"/>
    </row>
    <row r="2423" spans="4:24" x14ac:dyDescent="0.25">
      <c r="D2423"/>
      <c r="E2423"/>
      <c r="F2423"/>
      <c r="G2423"/>
      <c r="X2423"/>
    </row>
    <row r="2424" spans="4:24" x14ac:dyDescent="0.25">
      <c r="D2424"/>
      <c r="E2424"/>
      <c r="F2424"/>
      <c r="G2424"/>
      <c r="X2424"/>
    </row>
    <row r="2425" spans="4:24" x14ac:dyDescent="0.25">
      <c r="D2425"/>
      <c r="E2425"/>
      <c r="F2425"/>
      <c r="G2425"/>
    </row>
    <row r="2426" spans="4:24" x14ac:dyDescent="0.25">
      <c r="D2426"/>
      <c r="E2426"/>
      <c r="F2426"/>
      <c r="G2426"/>
    </row>
    <row r="2427" spans="4:24" x14ac:dyDescent="0.25">
      <c r="D2427"/>
      <c r="E2427"/>
      <c r="F2427"/>
      <c r="G2427"/>
    </row>
    <row r="2428" spans="4:24" x14ac:dyDescent="0.25">
      <c r="D2428"/>
      <c r="E2428"/>
      <c r="F2428"/>
      <c r="G2428"/>
    </row>
    <row r="2429" spans="4:24" x14ac:dyDescent="0.25">
      <c r="D2429"/>
      <c r="E2429"/>
      <c r="F2429"/>
      <c r="G2429"/>
    </row>
    <row r="2430" spans="4:24" x14ac:dyDescent="0.25">
      <c r="D2430"/>
      <c r="E2430"/>
      <c r="F2430"/>
      <c r="G2430"/>
    </row>
  </sheetData>
  <mergeCells count="14">
    <mergeCell ref="M1:N2"/>
    <mergeCell ref="Q1:Q2"/>
    <mergeCell ref="J27:K28"/>
    <mergeCell ref="A28:B29"/>
    <mergeCell ref="P38:S39"/>
    <mergeCell ref="B1:B2"/>
    <mergeCell ref="E1:E2"/>
    <mergeCell ref="G1:G2"/>
    <mergeCell ref="J1:K2"/>
    <mergeCell ref="A16:B17"/>
    <mergeCell ref="G16:H17"/>
    <mergeCell ref="G28:H29"/>
    <mergeCell ref="J16:K17"/>
    <mergeCell ref="M16:N17"/>
  </mergeCells>
  <pageMargins left="0.7" right="0.7" top="0.75" bottom="0.75" header="0.3" footer="0.3"/>
  <drawing r:id="rId18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D416-373B-48DE-ABC6-11516158B0D6}">
  <dimension ref="A1:AI93"/>
  <sheetViews>
    <sheetView showGridLines="0" showRowColHeaders="0" zoomScale="110" workbookViewId="0">
      <selection activeCell="K16" sqref="K16"/>
    </sheetView>
  </sheetViews>
  <sheetFormatPr defaultRowHeight="13.8" x14ac:dyDescent="0.25"/>
  <sheetData>
    <row r="1" spans="1:35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5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spans="1:3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spans="1:35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spans="1:3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spans="1:3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spans="1:35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spans="1:3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1:35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3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spans="1:3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spans="1:3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spans="1:3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spans="1:3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spans="1:3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spans="1:3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spans="1:35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spans="1:35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3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3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3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spans="1:3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spans="1:3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spans="1:3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spans="1:3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spans="1:3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spans="1:3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spans="1:3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spans="1:3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spans="1:3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spans="1:3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spans="1:3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spans="1:3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spans="1:3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spans="1:3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spans="1:3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spans="1:3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spans="1:3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spans="1:3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spans="1:3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spans="1:3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spans="1:3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spans="1:3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spans="1:3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spans="1:3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spans="1:3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spans="1:3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spans="1:3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spans="1:3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1:3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spans="1:3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spans="1:3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spans="1:3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spans="1:3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spans="1:3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spans="1:3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spans="1:35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spans="1:3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spans="1:3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spans="1:3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spans="1:3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spans="1:3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spans="1:3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spans="1:3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spans="1:3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spans="1:3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spans="1:3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3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3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3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3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3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3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3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3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3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8B1-36BF-43F8-A138-2AF80D1A59B1}">
  <dimension ref="B5:B21"/>
  <sheetViews>
    <sheetView tabSelected="1" workbookViewId="0">
      <selection activeCell="C2" sqref="A1:C2"/>
    </sheetView>
  </sheetViews>
  <sheetFormatPr defaultRowHeight="13.8" x14ac:dyDescent="0.25"/>
  <cols>
    <col min="2" max="2" width="19.69921875" bestFit="1" customWidth="1"/>
  </cols>
  <sheetData>
    <row r="5" spans="2:2" x14ac:dyDescent="0.25">
      <c r="B5" s="23" t="s">
        <v>4303</v>
      </c>
    </row>
    <row r="13" spans="2:2" x14ac:dyDescent="0.25">
      <c r="B13" s="24" t="s">
        <v>4308</v>
      </c>
    </row>
    <row r="21" spans="2:2" x14ac:dyDescent="0.25">
      <c r="B21" s="24" t="s">
        <v>4287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Dashboard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ezz076385</dc:creator>
  <cp:lastModifiedBy>Mohamed Ezz</cp:lastModifiedBy>
  <dcterms:created xsi:type="dcterms:W3CDTF">2025-06-21T13:19:12Z</dcterms:created>
  <dcterms:modified xsi:type="dcterms:W3CDTF">2026-05-26T23:32:31Z</dcterms:modified>
</cp:coreProperties>
</file>