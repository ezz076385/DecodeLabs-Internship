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zz07\Downloads\"/>
    </mc:Choice>
  </mc:AlternateContent>
  <xr:revisionPtr revIDLastSave="0" documentId="13_ncr:1_{C70837F7-C18C-4203-B9BC-00A13DE17A53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ata" sheetId="1" r:id="rId1"/>
    <sheet name="Pivot" sheetId="2" r:id="rId2"/>
    <sheet name="Dashboard" sheetId="5" r:id="rId3"/>
    <sheet name="Insight" sheetId="6" r:id="rId4"/>
  </sheets>
  <definedNames>
    <definedName name="_xlcn.WorksheetConnection_DatasetforDataAnalytics3.xlsxTable11" hidden="1">Table1[]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2" r:id="rId16"/>
    <pivotCache cacheId="13" r:id="rId17"/>
    <pivotCache cacheId="14" r:id="rId18"/>
    <pivotCache cacheId="15" r:id="rId19"/>
    <pivotCache cacheId="16" r:id="rId20"/>
    <pivotCache cacheId="19" r:id="rId21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Dataset for Data Analytics (3)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K48" i="2" l="1"/>
  <c r="K45" i="2"/>
  <c r="K42" i="2"/>
  <c r="R43" i="2"/>
  <c r="R42" i="2"/>
  <c r="R41" i="2"/>
  <c r="X7" i="1"/>
  <c r="X6" i="1"/>
  <c r="X5" i="1"/>
  <c r="Q27" i="2"/>
  <c r="Q4" i="2"/>
  <c r="X80" i="1"/>
  <c r="G4" i="2"/>
  <c r="Q2" i="1"/>
  <c r="P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R2" i="1" l="1"/>
  <c r="T2" i="1" s="1"/>
  <c r="S2" i="1" l="1"/>
  <c r="U3" i="1" l="1"/>
  <c r="U4" i="1"/>
  <c r="U20" i="1"/>
  <c r="U36" i="1"/>
  <c r="U52" i="1"/>
  <c r="U68" i="1"/>
  <c r="U84" i="1"/>
  <c r="U100" i="1"/>
  <c r="U116" i="1"/>
  <c r="U132" i="1"/>
  <c r="U148" i="1"/>
  <c r="U164" i="1"/>
  <c r="U180" i="1"/>
  <c r="U196" i="1"/>
  <c r="U212" i="1"/>
  <c r="U228" i="1"/>
  <c r="U244" i="1"/>
  <c r="U260" i="1"/>
  <c r="U276" i="1"/>
  <c r="U292" i="1"/>
  <c r="U308" i="1"/>
  <c r="U324" i="1"/>
  <c r="U340" i="1"/>
  <c r="U356" i="1"/>
  <c r="U372" i="1"/>
  <c r="U388" i="1"/>
  <c r="U404" i="1"/>
  <c r="U420" i="1"/>
  <c r="U436" i="1"/>
  <c r="U452" i="1"/>
  <c r="U468" i="1"/>
  <c r="U484" i="1"/>
  <c r="U500" i="1"/>
  <c r="U516" i="1"/>
  <c r="U532" i="1"/>
  <c r="U548" i="1"/>
  <c r="U564" i="1"/>
  <c r="U580" i="1"/>
  <c r="U596" i="1"/>
  <c r="U612" i="1"/>
  <c r="U628" i="1"/>
  <c r="U644" i="1"/>
  <c r="U660" i="1"/>
  <c r="U676" i="1"/>
  <c r="U692" i="1"/>
  <c r="U708" i="1"/>
  <c r="U724" i="1"/>
  <c r="U740" i="1"/>
  <c r="U756" i="1"/>
  <c r="U772" i="1"/>
  <c r="U788" i="1"/>
  <c r="U804" i="1"/>
  <c r="U820" i="1"/>
  <c r="U836" i="1"/>
  <c r="U852" i="1"/>
  <c r="U868" i="1"/>
  <c r="U884" i="1"/>
  <c r="U900" i="1"/>
  <c r="U916" i="1"/>
  <c r="U932" i="1"/>
  <c r="U948" i="1"/>
  <c r="U964" i="1"/>
  <c r="U980" i="1"/>
  <c r="U996" i="1"/>
  <c r="U1012" i="1"/>
  <c r="U1028" i="1"/>
  <c r="U1044" i="1"/>
  <c r="U1060" i="1"/>
  <c r="U1076" i="1"/>
  <c r="U1092" i="1"/>
  <c r="U1108" i="1"/>
  <c r="U1124" i="1"/>
  <c r="U1140" i="1"/>
  <c r="U1156" i="1"/>
  <c r="U1172" i="1"/>
  <c r="U1188" i="1"/>
  <c r="U5" i="1"/>
  <c r="U6" i="1"/>
  <c r="U7" i="1"/>
  <c r="U8" i="1"/>
  <c r="U9" i="1"/>
  <c r="U10" i="1"/>
  <c r="U11" i="1"/>
  <c r="U27" i="1"/>
  <c r="U43" i="1"/>
  <c r="U59" i="1"/>
  <c r="U75" i="1"/>
  <c r="U91" i="1"/>
  <c r="U107" i="1"/>
  <c r="U123" i="1"/>
  <c r="U139" i="1"/>
  <c r="U155" i="1"/>
  <c r="U171" i="1"/>
  <c r="U187" i="1"/>
  <c r="U203" i="1"/>
  <c r="U219" i="1"/>
  <c r="U235" i="1"/>
  <c r="U251" i="1"/>
  <c r="U267" i="1"/>
  <c r="U283" i="1"/>
  <c r="U299" i="1"/>
  <c r="U315" i="1"/>
  <c r="U331" i="1"/>
  <c r="U347" i="1"/>
  <c r="U363" i="1"/>
  <c r="U379" i="1"/>
  <c r="U395" i="1"/>
  <c r="U411" i="1"/>
  <c r="U427" i="1"/>
  <c r="U443" i="1"/>
  <c r="U459" i="1"/>
  <c r="U475" i="1"/>
  <c r="U491" i="1"/>
  <c r="U507" i="1"/>
  <c r="U523" i="1"/>
  <c r="U539" i="1"/>
  <c r="U555" i="1"/>
  <c r="U571" i="1"/>
  <c r="U587" i="1"/>
  <c r="U603" i="1"/>
  <c r="U619" i="1"/>
  <c r="U635" i="1"/>
  <c r="U651" i="1"/>
  <c r="U667" i="1"/>
  <c r="U683" i="1"/>
  <c r="U699" i="1"/>
  <c r="U715" i="1"/>
  <c r="U731" i="1"/>
  <c r="U747" i="1"/>
  <c r="U763" i="1"/>
  <c r="U779" i="1"/>
  <c r="U795" i="1"/>
  <c r="U811" i="1"/>
  <c r="U827" i="1"/>
  <c r="U843" i="1"/>
  <c r="U859" i="1"/>
  <c r="U875" i="1"/>
  <c r="U891" i="1"/>
  <c r="U907" i="1"/>
  <c r="U923" i="1"/>
  <c r="U939" i="1"/>
  <c r="U955" i="1"/>
  <c r="U971" i="1"/>
  <c r="U987" i="1"/>
  <c r="U1003" i="1"/>
  <c r="U1019" i="1"/>
  <c r="U1035" i="1"/>
  <c r="U1051" i="1"/>
  <c r="U1067" i="1"/>
  <c r="U1083" i="1"/>
  <c r="U1099" i="1"/>
  <c r="U1115" i="1"/>
  <c r="U1131" i="1"/>
  <c r="U1147" i="1"/>
  <c r="U1163" i="1"/>
  <c r="U1179" i="1"/>
  <c r="U1195" i="1"/>
  <c r="U12" i="1"/>
  <c r="U28" i="1"/>
  <c r="U44" i="1"/>
  <c r="U60" i="1"/>
  <c r="U76" i="1"/>
  <c r="U92" i="1"/>
  <c r="U108" i="1"/>
  <c r="U124" i="1"/>
  <c r="U140" i="1"/>
  <c r="U156" i="1"/>
  <c r="U172" i="1"/>
  <c r="U188" i="1"/>
  <c r="U204" i="1"/>
  <c r="U220" i="1"/>
  <c r="U236" i="1"/>
  <c r="U252" i="1"/>
  <c r="U268" i="1"/>
  <c r="U284" i="1"/>
  <c r="U300" i="1"/>
  <c r="U316" i="1"/>
  <c r="U332" i="1"/>
  <c r="U348" i="1"/>
  <c r="U364" i="1"/>
  <c r="U380" i="1"/>
  <c r="U396" i="1"/>
  <c r="U412" i="1"/>
  <c r="U428" i="1"/>
  <c r="U444" i="1"/>
  <c r="U460" i="1"/>
  <c r="U476" i="1"/>
  <c r="U492" i="1"/>
  <c r="U508" i="1"/>
  <c r="U524" i="1"/>
  <c r="U540" i="1"/>
  <c r="U556" i="1"/>
  <c r="U572" i="1"/>
  <c r="U588" i="1"/>
  <c r="U604" i="1"/>
  <c r="U620" i="1"/>
  <c r="U636" i="1"/>
  <c r="U652" i="1"/>
  <c r="U668" i="1"/>
  <c r="U684" i="1"/>
  <c r="U700" i="1"/>
  <c r="U716" i="1"/>
  <c r="U732" i="1"/>
  <c r="U748" i="1"/>
  <c r="U764" i="1"/>
  <c r="U780" i="1"/>
  <c r="U796" i="1"/>
  <c r="U812" i="1"/>
  <c r="U828" i="1"/>
  <c r="U844" i="1"/>
  <c r="U860" i="1"/>
  <c r="U876" i="1"/>
  <c r="U892" i="1"/>
  <c r="U908" i="1"/>
  <c r="U924" i="1"/>
  <c r="U940" i="1"/>
  <c r="U956" i="1"/>
  <c r="U972" i="1"/>
  <c r="U988" i="1"/>
  <c r="U1004" i="1"/>
  <c r="U1020" i="1"/>
  <c r="U1036" i="1"/>
  <c r="U1052" i="1"/>
  <c r="U1068" i="1"/>
  <c r="U1084" i="1"/>
  <c r="U1100" i="1"/>
  <c r="U1116" i="1"/>
  <c r="U1132" i="1"/>
  <c r="U1148" i="1"/>
  <c r="U1164" i="1"/>
  <c r="U1180" i="1"/>
  <c r="U1196" i="1"/>
  <c r="U13" i="1"/>
  <c r="U29" i="1"/>
  <c r="U45" i="1"/>
  <c r="U61" i="1"/>
  <c r="U77" i="1"/>
  <c r="U93" i="1"/>
  <c r="U109" i="1"/>
  <c r="U125" i="1"/>
  <c r="U141" i="1"/>
  <c r="U157" i="1"/>
  <c r="U173" i="1"/>
  <c r="U189" i="1"/>
  <c r="U205" i="1"/>
  <c r="U221" i="1"/>
  <c r="U237" i="1"/>
  <c r="U253" i="1"/>
  <c r="U269" i="1"/>
  <c r="U285" i="1"/>
  <c r="U301" i="1"/>
  <c r="U317" i="1"/>
  <c r="U333" i="1"/>
  <c r="U349" i="1"/>
  <c r="U365" i="1"/>
  <c r="U381" i="1"/>
  <c r="U397" i="1"/>
  <c r="U413" i="1"/>
  <c r="U429" i="1"/>
  <c r="U445" i="1"/>
  <c r="U461" i="1"/>
  <c r="U477" i="1"/>
  <c r="U493" i="1"/>
  <c r="U509" i="1"/>
  <c r="U525" i="1"/>
  <c r="U541" i="1"/>
  <c r="U557" i="1"/>
  <c r="U573" i="1"/>
  <c r="U589" i="1"/>
  <c r="U605" i="1"/>
  <c r="U621" i="1"/>
  <c r="U637" i="1"/>
  <c r="U653" i="1"/>
  <c r="U669" i="1"/>
  <c r="U685" i="1"/>
  <c r="U701" i="1"/>
  <c r="U717" i="1"/>
  <c r="U733" i="1"/>
  <c r="U749" i="1"/>
  <c r="U765" i="1"/>
  <c r="U781" i="1"/>
  <c r="U797" i="1"/>
  <c r="U813" i="1"/>
  <c r="U829" i="1"/>
  <c r="U845" i="1"/>
  <c r="U861" i="1"/>
  <c r="U877" i="1"/>
  <c r="U893" i="1"/>
  <c r="U909" i="1"/>
  <c r="U925" i="1"/>
  <c r="U941" i="1"/>
  <c r="U957" i="1"/>
  <c r="U973" i="1"/>
  <c r="U989" i="1"/>
  <c r="U1005" i="1"/>
  <c r="U1021" i="1"/>
  <c r="U1037" i="1"/>
  <c r="U1053" i="1"/>
  <c r="U1069" i="1"/>
  <c r="U1085" i="1"/>
  <c r="U1101" i="1"/>
  <c r="U1117" i="1"/>
  <c r="U1133" i="1"/>
  <c r="U1149" i="1"/>
  <c r="U1165" i="1"/>
  <c r="U1181" i="1"/>
  <c r="U1197" i="1"/>
  <c r="U14" i="1"/>
  <c r="U30" i="1"/>
  <c r="U46" i="1"/>
  <c r="U62" i="1"/>
  <c r="U78" i="1"/>
  <c r="U94" i="1"/>
  <c r="U110" i="1"/>
  <c r="U126" i="1"/>
  <c r="U142" i="1"/>
  <c r="U158" i="1"/>
  <c r="U174" i="1"/>
  <c r="U190" i="1"/>
  <c r="U206" i="1"/>
  <c r="U222" i="1"/>
  <c r="U238" i="1"/>
  <c r="U254" i="1"/>
  <c r="U270" i="1"/>
  <c r="U286" i="1"/>
  <c r="U302" i="1"/>
  <c r="U318" i="1"/>
  <c r="U334" i="1"/>
  <c r="U350" i="1"/>
  <c r="U366" i="1"/>
  <c r="U382" i="1"/>
  <c r="U398" i="1"/>
  <c r="U414" i="1"/>
  <c r="U430" i="1"/>
  <c r="U446" i="1"/>
  <c r="U462" i="1"/>
  <c r="U478" i="1"/>
  <c r="U494" i="1"/>
  <c r="U510" i="1"/>
  <c r="U526" i="1"/>
  <c r="U542" i="1"/>
  <c r="U558" i="1"/>
  <c r="U574" i="1"/>
  <c r="U590" i="1"/>
  <c r="U606" i="1"/>
  <c r="U622" i="1"/>
  <c r="U638" i="1"/>
  <c r="U654" i="1"/>
  <c r="U670" i="1"/>
  <c r="U686" i="1"/>
  <c r="U702" i="1"/>
  <c r="U718" i="1"/>
  <c r="U734" i="1"/>
  <c r="U750" i="1"/>
  <c r="U766" i="1"/>
  <c r="U782" i="1"/>
  <c r="U798" i="1"/>
  <c r="U814" i="1"/>
  <c r="U830" i="1"/>
  <c r="U846" i="1"/>
  <c r="U862" i="1"/>
  <c r="U878" i="1"/>
  <c r="U894" i="1"/>
  <c r="U910" i="1"/>
  <c r="U926" i="1"/>
  <c r="U942" i="1"/>
  <c r="U958" i="1"/>
  <c r="U974" i="1"/>
  <c r="U990" i="1"/>
  <c r="U1006" i="1"/>
  <c r="U1022" i="1"/>
  <c r="U1038" i="1"/>
  <c r="U1054" i="1"/>
  <c r="U1070" i="1"/>
  <c r="U1086" i="1"/>
  <c r="U1102" i="1"/>
  <c r="U1118" i="1"/>
  <c r="U1134" i="1"/>
  <c r="U1150" i="1"/>
  <c r="U1166" i="1"/>
  <c r="U1182" i="1"/>
  <c r="U1198" i="1"/>
  <c r="U15" i="1"/>
  <c r="U31" i="1"/>
  <c r="U47" i="1"/>
  <c r="U63" i="1"/>
  <c r="U79" i="1"/>
  <c r="U95" i="1"/>
  <c r="U111" i="1"/>
  <c r="U127" i="1"/>
  <c r="U143" i="1"/>
  <c r="U159" i="1"/>
  <c r="U175" i="1"/>
  <c r="U191" i="1"/>
  <c r="U207" i="1"/>
  <c r="U223" i="1"/>
  <c r="U239" i="1"/>
  <c r="U255" i="1"/>
  <c r="U271" i="1"/>
  <c r="U287" i="1"/>
  <c r="U303" i="1"/>
  <c r="U319" i="1"/>
  <c r="U335" i="1"/>
  <c r="U351" i="1"/>
  <c r="U367" i="1"/>
  <c r="U383" i="1"/>
  <c r="U399" i="1"/>
  <c r="U415" i="1"/>
  <c r="U431" i="1"/>
  <c r="U447" i="1"/>
  <c r="U463" i="1"/>
  <c r="U479" i="1"/>
  <c r="U495" i="1"/>
  <c r="U511" i="1"/>
  <c r="U527" i="1"/>
  <c r="U543" i="1"/>
  <c r="U559" i="1"/>
  <c r="U575" i="1"/>
  <c r="U591" i="1"/>
  <c r="U607" i="1"/>
  <c r="U623" i="1"/>
  <c r="U639" i="1"/>
  <c r="U655" i="1"/>
  <c r="U671" i="1"/>
  <c r="U687" i="1"/>
  <c r="U703" i="1"/>
  <c r="U719" i="1"/>
  <c r="U735" i="1"/>
  <c r="U751" i="1"/>
  <c r="U767" i="1"/>
  <c r="U783" i="1"/>
  <c r="U799" i="1"/>
  <c r="U815" i="1"/>
  <c r="U831" i="1"/>
  <c r="U847" i="1"/>
  <c r="U863" i="1"/>
  <c r="U879" i="1"/>
  <c r="U895" i="1"/>
  <c r="U911" i="1"/>
  <c r="U927" i="1"/>
  <c r="U943" i="1"/>
  <c r="U959" i="1"/>
  <c r="U975" i="1"/>
  <c r="U991" i="1"/>
  <c r="U1007" i="1"/>
  <c r="U1023" i="1"/>
  <c r="U1039" i="1"/>
  <c r="U1055" i="1"/>
  <c r="U1071" i="1"/>
  <c r="U1087" i="1"/>
  <c r="U1103" i="1"/>
  <c r="U1119" i="1"/>
  <c r="U1135" i="1"/>
  <c r="U1151" i="1"/>
  <c r="U1167" i="1"/>
  <c r="U1183" i="1"/>
  <c r="U1199" i="1"/>
  <c r="U16" i="1"/>
  <c r="U32" i="1"/>
  <c r="U48" i="1"/>
  <c r="U64" i="1"/>
  <c r="U80" i="1"/>
  <c r="U96" i="1"/>
  <c r="U112" i="1"/>
  <c r="U128" i="1"/>
  <c r="U144" i="1"/>
  <c r="U160" i="1"/>
  <c r="U176" i="1"/>
  <c r="U192" i="1"/>
  <c r="U208" i="1"/>
  <c r="U224" i="1"/>
  <c r="U240" i="1"/>
  <c r="U256" i="1"/>
  <c r="U272" i="1"/>
  <c r="U288" i="1"/>
  <c r="U304" i="1"/>
  <c r="U320" i="1"/>
  <c r="U336" i="1"/>
  <c r="U352" i="1"/>
  <c r="U368" i="1"/>
  <c r="U384" i="1"/>
  <c r="U400" i="1"/>
  <c r="U416" i="1"/>
  <c r="U432" i="1"/>
  <c r="U448" i="1"/>
  <c r="U464" i="1"/>
  <c r="U480" i="1"/>
  <c r="U496" i="1"/>
  <c r="U512" i="1"/>
  <c r="U528" i="1"/>
  <c r="U544" i="1"/>
  <c r="U560" i="1"/>
  <c r="U576" i="1"/>
  <c r="U592" i="1"/>
  <c r="U608" i="1"/>
  <c r="U624" i="1"/>
  <c r="U640" i="1"/>
  <c r="U656" i="1"/>
  <c r="U672" i="1"/>
  <c r="U688" i="1"/>
  <c r="U704" i="1"/>
  <c r="U720" i="1"/>
  <c r="U736" i="1"/>
  <c r="U752" i="1"/>
  <c r="U768" i="1"/>
  <c r="U784" i="1"/>
  <c r="U800" i="1"/>
  <c r="U816" i="1"/>
  <c r="U832" i="1"/>
  <c r="U848" i="1"/>
  <c r="U864" i="1"/>
  <c r="U880" i="1"/>
  <c r="U896" i="1"/>
  <c r="U912" i="1"/>
  <c r="U928" i="1"/>
  <c r="U944" i="1"/>
  <c r="U960" i="1"/>
  <c r="U976" i="1"/>
  <c r="U992" i="1"/>
  <c r="U1008" i="1"/>
  <c r="U1024" i="1"/>
  <c r="U1040" i="1"/>
  <c r="U1056" i="1"/>
  <c r="U1072" i="1"/>
  <c r="U1088" i="1"/>
  <c r="U1104" i="1"/>
  <c r="U1120" i="1"/>
  <c r="U1136" i="1"/>
  <c r="U1152" i="1"/>
  <c r="U1168" i="1"/>
  <c r="U1184" i="1"/>
  <c r="U1200" i="1"/>
  <c r="U17" i="1"/>
  <c r="U33" i="1"/>
  <c r="U49" i="1"/>
  <c r="U65" i="1"/>
  <c r="U81" i="1"/>
  <c r="U97" i="1"/>
  <c r="U113" i="1"/>
  <c r="U129" i="1"/>
  <c r="U145" i="1"/>
  <c r="U161" i="1"/>
  <c r="U177" i="1"/>
  <c r="U193" i="1"/>
  <c r="U209" i="1"/>
  <c r="U225" i="1"/>
  <c r="U241" i="1"/>
  <c r="U257" i="1"/>
  <c r="U273" i="1"/>
  <c r="U289" i="1"/>
  <c r="U305" i="1"/>
  <c r="U321" i="1"/>
  <c r="U337" i="1"/>
  <c r="U353" i="1"/>
  <c r="U369" i="1"/>
  <c r="U385" i="1"/>
  <c r="U401" i="1"/>
  <c r="U417" i="1"/>
  <c r="U433" i="1"/>
  <c r="U449" i="1"/>
  <c r="U465" i="1"/>
  <c r="U481" i="1"/>
  <c r="U497" i="1"/>
  <c r="U513" i="1"/>
  <c r="U529" i="1"/>
  <c r="U545" i="1"/>
  <c r="U561" i="1"/>
  <c r="U577" i="1"/>
  <c r="U593" i="1"/>
  <c r="U609" i="1"/>
  <c r="U625" i="1"/>
  <c r="U641" i="1"/>
  <c r="U657" i="1"/>
  <c r="U673" i="1"/>
  <c r="U689" i="1"/>
  <c r="U705" i="1"/>
  <c r="U721" i="1"/>
  <c r="U737" i="1"/>
  <c r="U753" i="1"/>
  <c r="U769" i="1"/>
  <c r="U785" i="1"/>
  <c r="U801" i="1"/>
  <c r="U817" i="1"/>
  <c r="U833" i="1"/>
  <c r="U849" i="1"/>
  <c r="U865" i="1"/>
  <c r="U881" i="1"/>
  <c r="U897" i="1"/>
  <c r="U913" i="1"/>
  <c r="U929" i="1"/>
  <c r="U945" i="1"/>
  <c r="U961" i="1"/>
  <c r="U977" i="1"/>
  <c r="U993" i="1"/>
  <c r="U1009" i="1"/>
  <c r="U1025" i="1"/>
  <c r="U1041" i="1"/>
  <c r="U1057" i="1"/>
  <c r="U1073" i="1"/>
  <c r="U1089" i="1"/>
  <c r="U1105" i="1"/>
  <c r="U1121" i="1"/>
  <c r="U1137" i="1"/>
  <c r="U1153" i="1"/>
  <c r="U1169" i="1"/>
  <c r="U1185" i="1"/>
  <c r="U1201" i="1"/>
  <c r="U18" i="1"/>
  <c r="U34" i="1"/>
  <c r="U50" i="1"/>
  <c r="U66" i="1"/>
  <c r="U82" i="1"/>
  <c r="U98" i="1"/>
  <c r="U114" i="1"/>
  <c r="U130" i="1"/>
  <c r="U146" i="1"/>
  <c r="U162" i="1"/>
  <c r="U178" i="1"/>
  <c r="U194" i="1"/>
  <c r="U210" i="1"/>
  <c r="U226" i="1"/>
  <c r="U242" i="1"/>
  <c r="U258" i="1"/>
  <c r="U274" i="1"/>
  <c r="U290" i="1"/>
  <c r="U306" i="1"/>
  <c r="U322" i="1"/>
  <c r="U338" i="1"/>
  <c r="U354" i="1"/>
  <c r="U370" i="1"/>
  <c r="U386" i="1"/>
  <c r="U402" i="1"/>
  <c r="U418" i="1"/>
  <c r="U434" i="1"/>
  <c r="U450" i="1"/>
  <c r="U466" i="1"/>
  <c r="U482" i="1"/>
  <c r="U498" i="1"/>
  <c r="U514" i="1"/>
  <c r="U530" i="1"/>
  <c r="U546" i="1"/>
  <c r="U562" i="1"/>
  <c r="U578" i="1"/>
  <c r="U594" i="1"/>
  <c r="U610" i="1"/>
  <c r="U626" i="1"/>
  <c r="U642" i="1"/>
  <c r="U658" i="1"/>
  <c r="U674" i="1"/>
  <c r="U690" i="1"/>
  <c r="U706" i="1"/>
  <c r="U722" i="1"/>
  <c r="U738" i="1"/>
  <c r="U754" i="1"/>
  <c r="U770" i="1"/>
  <c r="U786" i="1"/>
  <c r="U802" i="1"/>
  <c r="U818" i="1"/>
  <c r="U834" i="1"/>
  <c r="U850" i="1"/>
  <c r="U866" i="1"/>
  <c r="U882" i="1"/>
  <c r="U898" i="1"/>
  <c r="U914" i="1"/>
  <c r="U930" i="1"/>
  <c r="U946" i="1"/>
  <c r="U962" i="1"/>
  <c r="U978" i="1"/>
  <c r="U994" i="1"/>
  <c r="U1010" i="1"/>
  <c r="U1026" i="1"/>
  <c r="U1042" i="1"/>
  <c r="U1058" i="1"/>
  <c r="U1074" i="1"/>
  <c r="U1090" i="1"/>
  <c r="U1106" i="1"/>
  <c r="U1122" i="1"/>
  <c r="U1138" i="1"/>
  <c r="U1154" i="1"/>
  <c r="U1170" i="1"/>
  <c r="U1186" i="1"/>
  <c r="U2" i="1"/>
  <c r="U19" i="1"/>
  <c r="U35" i="1"/>
  <c r="U51" i="1"/>
  <c r="U67" i="1"/>
  <c r="U83" i="1"/>
  <c r="U99" i="1"/>
  <c r="U115" i="1"/>
  <c r="U131" i="1"/>
  <c r="U147" i="1"/>
  <c r="U163" i="1"/>
  <c r="U21" i="1"/>
  <c r="U57" i="1"/>
  <c r="U103" i="1"/>
  <c r="U149" i="1"/>
  <c r="U184" i="1"/>
  <c r="U218" i="1"/>
  <c r="U261" i="1"/>
  <c r="U295" i="1"/>
  <c r="U329" i="1"/>
  <c r="U371" i="1"/>
  <c r="U406" i="1"/>
  <c r="U440" i="1"/>
  <c r="U474" i="1"/>
  <c r="U517" i="1"/>
  <c r="U551" i="1"/>
  <c r="U585" i="1"/>
  <c r="U627" i="1"/>
  <c r="U662" i="1"/>
  <c r="U696" i="1"/>
  <c r="U730" i="1"/>
  <c r="U773" i="1"/>
  <c r="U807" i="1"/>
  <c r="U841" i="1"/>
  <c r="U883" i="1"/>
  <c r="U918" i="1"/>
  <c r="U952" i="1"/>
  <c r="U986" i="1"/>
  <c r="U1029" i="1"/>
  <c r="U1063" i="1"/>
  <c r="U1097" i="1"/>
  <c r="U1139" i="1"/>
  <c r="U1174" i="1"/>
  <c r="U22" i="1"/>
  <c r="U58" i="1"/>
  <c r="U104" i="1"/>
  <c r="U150" i="1"/>
  <c r="U185" i="1"/>
  <c r="U227" i="1"/>
  <c r="U262" i="1"/>
  <c r="U296" i="1"/>
  <c r="U330" i="1"/>
  <c r="U373" i="1"/>
  <c r="U407" i="1"/>
  <c r="U441" i="1"/>
  <c r="U483" i="1"/>
  <c r="U518" i="1"/>
  <c r="U552" i="1"/>
  <c r="U586" i="1"/>
  <c r="U629" i="1"/>
  <c r="U663" i="1"/>
  <c r="U697" i="1"/>
  <c r="U739" i="1"/>
  <c r="U774" i="1"/>
  <c r="U808" i="1"/>
  <c r="U842" i="1"/>
  <c r="U885" i="1"/>
  <c r="U919" i="1"/>
  <c r="U953" i="1"/>
  <c r="U995" i="1"/>
  <c r="U1030" i="1"/>
  <c r="U1064" i="1"/>
  <c r="U1098" i="1"/>
  <c r="U1141" i="1"/>
  <c r="U1175" i="1"/>
  <c r="U23" i="1"/>
  <c r="U69" i="1"/>
  <c r="U105" i="1"/>
  <c r="U151" i="1"/>
  <c r="U186" i="1"/>
  <c r="U229" i="1"/>
  <c r="U263" i="1"/>
  <c r="U297" i="1"/>
  <c r="U339" i="1"/>
  <c r="U374" i="1"/>
  <c r="U408" i="1"/>
  <c r="U442" i="1"/>
  <c r="U485" i="1"/>
  <c r="U519" i="1"/>
  <c r="U553" i="1"/>
  <c r="U595" i="1"/>
  <c r="U630" i="1"/>
  <c r="U664" i="1"/>
  <c r="U698" i="1"/>
  <c r="U741" i="1"/>
  <c r="U775" i="1"/>
  <c r="U809" i="1"/>
  <c r="U851" i="1"/>
  <c r="U886" i="1"/>
  <c r="U920" i="1"/>
  <c r="U954" i="1"/>
  <c r="U997" i="1"/>
  <c r="U1031" i="1"/>
  <c r="U1065" i="1"/>
  <c r="U1107" i="1"/>
  <c r="U1142" i="1"/>
  <c r="U1176" i="1"/>
  <c r="U24" i="1"/>
  <c r="U70" i="1"/>
  <c r="U106" i="1"/>
  <c r="U152" i="1"/>
  <c r="U195" i="1"/>
  <c r="U230" i="1"/>
  <c r="U264" i="1"/>
  <c r="U298" i="1"/>
  <c r="U341" i="1"/>
  <c r="U375" i="1"/>
  <c r="U409" i="1"/>
  <c r="U451" i="1"/>
  <c r="U486" i="1"/>
  <c r="U520" i="1"/>
  <c r="U554" i="1"/>
  <c r="U597" i="1"/>
  <c r="U631" i="1"/>
  <c r="U665" i="1"/>
  <c r="U707" i="1"/>
  <c r="U742" i="1"/>
  <c r="U776" i="1"/>
  <c r="U810" i="1"/>
  <c r="U853" i="1"/>
  <c r="U887" i="1"/>
  <c r="U921" i="1"/>
  <c r="U963" i="1"/>
  <c r="U998" i="1"/>
  <c r="U1032" i="1"/>
  <c r="U1066" i="1"/>
  <c r="U1109" i="1"/>
  <c r="U1143" i="1"/>
  <c r="U1177" i="1"/>
  <c r="U25" i="1"/>
  <c r="U71" i="1"/>
  <c r="U117" i="1"/>
  <c r="U153" i="1"/>
  <c r="U197" i="1"/>
  <c r="U231" i="1"/>
  <c r="U265" i="1"/>
  <c r="U307" i="1"/>
  <c r="U342" i="1"/>
  <c r="U376" i="1"/>
  <c r="U410" i="1"/>
  <c r="U453" i="1"/>
  <c r="U487" i="1"/>
  <c r="U521" i="1"/>
  <c r="U563" i="1"/>
  <c r="U598" i="1"/>
  <c r="U632" i="1"/>
  <c r="U666" i="1"/>
  <c r="U709" i="1"/>
  <c r="U743" i="1"/>
  <c r="U777" i="1"/>
  <c r="U819" i="1"/>
  <c r="U854" i="1"/>
  <c r="U888" i="1"/>
  <c r="U922" i="1"/>
  <c r="U965" i="1"/>
  <c r="U999" i="1"/>
  <c r="U1033" i="1"/>
  <c r="U1075" i="1"/>
  <c r="U1110" i="1"/>
  <c r="U1144" i="1"/>
  <c r="U1178" i="1"/>
  <c r="U182" i="1"/>
  <c r="U1061" i="1"/>
  <c r="U294" i="1"/>
  <c r="U26" i="1"/>
  <c r="U72" i="1"/>
  <c r="U118" i="1"/>
  <c r="U154" i="1"/>
  <c r="U198" i="1"/>
  <c r="U232" i="1"/>
  <c r="U266" i="1"/>
  <c r="U309" i="1"/>
  <c r="U343" i="1"/>
  <c r="U377" i="1"/>
  <c r="U419" i="1"/>
  <c r="U454" i="1"/>
  <c r="U488" i="1"/>
  <c r="U522" i="1"/>
  <c r="U565" i="1"/>
  <c r="U599" i="1"/>
  <c r="U633" i="1"/>
  <c r="U675" i="1"/>
  <c r="U710" i="1"/>
  <c r="U744" i="1"/>
  <c r="U778" i="1"/>
  <c r="U821" i="1"/>
  <c r="U855" i="1"/>
  <c r="U889" i="1"/>
  <c r="U931" i="1"/>
  <c r="U966" i="1"/>
  <c r="U1000" i="1"/>
  <c r="U1034" i="1"/>
  <c r="U1077" i="1"/>
  <c r="U1111" i="1"/>
  <c r="U1145" i="1"/>
  <c r="U1187" i="1"/>
  <c r="U137" i="1"/>
  <c r="U1095" i="1"/>
  <c r="U56" i="1"/>
  <c r="U362" i="1"/>
  <c r="U405" i="1"/>
  <c r="U439" i="1"/>
  <c r="U550" i="1"/>
  <c r="U618" i="1"/>
  <c r="U729" i="1"/>
  <c r="U840" i="1"/>
  <c r="U951" i="1"/>
  <c r="U1062" i="1"/>
  <c r="U1173" i="1"/>
  <c r="U37" i="1"/>
  <c r="U73" i="1"/>
  <c r="U119" i="1"/>
  <c r="U165" i="1"/>
  <c r="U199" i="1"/>
  <c r="U233" i="1"/>
  <c r="U275" i="1"/>
  <c r="U310" i="1"/>
  <c r="U344" i="1"/>
  <c r="U378" i="1"/>
  <c r="U421" i="1"/>
  <c r="U455" i="1"/>
  <c r="U489" i="1"/>
  <c r="U531" i="1"/>
  <c r="U566" i="1"/>
  <c r="U600" i="1"/>
  <c r="U634" i="1"/>
  <c r="U677" i="1"/>
  <c r="U711" i="1"/>
  <c r="U745" i="1"/>
  <c r="U787" i="1"/>
  <c r="U822" i="1"/>
  <c r="U856" i="1"/>
  <c r="U890" i="1"/>
  <c r="U933" i="1"/>
  <c r="U967" i="1"/>
  <c r="U1001" i="1"/>
  <c r="U1043" i="1"/>
  <c r="U1078" i="1"/>
  <c r="U1112" i="1"/>
  <c r="U1146" i="1"/>
  <c r="U1189" i="1"/>
  <c r="U55" i="1"/>
  <c r="U361" i="1"/>
  <c r="U438" i="1"/>
  <c r="U506" i="1"/>
  <c r="U549" i="1"/>
  <c r="U617" i="1"/>
  <c r="U659" i="1"/>
  <c r="U694" i="1"/>
  <c r="U762" i="1"/>
  <c r="U839" i="1"/>
  <c r="U915" i="1"/>
  <c r="U1018" i="1"/>
  <c r="U38" i="1"/>
  <c r="U74" i="1"/>
  <c r="U120" i="1"/>
  <c r="U166" i="1"/>
  <c r="U200" i="1"/>
  <c r="U234" i="1"/>
  <c r="U277" i="1"/>
  <c r="U311" i="1"/>
  <c r="U345" i="1"/>
  <c r="U387" i="1"/>
  <c r="U422" i="1"/>
  <c r="U456" i="1"/>
  <c r="U490" i="1"/>
  <c r="U533" i="1"/>
  <c r="U567" i="1"/>
  <c r="U601" i="1"/>
  <c r="U643" i="1"/>
  <c r="U678" i="1"/>
  <c r="U712" i="1"/>
  <c r="U746" i="1"/>
  <c r="U789" i="1"/>
  <c r="U823" i="1"/>
  <c r="U857" i="1"/>
  <c r="U899" i="1"/>
  <c r="U934" i="1"/>
  <c r="U968" i="1"/>
  <c r="U1002" i="1"/>
  <c r="U1045" i="1"/>
  <c r="U1079" i="1"/>
  <c r="U1113" i="1"/>
  <c r="U1155" i="1"/>
  <c r="U1190" i="1"/>
  <c r="U472" i="1"/>
  <c r="U328" i="1"/>
  <c r="U39" i="1"/>
  <c r="U85" i="1"/>
  <c r="U121" i="1"/>
  <c r="U167" i="1"/>
  <c r="U201" i="1"/>
  <c r="U243" i="1"/>
  <c r="U278" i="1"/>
  <c r="U312" i="1"/>
  <c r="U346" i="1"/>
  <c r="U389" i="1"/>
  <c r="U423" i="1"/>
  <c r="U457" i="1"/>
  <c r="U499" i="1"/>
  <c r="U534" i="1"/>
  <c r="U568" i="1"/>
  <c r="U602" i="1"/>
  <c r="U645" i="1"/>
  <c r="U679" i="1"/>
  <c r="U713" i="1"/>
  <c r="U755" i="1"/>
  <c r="U790" i="1"/>
  <c r="U824" i="1"/>
  <c r="U858" i="1"/>
  <c r="U901" i="1"/>
  <c r="U935" i="1"/>
  <c r="U969" i="1"/>
  <c r="U1011" i="1"/>
  <c r="U1046" i="1"/>
  <c r="U1080" i="1"/>
  <c r="U1114" i="1"/>
  <c r="U1157" i="1"/>
  <c r="U1191" i="1"/>
  <c r="U327" i="1"/>
  <c r="U102" i="1"/>
  <c r="U515" i="1"/>
  <c r="U806" i="1"/>
  <c r="U1027" i="1"/>
  <c r="U40" i="1"/>
  <c r="U86" i="1"/>
  <c r="U122" i="1"/>
  <c r="U168" i="1"/>
  <c r="U202" i="1"/>
  <c r="U245" i="1"/>
  <c r="U279" i="1"/>
  <c r="U313" i="1"/>
  <c r="U355" i="1"/>
  <c r="U390" i="1"/>
  <c r="U424" i="1"/>
  <c r="U458" i="1"/>
  <c r="U501" i="1"/>
  <c r="U535" i="1"/>
  <c r="U569" i="1"/>
  <c r="U611" i="1"/>
  <c r="U646" i="1"/>
  <c r="U680" i="1"/>
  <c r="U714" i="1"/>
  <c r="U757" i="1"/>
  <c r="U791" i="1"/>
  <c r="U825" i="1"/>
  <c r="U867" i="1"/>
  <c r="U902" i="1"/>
  <c r="U936" i="1"/>
  <c r="U970" i="1"/>
  <c r="U1013" i="1"/>
  <c r="U1047" i="1"/>
  <c r="U1081" i="1"/>
  <c r="U1123" i="1"/>
  <c r="U1158" i="1"/>
  <c r="U1192" i="1"/>
  <c r="U216" i="1"/>
  <c r="U1129" i="1"/>
  <c r="U217" i="1"/>
  <c r="U695" i="1"/>
  <c r="U985" i="1"/>
  <c r="U41" i="1"/>
  <c r="U87" i="1"/>
  <c r="U133" i="1"/>
  <c r="U169" i="1"/>
  <c r="U211" i="1"/>
  <c r="U246" i="1"/>
  <c r="U280" i="1"/>
  <c r="U314" i="1"/>
  <c r="U357" i="1"/>
  <c r="U391" i="1"/>
  <c r="U425" i="1"/>
  <c r="U467" i="1"/>
  <c r="U502" i="1"/>
  <c r="U536" i="1"/>
  <c r="U570" i="1"/>
  <c r="U613" i="1"/>
  <c r="U647" i="1"/>
  <c r="U681" i="1"/>
  <c r="U723" i="1"/>
  <c r="U758" i="1"/>
  <c r="U792" i="1"/>
  <c r="U826" i="1"/>
  <c r="U869" i="1"/>
  <c r="U903" i="1"/>
  <c r="U937" i="1"/>
  <c r="U979" i="1"/>
  <c r="U1014" i="1"/>
  <c r="U1048" i="1"/>
  <c r="U1082" i="1"/>
  <c r="U1125" i="1"/>
  <c r="U1159" i="1"/>
  <c r="U1193" i="1"/>
  <c r="U101" i="1"/>
  <c r="U583" i="1"/>
  <c r="U728" i="1"/>
  <c r="U873" i="1"/>
  <c r="U950" i="1"/>
  <c r="U1171" i="1"/>
  <c r="U138" i="1"/>
  <c r="U473" i="1"/>
  <c r="U661" i="1"/>
  <c r="U874" i="1"/>
  <c r="U1130" i="1"/>
  <c r="U42" i="1"/>
  <c r="U88" i="1"/>
  <c r="U134" i="1"/>
  <c r="U170" i="1"/>
  <c r="U213" i="1"/>
  <c r="U247" i="1"/>
  <c r="U281" i="1"/>
  <c r="U323" i="1"/>
  <c r="U358" i="1"/>
  <c r="U392" i="1"/>
  <c r="U426" i="1"/>
  <c r="U469" i="1"/>
  <c r="U503" i="1"/>
  <c r="U537" i="1"/>
  <c r="U579" i="1"/>
  <c r="U614" i="1"/>
  <c r="U648" i="1"/>
  <c r="U682" i="1"/>
  <c r="U725" i="1"/>
  <c r="U759" i="1"/>
  <c r="U793" i="1"/>
  <c r="U835" i="1"/>
  <c r="U870" i="1"/>
  <c r="U904" i="1"/>
  <c r="U938" i="1"/>
  <c r="U981" i="1"/>
  <c r="U1015" i="1"/>
  <c r="U1049" i="1"/>
  <c r="U1091" i="1"/>
  <c r="U1126" i="1"/>
  <c r="U1160" i="1"/>
  <c r="U1194" i="1"/>
  <c r="U250" i="1"/>
  <c r="U259" i="1"/>
  <c r="U53" i="1"/>
  <c r="U89" i="1"/>
  <c r="U135" i="1"/>
  <c r="U179" i="1"/>
  <c r="U214" i="1"/>
  <c r="U248" i="1"/>
  <c r="U282" i="1"/>
  <c r="U325" i="1"/>
  <c r="U359" i="1"/>
  <c r="U393" i="1"/>
  <c r="U435" i="1"/>
  <c r="U470" i="1"/>
  <c r="U504" i="1"/>
  <c r="U538" i="1"/>
  <c r="U581" i="1"/>
  <c r="U615" i="1"/>
  <c r="U649" i="1"/>
  <c r="U691" i="1"/>
  <c r="U726" i="1"/>
  <c r="U760" i="1"/>
  <c r="U794" i="1"/>
  <c r="U837" i="1"/>
  <c r="U871" i="1"/>
  <c r="U905" i="1"/>
  <c r="U947" i="1"/>
  <c r="U982" i="1"/>
  <c r="U1016" i="1"/>
  <c r="U1050" i="1"/>
  <c r="U1093" i="1"/>
  <c r="U1127" i="1"/>
  <c r="U1161" i="1"/>
  <c r="U403" i="1"/>
  <c r="U54" i="1"/>
  <c r="U90" i="1"/>
  <c r="U136" i="1"/>
  <c r="U181" i="1"/>
  <c r="U215" i="1"/>
  <c r="U249" i="1"/>
  <c r="U291" i="1"/>
  <c r="U326" i="1"/>
  <c r="U360" i="1"/>
  <c r="U394" i="1"/>
  <c r="U437" i="1"/>
  <c r="U471" i="1"/>
  <c r="U505" i="1"/>
  <c r="U547" i="1"/>
  <c r="U582" i="1"/>
  <c r="U616" i="1"/>
  <c r="U650" i="1"/>
  <c r="U693" i="1"/>
  <c r="U727" i="1"/>
  <c r="U761" i="1"/>
  <c r="U803" i="1"/>
  <c r="U838" i="1"/>
  <c r="U872" i="1"/>
  <c r="U906" i="1"/>
  <c r="U949" i="1"/>
  <c r="U983" i="1"/>
  <c r="U1017" i="1"/>
  <c r="U1059" i="1"/>
  <c r="U1094" i="1"/>
  <c r="U1128" i="1"/>
  <c r="U1162" i="1"/>
  <c r="U293" i="1"/>
  <c r="U805" i="1"/>
  <c r="U984" i="1"/>
  <c r="U183" i="1"/>
  <c r="U584" i="1"/>
  <c r="U771" i="1"/>
  <c r="U917" i="1"/>
  <c r="U109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914157-CDF9-4DAD-823F-8142425578E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C2A3B2F-2E22-4C51-8BD0-B5BC2B0BED78}" name="WorksheetConnection_Dataset for Data Analytics (3)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DatasetforDataAnalytics3.xlsxTable11"/>
        </x15:connection>
      </ext>
    </extLst>
  </connection>
</connections>
</file>

<file path=xl/sharedStrings.xml><?xml version="1.0" encoding="utf-8"?>
<sst xmlns="http://schemas.openxmlformats.org/spreadsheetml/2006/main" count="10950" uniqueCount="4334">
  <si>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</si>
  <si>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</si>
  <si>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</si>
  <si>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</si>
  <si>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</si>
  <si>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</si>
  <si>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</si>
  <si>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</si>
  <si>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</si>
  <si>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</si>
  <si>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</si>
  <si>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</si>
  <si>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</si>
  <si>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</si>
  <si>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</si>
  <si>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</si>
  <si>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</si>
  <si>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</si>
  <si>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</si>
  <si>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</si>
  <si>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</si>
  <si>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</si>
  <si>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</si>
  <si>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</si>
  <si>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</si>
  <si>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</si>
  <si>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</si>
  <si>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</si>
  <si>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</si>
  <si>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</si>
  <si>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</si>
  <si>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</si>
  <si>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</si>
  <si>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</si>
  <si>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</si>
  <si>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</si>
  <si>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</si>
  <si>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</si>
  <si>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</si>
  <si>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</si>
  <si>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</si>
  <si>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</si>
  <si>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</si>
  <si>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</si>
  <si>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</si>
  <si>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</si>
  <si>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</si>
  <si>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</si>
  <si>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</si>
  <si>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</si>
  <si>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</si>
  <si>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</si>
  <si>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</si>
  <si>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</si>
  <si>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</si>
  <si>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</si>
  <si>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</si>
  <si>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</si>
  <si>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</si>
  <si>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</si>
  <si>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</si>
  <si>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</si>
  <si>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</si>
  <si>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</si>
  <si>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</si>
  <si>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</si>
  <si>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</si>
  <si>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</si>
  <si>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</si>
  <si>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</si>
  <si>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</si>
  <si>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</si>
  <si>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</si>
  <si>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</si>
  <si>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</si>
  <si>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</si>
  <si>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</si>
  <si>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</si>
  <si>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</si>
  <si>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</si>
  <si>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</si>
  <si>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</si>
  <si>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</si>
  <si>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</si>
  <si>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</si>
  <si>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</si>
  <si>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</si>
  <si>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</si>
  <si>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</si>
  <si>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</si>
  <si>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</si>
  <si>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</si>
  <si>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</si>
  <si>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</si>
  <si>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</si>
  <si>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</si>
  <si>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</si>
  <si>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</si>
  <si>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</si>
  <si>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</si>
  <si>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</si>
  <si>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</si>
  <si>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</si>
  <si>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</si>
  <si>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</si>
  <si>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</si>
  <si>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</si>
  <si>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</si>
  <si>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</si>
  <si>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</si>
  <si>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</si>
  <si>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</si>
  <si>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</si>
  <si>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</si>
  <si>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</si>
  <si>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</si>
  <si>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</si>
  <si>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</si>
  <si>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</si>
  <si>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</si>
  <si>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</si>
  <si>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</si>
  <si>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</si>
  <si>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</si>
  <si>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</si>
  <si>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</si>
  <si>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</si>
  <si>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</si>
  <si>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</si>
  <si>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</si>
  <si>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</si>
  <si>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</si>
  <si>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</si>
  <si>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</si>
  <si>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</si>
  <si>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</si>
  <si>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</si>
  <si>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</si>
  <si>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</si>
  <si>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</si>
  <si>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</si>
  <si>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</si>
  <si>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</si>
  <si>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</si>
  <si>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</si>
  <si>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</si>
  <si>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</si>
  <si>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</si>
  <si>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</si>
  <si>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</si>
  <si>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</si>
  <si>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</si>
  <si>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</si>
  <si>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</si>
  <si>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</si>
  <si>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</si>
  <si>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</si>
  <si>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</si>
  <si>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</si>
  <si>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</si>
  <si>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</si>
  <si>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</si>
  <si>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</si>
  <si>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</si>
  <si>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</si>
  <si>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</si>
  <si>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</si>
  <si>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</si>
  <si>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</si>
  <si>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</si>
  <si>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</si>
  <si>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</si>
  <si>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</si>
  <si>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</si>
  <si>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</si>
  <si>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</si>
  <si>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</si>
  <si>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</si>
  <si>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</si>
  <si>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</si>
  <si>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</si>
  <si>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</si>
  <si>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</si>
  <si>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</si>
  <si>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</si>
  <si>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</si>
  <si>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</si>
  <si>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</si>
  <si>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</si>
  <si>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</si>
  <si>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</si>
  <si>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</si>
  <si>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</si>
  <si>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</si>
  <si>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</si>
  <si>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</si>
  <si>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</si>
  <si>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</si>
  <si>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</si>
  <si>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</si>
  <si>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</si>
  <si>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</si>
  <si>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</si>
  <si>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</si>
  <si>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</si>
  <si>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</si>
  <si>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</si>
  <si>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</si>
  <si>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</si>
  <si>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</si>
  <si>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</si>
  <si>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</si>
  <si>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</si>
  <si>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</si>
  <si>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</si>
  <si>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</si>
  <si>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</si>
  <si>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</si>
  <si>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</si>
  <si>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</si>
  <si>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</si>
  <si>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</si>
  <si>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</si>
  <si>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</si>
  <si>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</si>
  <si>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</si>
  <si>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</si>
  <si>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</si>
  <si>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</si>
  <si>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</si>
  <si>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</si>
  <si>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</si>
  <si>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</si>
  <si>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</si>
  <si>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</si>
  <si>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</si>
  <si>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</si>
  <si>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</si>
  <si>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</si>
  <si>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</si>
  <si>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</si>
  <si>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</si>
  <si>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</si>
  <si>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</si>
  <si>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</si>
  <si>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</si>
  <si>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</si>
  <si>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</si>
  <si>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</si>
  <si>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</si>
  <si>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</si>
  <si>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</si>
  <si>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</si>
  <si>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</si>
  <si>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</si>
  <si>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</si>
  <si>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</si>
  <si>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</si>
  <si>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</si>
  <si>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</si>
  <si>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</si>
  <si>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</si>
  <si>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</si>
  <si>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</si>
  <si>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</si>
  <si>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</si>
  <si>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</si>
  <si>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</si>
  <si>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</si>
  <si>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</si>
  <si>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</si>
  <si>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</si>
  <si>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</si>
  <si>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</si>
  <si>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</si>
  <si>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</si>
  <si>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</si>
  <si>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</si>
  <si>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</si>
  <si>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</si>
  <si>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</si>
  <si>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</si>
  <si>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</si>
  <si>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</si>
  <si>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</si>
  <si>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</si>
  <si>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</si>
  <si>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</si>
  <si>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</si>
  <si>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</si>
  <si>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</si>
  <si>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</si>
  <si>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</si>
  <si>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</si>
  <si>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</si>
  <si>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</si>
  <si>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</si>
  <si>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</si>
  <si>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</si>
  <si>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</si>
  <si>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</si>
  <si>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</si>
  <si>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</si>
  <si>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</si>
  <si>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</si>
  <si>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</si>
  <si>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</si>
  <si>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</si>
  <si>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</si>
  <si>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</si>
  <si>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</si>
  <si>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</si>
  <si>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</si>
  <si>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</si>
  <si>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</si>
  <si>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</si>
  <si>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</si>
  <si>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</si>
  <si>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</si>
  <si>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</si>
  <si>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</si>
  <si>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</si>
  <si>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</si>
  <si>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</si>
  <si>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</si>
  <si>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</si>
  <si>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</si>
  <si>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</si>
  <si>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</si>
  <si>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</si>
  <si>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</si>
  <si>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</si>
  <si>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</si>
  <si>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</si>
  <si>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</si>
  <si>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</si>
  <si>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</si>
  <si>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</si>
  <si>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</si>
  <si>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</si>
  <si>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</si>
  <si>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</si>
  <si>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</si>
  <si>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</si>
  <si>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</si>
  <si>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</si>
  <si>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</si>
  <si>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</si>
  <si>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</si>
  <si>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</si>
  <si>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</si>
  <si>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</si>
  <si>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</si>
  <si>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</si>
  <si>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</si>
  <si>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</si>
  <si>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</si>
  <si>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</si>
  <si>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</si>
  <si>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</si>
  <si>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</si>
  <si>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</si>
  <si>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</si>
  <si>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</si>
  <si>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</si>
  <si>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</si>
  <si>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</si>
  <si>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</si>
  <si>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</si>
  <si>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</si>
  <si>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</si>
  <si>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</si>
  <si>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</si>
  <si>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</si>
  <si>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</si>
  <si>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</si>
  <si>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</si>
  <si>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</si>
  <si>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</si>
  <si>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</si>
  <si>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</si>
  <si>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</si>
  <si>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</si>
  <si>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</si>
  <si>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</si>
  <si>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</si>
  <si>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</si>
  <si>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</si>
  <si>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</si>
  <si>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</si>
  <si>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</si>
  <si>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</si>
  <si>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</si>
  <si>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</si>
  <si>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</si>
  <si>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</si>
  <si>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</si>
  <si>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</si>
  <si>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</si>
  <si>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</si>
  <si>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</si>
  <si>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</si>
  <si>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</si>
  <si>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</si>
  <si>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</si>
  <si>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</si>
  <si>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</si>
  <si>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</si>
  <si>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</si>
  <si>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</si>
  <si>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</si>
  <si>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</si>
  <si>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</si>
  <si>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</si>
  <si>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</si>
  <si>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</si>
  <si>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</si>
  <si>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</si>
  <si>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</si>
  <si>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</si>
  <si>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</si>
  <si>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</si>
  <si>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</si>
  <si>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</si>
  <si>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</si>
  <si>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</si>
  <si>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</si>
  <si>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</si>
  <si>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</si>
  <si>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</si>
  <si>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</si>
  <si>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</si>
  <si>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</si>
  <si>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</si>
  <si>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</si>
  <si>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</si>
  <si>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</si>
  <si>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</si>
  <si>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</si>
  <si>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</si>
  <si>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</si>
  <si>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</si>
  <si>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</si>
  <si>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</si>
  <si>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</si>
  <si>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</si>
  <si>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</si>
  <si>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</si>
  <si>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</si>
  <si>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</si>
  <si>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</si>
  <si>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</si>
  <si>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</si>
  <si>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</si>
  <si>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</si>
  <si>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</si>
  <si>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</si>
  <si>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</si>
  <si>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</si>
  <si>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</si>
  <si>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</si>
  <si>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</si>
  <si>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</si>
  <si>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</si>
  <si>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</si>
  <si>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</si>
  <si>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</si>
  <si>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</si>
  <si>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</si>
  <si>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</si>
  <si>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</si>
  <si>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</si>
  <si>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</si>
  <si>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</si>
  <si>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</si>
  <si>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</si>
  <si>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</si>
  <si>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</si>
  <si>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</si>
  <si>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</si>
  <si>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</si>
  <si>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</si>
  <si>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</si>
  <si>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</si>
  <si>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</si>
  <si>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</si>
  <si>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</si>
  <si>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</si>
  <si>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</si>
  <si>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</si>
  <si>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</si>
  <si>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</si>
  <si>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</si>
  <si>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</si>
  <si>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</si>
  <si>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</si>
  <si>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</si>
  <si>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</si>
  <si>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</si>
  <si>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</si>
  <si>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</si>
  <si>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</si>
  <si>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</si>
  <si>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</si>
  <si>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</si>
  <si>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</si>
  <si>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</si>
  <si>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</si>
  <si>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</si>
  <si>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</si>
  <si>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</si>
  <si>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</si>
  <si>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</si>
  <si>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</si>
  <si>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</si>
  <si>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</si>
  <si>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</si>
  <si>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</si>
  <si>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</si>
  <si>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</si>
  <si>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</si>
  <si>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</si>
  <si>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</si>
  <si>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</si>
  <si>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</si>
  <si>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</si>
  <si>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</si>
  <si>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</si>
  <si>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</si>
  <si>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</si>
  <si>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</si>
  <si>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</si>
  <si>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</si>
  <si>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</si>
  <si>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</si>
  <si>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</si>
  <si>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</si>
  <si>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</si>
  <si>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</si>
  <si>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</si>
  <si>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</si>
  <si>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</si>
  <si>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</si>
  <si>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</si>
  <si>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</si>
  <si>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</si>
  <si>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</si>
  <si>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</si>
  <si>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</si>
  <si>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</si>
  <si>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</si>
  <si>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</si>
  <si>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</si>
  <si>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</si>
  <si>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</si>
  <si>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</si>
  <si>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</si>
  <si>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</si>
  <si>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</si>
  <si>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</si>
  <si>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</si>
  <si>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</si>
  <si>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</si>
  <si>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</si>
  <si>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</si>
  <si>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</si>
  <si>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</si>
  <si>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</si>
  <si>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</si>
  <si>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</si>
  <si>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</si>
  <si>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</si>
  <si>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</si>
  <si>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</si>
  <si>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</si>
  <si>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</si>
  <si>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</si>
  <si>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</si>
  <si>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</si>
  <si>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</si>
  <si>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</si>
  <si>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</si>
  <si>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</si>
  <si>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</si>
  <si>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</si>
  <si>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</si>
  <si>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</si>
  <si>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</si>
  <si>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</si>
  <si>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</si>
  <si>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</si>
  <si>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</si>
  <si>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</si>
  <si>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</si>
  <si>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</si>
  <si>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</si>
  <si>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</si>
  <si>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</si>
  <si>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</si>
  <si>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</si>
  <si>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</si>
  <si>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</si>
  <si>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</si>
  <si>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</si>
  <si>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</si>
  <si>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</si>
  <si>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</si>
  <si>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</si>
  <si>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</si>
  <si>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</si>
  <si>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</si>
  <si>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</si>
  <si>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</si>
  <si>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</si>
  <si>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</si>
  <si>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</si>
  <si>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</si>
  <si>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</si>
  <si>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</si>
  <si>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</si>
  <si>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</si>
  <si>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</si>
  <si>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</si>
  <si>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</si>
  <si>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</si>
  <si>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</si>
  <si>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</si>
  <si>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</si>
  <si>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</si>
  <si>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</si>
  <si>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</si>
  <si>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</si>
  <si>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</si>
  <si>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</si>
  <si>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</si>
  <si>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</si>
  <si>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</si>
  <si>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</si>
  <si>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</si>
  <si>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</si>
  <si>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</si>
  <si>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</si>
  <si>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</si>
  <si>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</si>
  <si>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</si>
  <si>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</si>
  <si>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</si>
  <si>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</si>
  <si>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</si>
  <si>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</si>
  <si>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</si>
  <si>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</si>
  <si>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</si>
  <si>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</si>
  <si>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</si>
  <si>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</si>
  <si>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</si>
  <si>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</si>
  <si>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</si>
  <si>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</si>
  <si>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</si>
  <si>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</si>
  <si>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</si>
  <si>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</si>
  <si>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</si>
  <si>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</si>
  <si>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</si>
  <si>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</si>
  <si>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</si>
  <si>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</si>
  <si>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</si>
  <si>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</si>
  <si>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</si>
  <si>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</si>
  <si>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</si>
  <si>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</si>
  <si>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</si>
  <si>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</si>
  <si>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</si>
  <si>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</si>
  <si>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</si>
  <si>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</si>
  <si>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</si>
  <si>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</si>
  <si>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</si>
  <si>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</si>
  <si>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</si>
  <si>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</si>
  <si>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</si>
  <si>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</si>
  <si>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</si>
  <si>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</si>
  <si>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</si>
  <si>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</si>
  <si>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</si>
  <si>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</si>
  <si>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</si>
  <si>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</si>
  <si>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</si>
  <si>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</si>
  <si>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</si>
  <si>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</si>
  <si>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</si>
  <si>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</si>
  <si>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</si>
  <si>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</si>
  <si>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</si>
  <si>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</si>
  <si>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</si>
  <si>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</si>
  <si>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</si>
  <si>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</si>
  <si>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</si>
  <si>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</si>
  <si>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</si>
  <si>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</si>
  <si>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</si>
  <si>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</si>
  <si>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</si>
  <si>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</si>
  <si>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</si>
  <si>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</si>
  <si>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</si>
  <si>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</si>
  <si>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</si>
  <si>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</si>
  <si>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</si>
  <si>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</si>
  <si>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</si>
  <si>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</si>
  <si>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</si>
  <si>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</si>
  <si>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</si>
  <si>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</si>
  <si>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</si>
  <si>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</si>
  <si>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</si>
  <si>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</si>
  <si>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</si>
  <si>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</si>
  <si>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</si>
  <si>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</si>
  <si>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</si>
  <si>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</si>
  <si>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</si>
  <si>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</si>
  <si>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</si>
  <si>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</si>
  <si>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</si>
  <si>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</si>
  <si>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</si>
  <si>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</si>
  <si>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</si>
  <si>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</si>
  <si>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</si>
  <si>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</si>
  <si>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</si>
  <si>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</si>
  <si>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</si>
  <si>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</si>
  <si>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</si>
  <si>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</si>
  <si>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</si>
  <si>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</si>
  <si>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</si>
  <si>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</si>
  <si>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</si>
  <si>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</si>
  <si>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</si>
  <si>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</si>
  <si>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</si>
  <si>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</si>
  <si>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</si>
  <si>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</si>
  <si>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</si>
  <si>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</si>
  <si>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</si>
  <si>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</si>
  <si>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</si>
  <si>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</si>
  <si>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</si>
  <si>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</si>
  <si>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</si>
  <si>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</si>
  <si>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</si>
  <si>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</si>
  <si>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</si>
  <si>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</si>
  <si>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</si>
  <si>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</si>
  <si>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</si>
  <si>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</si>
  <si>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</si>
  <si>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</si>
  <si>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</si>
  <si>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</si>
  <si>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</si>
  <si>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</si>
  <si>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</si>
  <si>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</si>
  <si>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</si>
  <si>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</si>
  <si>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</si>
  <si>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</si>
  <si>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</si>
  <si>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</si>
  <si>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</si>
  <si>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</si>
  <si>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</si>
  <si>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</si>
  <si>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</si>
  <si>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</si>
  <si>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</si>
  <si>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</si>
  <si>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</si>
  <si>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</si>
  <si>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</si>
  <si>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</si>
  <si>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</si>
  <si>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</si>
  <si>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</si>
  <si>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</si>
  <si>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</si>
  <si>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</si>
  <si>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</si>
  <si>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</si>
  <si>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</si>
  <si>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</si>
  <si>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</si>
  <si>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</si>
  <si>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</si>
  <si>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</si>
  <si>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</si>
  <si>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</si>
  <si>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</si>
  <si>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</si>
  <si>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</si>
  <si>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</si>
  <si>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</si>
  <si>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</si>
  <si>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</si>
  <si>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</si>
  <si>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</si>
  <si>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</si>
  <si>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</si>
  <si>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</si>
  <si>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</si>
  <si>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</si>
  <si>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</si>
  <si>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</si>
  <si>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</si>
  <si>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</si>
  <si>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</si>
  <si>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</si>
  <si>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</si>
  <si>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</si>
  <si>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</si>
  <si>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</si>
  <si>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</si>
  <si>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</si>
  <si>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</si>
  <si>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</si>
  <si>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</si>
  <si>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</si>
  <si>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</si>
  <si>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</si>
  <si>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</si>
  <si>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</si>
  <si>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</si>
  <si>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</si>
  <si>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</si>
  <si>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</si>
  <si>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</si>
  <si>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</si>
  <si>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</si>
  <si>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</si>
  <si>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</si>
  <si>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</si>
  <si>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</si>
  <si>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</si>
  <si>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</si>
  <si>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</si>
  <si>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</si>
  <si>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</si>
  <si>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</si>
  <si>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</si>
  <si>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</si>
  <si>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</si>
  <si>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</si>
  <si>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</si>
  <si>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</si>
  <si>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</si>
  <si>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</si>
  <si>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</si>
  <si>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</si>
  <si>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</si>
  <si>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</si>
  <si>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</si>
  <si>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</si>
  <si>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</si>
  <si>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</si>
  <si>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</si>
  <si>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</si>
  <si>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</si>
  <si>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</si>
  <si>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</si>
  <si>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</si>
  <si>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</si>
  <si>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</si>
  <si>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</si>
  <si>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</si>
  <si>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</si>
  <si>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</si>
  <si>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</si>
  <si>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</si>
  <si>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</si>
  <si>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</si>
  <si>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</si>
  <si>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</si>
  <si>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</si>
  <si>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</si>
  <si>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</si>
  <si>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</si>
  <si>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</si>
  <si>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</si>
  <si>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</si>
  <si>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</si>
  <si>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</si>
  <si>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</si>
  <si>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</si>
  <si>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</si>
  <si>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</si>
  <si>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</si>
  <si>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</si>
  <si>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</si>
  <si>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</si>
  <si>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</si>
  <si>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</si>
  <si>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</si>
  <si>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</si>
  <si>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</si>
  <si>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</si>
  <si>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</si>
  <si>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</si>
  <si>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</si>
  <si>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</si>
  <si>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</si>
  <si>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</si>
  <si>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</si>
  <si>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</si>
  <si>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</si>
  <si>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</si>
  <si>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</si>
  <si>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</si>
  <si>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</si>
  <si>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</si>
  <si>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</si>
  <si>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</si>
  <si>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</si>
  <si>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</si>
  <si>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</si>
  <si>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</si>
  <si>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</si>
  <si>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</si>
  <si>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</si>
  <si>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</si>
  <si>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</si>
  <si>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</si>
  <si>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</si>
  <si>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</si>
  <si>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</si>
  <si>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</si>
  <si>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</si>
  <si>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</si>
  <si>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</si>
  <si>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</si>
  <si>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</si>
  <si>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</si>
  <si>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</si>
  <si>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</si>
  <si>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</si>
  <si>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</si>
  <si>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</si>
  <si>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</si>
  <si>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</si>
  <si>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</si>
  <si>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</si>
  <si>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</si>
  <si>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</si>
  <si>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</si>
  <si>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</si>
  <si>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</si>
  <si>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</si>
  <si>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</si>
  <si>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</si>
  <si>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</si>
  <si>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</si>
  <si>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</si>
  <si>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</si>
  <si>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</si>
  <si>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</si>
  <si>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</si>
  <si>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</si>
  <si>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</si>
  <si>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</si>
  <si>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</si>
  <si>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</si>
  <si>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</si>
  <si>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</si>
  <si>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</si>
  <si>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</si>
  <si>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</si>
  <si>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</si>
  <si>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</si>
  <si>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</si>
  <si>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</si>
  <si>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</si>
  <si>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</si>
  <si>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</si>
  <si>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</si>
  <si>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</si>
  <si>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</si>
  <si>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</si>
  <si>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</si>
  <si>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</si>
  <si>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</si>
  <si>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</si>
  <si>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</si>
  <si>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</si>
  <si>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</si>
  <si>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</si>
  <si>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</si>
  <si>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</si>
  <si>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</si>
  <si>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</si>
  <si>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</si>
  <si>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</si>
  <si>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</si>
  <si>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</si>
  <si>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</si>
  <si>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</si>
  <si>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</si>
  <si>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</si>
  <si>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</si>
  <si>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</si>
  <si>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</si>
  <si>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</si>
  <si>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</si>
  <si>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</si>
  <si>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</si>
  <si>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</si>
  <si>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</si>
  <si>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</si>
  <si>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</si>
  <si>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</si>
  <si>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</si>
  <si>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</si>
  <si>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</si>
  <si>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</si>
  <si>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</si>
  <si>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</si>
  <si>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</si>
  <si>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</si>
  <si>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</si>
  <si>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</si>
  <si>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</si>
  <si>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</si>
  <si>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</si>
  <si>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</si>
  <si>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</si>
  <si>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</si>
  <si>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</si>
  <si>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</si>
  <si>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</si>
  <si>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</si>
  <si>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</si>
  <si>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</si>
  <si>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</si>
  <si>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</si>
  <si>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</si>
  <si>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</si>
  <si>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</si>
  <si>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</si>
  <si>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</si>
  <si>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</si>
  <si>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</si>
  <si>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</si>
  <si>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</si>
  <si>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</si>
  <si>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</si>
  <si>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</si>
  <si>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</si>
  <si>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</si>
  <si>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</si>
  <si>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</si>
  <si>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</si>
  <si>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</si>
  <si>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</si>
  <si>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</si>
  <si>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</si>
  <si>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</si>
  <si>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</si>
  <si>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</si>
  <si>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</si>
  <si>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</si>
  <si>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</si>
  <si>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</si>
  <si>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</si>
  <si>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</si>
  <si>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</si>
  <si>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</si>
  <si>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</si>
  <si>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</si>
  <si>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</si>
  <si>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</si>
  <si>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</si>
  <si>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</si>
  <si>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</si>
  <si>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</si>
  <si>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</si>
  <si>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</si>
  <si>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</si>
  <si>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</si>
  <si>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</si>
  <si>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</si>
  <si>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</si>
  <si>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</si>
  <si>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</si>
  <si>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</si>
  <si>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</si>
  <si>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</si>
  <si>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</si>
  <si>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</si>
  <si>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</si>
  <si>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</si>
  <si>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</si>
  <si>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</si>
  <si>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</si>
  <si>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</si>
  <si>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</si>
  <si>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</si>
  <si>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</si>
  <si>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</si>
  <si>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</si>
  <si>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</si>
  <si>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</si>
  <si>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</si>
  <si>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</si>
  <si>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</si>
  <si>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</si>
  <si>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</si>
  <si>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</si>
  <si>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</si>
  <si>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</si>
  <si>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</si>
  <si>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</si>
  <si>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</si>
  <si>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</si>
  <si>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</si>
  <si>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</si>
  <si>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</si>
  <si>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</si>
  <si>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</si>
  <si>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</si>
  <si>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</si>
  <si>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</si>
  <si>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</si>
  <si>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</si>
  <si>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</si>
  <si>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</si>
  <si>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</si>
  <si>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</si>
  <si>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</si>
  <si>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</si>
  <si>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</si>
  <si>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</si>
  <si>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</si>
  <si>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</si>
  <si>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</si>
  <si>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</si>
  <si>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</si>
  <si>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</si>
  <si>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</si>
  <si>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</si>
  <si>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</si>
  <si>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</si>
  <si>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</si>
  <si>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</si>
  <si>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</si>
  <si>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</si>
  <si>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</si>
  <si>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</si>
  <si>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</si>
  <si>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</si>
  <si>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</si>
  <si>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</si>
  <si>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</si>
  <si>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</si>
  <si>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</si>
  <si>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</si>
  <si>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</si>
  <si>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</si>
  <si>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</si>
  <si>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</si>
  <si>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</si>
  <si>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</si>
  <si>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</si>
  <si>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</si>
  <si>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</si>
  <si>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</si>
  <si>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</si>
  <si>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</si>
  <si>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</si>
  <si>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</si>
  <si>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</si>
  <si>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</si>
  <si>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</si>
  <si>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</si>
  <si>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</si>
  <si>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</si>
  <si>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</si>
  <si>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</si>
  <si>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</si>
  <si>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</si>
  <si>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</si>
  <si>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</si>
  <si>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</si>
  <si>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</si>
  <si>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</si>
  <si>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</si>
  <si>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</si>
  <si>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</si>
  <si>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</si>
  <si>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</si>
  <si>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</si>
  <si>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</si>
  <si>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</si>
  <si>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</si>
  <si>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</si>
  <si>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</si>
  <si>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</si>
  <si>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</si>
  <si>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</si>
  <si>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</si>
  <si>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</si>
  <si>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</si>
  <si>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</si>
  <si>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</si>
  <si>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</si>
  <si>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</si>
  <si>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</si>
  <si>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</si>
  <si>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</si>
  <si>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</si>
  <si>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</si>
  <si>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</si>
  <si>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</si>
  <si>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</si>
  <si>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</si>
  <si>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</si>
  <si>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</si>
  <si>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</si>
  <si>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</si>
  <si>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</si>
  <si>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</si>
  <si>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</si>
  <si>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</si>
  <si>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</si>
  <si>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</si>
  <si>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</si>
  <si>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</si>
  <si>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</si>
  <si>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</si>
  <si>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</si>
  <si>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</si>
  <si>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</si>
  <si>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</si>
  <si>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</si>
  <si>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</si>
  <si>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</si>
  <si>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</si>
  <si>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</si>
  <si>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</si>
  <si>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</si>
  <si>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</si>
  <si>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</si>
  <si>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</si>
  <si>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</si>
  <si>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</si>
  <si>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</si>
  <si>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</si>
  <si>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</si>
  <si>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</si>
  <si>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</si>
  <si>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</si>
  <si>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</si>
  <si>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</si>
  <si>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</si>
  <si>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</si>
  <si>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</si>
  <si>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</si>
  <si>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</si>
  <si>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</si>
  <si>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</si>
  <si>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</si>
  <si>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</si>
  <si>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</si>
  <si>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</si>
  <si>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</si>
  <si>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</si>
  <si>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</si>
  <si>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</si>
  <si>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</si>
  <si>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</si>
  <si>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</si>
  <si>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</si>
  <si>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</si>
  <si>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</si>
  <si>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</si>
  <si>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</si>
  <si>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</si>
  <si>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</si>
  <si>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</si>
  <si>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</si>
  <si>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</si>
  <si>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</si>
  <si>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</si>
  <si>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</si>
  <si>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</si>
  <si>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</si>
  <si>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</si>
  <si>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</si>
  <si>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</si>
  <si>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</si>
  <si>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</si>
  <si>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</si>
  <si>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</si>
  <si>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</si>
  <si>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</si>
  <si>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</si>
  <si>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</si>
  <si>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</si>
  <si>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</si>
  <si>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</si>
  <si>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</si>
  <si>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</si>
  <si>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</si>
  <si>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</si>
  <si>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</si>
  <si>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</si>
  <si>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</si>
  <si>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</si>
  <si>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</si>
  <si>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</si>
  <si>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</si>
  <si>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</si>
  <si>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</si>
  <si>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</si>
  <si>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</si>
  <si>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</si>
  <si>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</si>
  <si>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</si>
  <si>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</si>
  <si>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</si>
  <si>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</si>
  <si>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</si>
  <si>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</si>
  <si>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</si>
  <si>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</si>
  <si>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</si>
  <si>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</si>
  <si>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</si>
  <si>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</si>
  <si>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</si>
  <si>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</si>
  <si>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</si>
  <si>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</si>
  <si>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</si>
  <si>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</si>
  <si>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</si>
  <si>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</si>
  <si>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</si>
  <si>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</si>
  <si>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</si>
  <si>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</si>
  <si>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</si>
  <si>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</si>
  <si>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</si>
  <si>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</si>
  <si>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</si>
  <si>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</si>
  <si>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</si>
  <si>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</si>
  <si>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</si>
  <si>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</si>
  <si>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</si>
  <si>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</si>
  <si>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</si>
  <si>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</si>
  <si>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</si>
  <si>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</si>
  <si>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</si>
  <si>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</si>
  <si>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</si>
  <si>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</si>
  <si>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</si>
  <si>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</si>
  <si>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</si>
  <si>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</si>
  <si>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</si>
  <si>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</si>
  <si>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</si>
  <si>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</si>
  <si>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</si>
  <si>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</si>
  <si>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</si>
  <si>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</si>
  <si>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</si>
  <si>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</si>
  <si>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</si>
  <si>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</si>
  <si>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</si>
  <si>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</si>
  <si>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</si>
  <si>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</si>
  <si>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</si>
  <si>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</si>
  <si>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</si>
  <si>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</si>
  <si>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</si>
  <si>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</si>
  <si>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</si>
  <si>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</si>
  <si>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</si>
  <si>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</si>
  <si>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</si>
  <si>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</si>
  <si>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</si>
  <si>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</si>
  <si>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</si>
  <si>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</si>
  <si>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</si>
  <si>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</si>
  <si>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</si>
  <si>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</si>
  <si>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</si>
  <si>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</si>
  <si>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</si>
  <si>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</si>
  <si>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</si>
  <si>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</si>
  <si>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</si>
  <si>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</si>
  <si>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</si>
  <si>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</si>
  <si>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</si>
  <si>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</si>
  <si>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</si>
  <si>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</si>
  <si>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</si>
  <si>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</si>
  <si>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</si>
  <si>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</si>
  <si>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</si>
  <si>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</si>
  <si>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</si>
  <si>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</si>
  <si>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</si>
  <si>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</si>
  <si>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</si>
  <si>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</si>
  <si>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</si>
  <si>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</si>
  <si>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</si>
  <si>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</si>
  <si>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</si>
  <si>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</si>
  <si>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</si>
  <si>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</si>
  <si>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</si>
  <si>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</si>
  <si>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</si>
  <si>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</si>
  <si>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</si>
  <si>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</si>
  <si>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</si>
  <si>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</si>
  <si>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</si>
  <si>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</si>
  <si>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</si>
  <si>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</si>
  <si>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</si>
  <si>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</si>
  <si>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</si>
  <si>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</si>
  <si>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</si>
  <si>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</si>
  <si>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</si>
  <si>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</si>
  <si>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</si>
  <si>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</si>
  <si>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</si>
  <si>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</si>
  <si>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</si>
  <si>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</si>
  <si>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</si>
  <si>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</si>
  <si>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</si>
  <si>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</si>
  <si>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</si>
  <si>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</si>
  <si>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</si>
  <si>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</si>
  <si>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</si>
  <si>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</si>
  <si>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</si>
  <si>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</si>
  <si>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</si>
  <si>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</si>
  <si>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</si>
  <si>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</si>
  <si>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</si>
  <si>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</si>
  <si>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</si>
  <si>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</si>
  <si>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</si>
  <si>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</si>
  <si>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</si>
  <si>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</si>
  <si>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</si>
  <si>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</si>
  <si>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</si>
  <si>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</si>
  <si>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</si>
  <si>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</si>
  <si>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</si>
  <si>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</si>
  <si>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</si>
  <si>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</si>
  <si>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</si>
  <si>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</si>
  <si>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</si>
  <si>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</si>
  <si>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</si>
  <si>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</si>
  <si>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</si>
  <si>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</si>
  <si>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</si>
  <si>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</si>
  <si>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</si>
  <si>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</si>
  <si>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</si>
  <si>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</si>
  <si>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</si>
  <si>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</si>
  <si>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</si>
  <si>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</si>
  <si>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</si>
  <si>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</si>
  <si>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</si>
  <si>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</si>
  <si>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</si>
  <si>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</si>
  <si>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</si>
  <si>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</si>
  <si>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</si>
  <si>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</si>
  <si>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</si>
  <si>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</si>
  <si>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</si>
  <si>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</si>
  <si>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</si>
  <si>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</si>
  <si>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</si>
  <si>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</si>
  <si>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</si>
  <si>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</si>
  <si>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</si>
  <si>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</si>
  <si>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</si>
  <si>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</si>
  <si>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</si>
  <si>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</si>
  <si>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</si>
  <si>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</si>
  <si>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</si>
  <si>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</si>
  <si>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</si>
  <si>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</si>
  <si>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</si>
  <si>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</si>
  <si>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</si>
  <si>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</si>
  <si>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</si>
  <si>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</si>
  <si>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</si>
  <si>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</si>
  <si>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</si>
  <si>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</si>
  <si>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</si>
  <si>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</si>
  <si>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</si>
  <si>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</si>
  <si>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</si>
  <si>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</si>
  <si>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</si>
  <si>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</si>
  <si>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</si>
  <si>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</si>
  <si>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</si>
  <si>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</si>
  <si>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</si>
  <si>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</si>
  <si>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</si>
  <si>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</si>
  <si>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</si>
  <si>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</si>
  <si>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</si>
  <si>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</si>
  <si>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</si>
  <si>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</si>
  <si>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</si>
  <si>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</si>
  <si>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</si>
  <si>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</si>
  <si>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</si>
  <si>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</si>
  <si>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</si>
  <si>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</si>
  <si>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</si>
  <si>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</si>
  <si>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</si>
  <si>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</si>
  <si>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</si>
  <si>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</si>
  <si>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</si>
  <si>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</si>
  <si>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</si>
  <si>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</si>
  <si>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</si>
  <si>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</si>
  <si>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</si>
  <si>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</si>
  <si>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</si>
  <si>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</si>
  <si>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</si>
  <si>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</si>
  <si>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</si>
  <si>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</si>
  <si>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</si>
  <si>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</si>
  <si>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</si>
  <si>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</si>
  <si>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</si>
  <si>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</si>
  <si>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</si>
  <si>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</si>
  <si>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</si>
  <si>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</si>
  <si>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</si>
  <si>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</si>
  <si>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</si>
  <si>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</si>
  <si>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</si>
  <si>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</si>
  <si>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</si>
  <si>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</si>
  <si>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</si>
  <si>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</si>
  <si>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</si>
  <si>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</si>
  <si>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</si>
  <si>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</si>
  <si>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</si>
  <si>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</si>
  <si>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</si>
  <si>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</si>
  <si>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</si>
  <si>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</si>
  <si>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</si>
  <si>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</si>
  <si>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</si>
  <si>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</si>
  <si>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</si>
  <si>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</si>
  <si>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</si>
  <si>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</si>
  <si>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</si>
  <si>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</si>
  <si>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</si>
  <si>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</si>
  <si>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</si>
  <si>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</si>
  <si>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</si>
  <si>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</si>
  <si>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</si>
  <si>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</si>
  <si>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</si>
  <si>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</si>
  <si>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</si>
  <si>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</si>
  <si>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</si>
  <si>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</si>
  <si>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</si>
  <si>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</si>
  <si>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</si>
  <si>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</si>
  <si>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</si>
  <si>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</si>
  <si>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</si>
  <si>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</si>
  <si>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</si>
  <si>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</si>
  <si>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</si>
  <si>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</si>
  <si>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</si>
  <si>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</si>
  <si>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</si>
  <si>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</si>
  <si>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</si>
  <si>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</si>
  <si>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</si>
  <si>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</si>
  <si>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</si>
  <si>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</si>
  <si>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</si>
  <si>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</si>
  <si>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</si>
  <si>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</si>
  <si>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</si>
  <si>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</si>
  <si>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</si>
  <si>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</si>
  <si>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</si>
  <si>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</si>
  <si>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</si>
  <si>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</si>
  <si>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</si>
  <si>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</si>
  <si>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</si>
  <si>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</si>
  <si>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</si>
  <si>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</si>
  <si>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</si>
  <si>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</si>
  <si>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</si>
  <si>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</si>
  <si>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</si>
  <si>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</si>
  <si>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</si>
  <si>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</si>
  <si>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</si>
  <si>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</si>
  <si>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</si>
  <si>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</si>
  <si>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</si>
  <si>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</si>
  <si>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</si>
  <si>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</si>
  <si>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</si>
  <si>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</si>
  <si>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</si>
  <si>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</si>
  <si>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</si>
  <si>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</si>
  <si>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</si>
  <si>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</si>
  <si>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</si>
  <si>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</si>
  <si>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</si>
  <si>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</si>
  <si>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</si>
  <si>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</si>
  <si>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</si>
  <si>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</si>
  <si>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</si>
  <si>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</si>
  <si>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</si>
  <si>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</si>
  <si>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</si>
  <si>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</si>
  <si>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</si>
  <si>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</si>
  <si>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</si>
  <si>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</si>
  <si>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</si>
  <si>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</si>
  <si>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</si>
  <si>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</si>
  <si>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</si>
  <si>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</si>
  <si>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</si>
  <si>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</si>
  <si>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</si>
  <si>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</si>
  <si>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</si>
  <si>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</si>
  <si>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</si>
  <si>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</si>
  <si>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</si>
  <si>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</si>
  <si>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</si>
  <si>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</si>
  <si>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</si>
  <si>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</si>
  <si>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</si>
  <si>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</si>
  <si>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</si>
  <si>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</si>
  <si>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</si>
  <si>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</si>
  <si>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</si>
  <si>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</si>
  <si>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</si>
  <si>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</si>
  <si>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</si>
  <si>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</si>
  <si>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</si>
  <si>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</si>
  <si>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</si>
  <si>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</si>
  <si>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</si>
  <si>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</si>
  <si>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</si>
  <si>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</si>
  <si>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</si>
  <si>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</si>
  <si>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</si>
  <si>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</si>
  <si>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</si>
  <si>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</si>
  <si>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</si>
  <si>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</si>
  <si>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</si>
  <si>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</si>
  <si>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</si>
  <si>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</si>
  <si>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</si>
  <si>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</si>
  <si>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</si>
  <si>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</si>
  <si>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</si>
  <si>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</si>
  <si>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</si>
  <si>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</si>
  <si>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</si>
  <si>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</si>
  <si>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</si>
  <si>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</si>
  <si>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</si>
  <si>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</si>
  <si>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</si>
  <si>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</si>
  <si>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</si>
  <si>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</si>
  <si>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</si>
  <si>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</si>
  <si>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</si>
  <si>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</si>
  <si>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</si>
  <si>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</si>
  <si>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</si>
  <si>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</si>
  <si>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</si>
  <si>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</si>
  <si>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</si>
  <si>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</si>
  <si>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</si>
  <si>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</si>
  <si>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</si>
  <si>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</si>
  <si>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</si>
  <si>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</si>
  <si>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</si>
  <si>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</si>
  <si>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</si>
  <si>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</si>
  <si>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</si>
  <si>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</si>
  <si>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</si>
  <si>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</si>
  <si>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</si>
  <si>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</si>
  <si>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</si>
  <si>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</si>
  <si>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</si>
  <si>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</si>
  <si>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</si>
  <si>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</si>
  <si>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</si>
  <si>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</si>
  <si>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</si>
  <si>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</si>
  <si>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</si>
  <si>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</si>
  <si>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</si>
  <si>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</si>
  <si>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</si>
  <si>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</si>
  <si>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</si>
  <si>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</si>
  <si>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</si>
  <si>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</si>
  <si>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</si>
  <si>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</si>
  <si>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</si>
  <si>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</si>
  <si>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</si>
  <si>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</si>
  <si>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</si>
  <si>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</si>
  <si>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</si>
  <si>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</si>
  <si>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</si>
  <si>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</si>
  <si>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</si>
  <si>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</si>
  <si>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</si>
  <si>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</si>
  <si>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</si>
  <si>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</si>
  <si>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</si>
  <si>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</si>
  <si>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</si>
  <si>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</si>
  <si>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</si>
  <si>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</si>
  <si>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</si>
  <si>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</si>
  <si>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</si>
  <si>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</si>
  <si>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</si>
  <si>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</si>
  <si>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</si>
  <si>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</si>
  <si>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</si>
  <si>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</si>
  <si>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</si>
  <si>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</si>
  <si>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</si>
  <si>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</si>
  <si>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</si>
  <si>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</si>
  <si>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</si>
  <si>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</si>
  <si>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</si>
  <si>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</si>
  <si>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</si>
  <si>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</si>
  <si>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</si>
  <si>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</si>
  <si>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</si>
  <si>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</si>
  <si>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</si>
  <si>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</si>
  <si>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</si>
  <si>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</si>
  <si>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</si>
  <si>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</si>
  <si>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</si>
  <si>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</si>
  <si>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</si>
  <si>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</si>
  <si>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</si>
  <si>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</si>
  <si>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</si>
  <si>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</si>
  <si>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</si>
  <si>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</si>
  <si>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</si>
  <si>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</si>
  <si>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</si>
  <si>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</si>
  <si>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</si>
  <si>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</si>
  <si>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</si>
  <si>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</si>
  <si>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</si>
  <si>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</si>
  <si>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</si>
  <si>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</si>
  <si>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</si>
  <si>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</si>
  <si>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</si>
  <si>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</si>
  <si>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</si>
  <si>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</si>
  <si>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</si>
  <si>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</si>
  <si>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</si>
  <si>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</si>
  <si>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</si>
  <si>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</si>
  <si>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</si>
  <si>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</si>
  <si>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</si>
  <si>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</si>
  <si>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</si>
  <si>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</si>
  <si>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</si>
  <si>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</si>
  <si>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</si>
  <si>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</si>
  <si>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</si>
  <si>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</si>
  <si>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</si>
  <si>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</si>
  <si>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</si>
  <si>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</si>
  <si>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</si>
  <si>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</si>
  <si>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</si>
  <si>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</si>
  <si>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</si>
  <si>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</si>
  <si>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</si>
  <si>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</si>
  <si>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</si>
  <si>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</si>
  <si>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</si>
  <si>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</si>
  <si>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</si>
  <si>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</si>
  <si>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</si>
  <si>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</si>
  <si>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</si>
  <si>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</si>
  <si>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</si>
  <si>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</si>
  <si>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</si>
  <si>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</si>
  <si>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</si>
  <si>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</si>
  <si>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</si>
  <si>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</si>
  <si>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</si>
  <si>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</si>
  <si>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</si>
  <si>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</si>
  <si>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</si>
  <si>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</si>
  <si>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</si>
  <si>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</si>
  <si>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</si>
  <si>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</si>
  <si>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</si>
  <si>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</si>
  <si>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</si>
  <si>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</si>
  <si>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</si>
  <si>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</si>
  <si>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</si>
  <si>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</si>
  <si>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</si>
  <si>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</si>
  <si>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</si>
  <si>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</si>
  <si>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</si>
  <si>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</si>
  <si>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</si>
  <si>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</si>
  <si>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</si>
  <si>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</si>
  <si>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</si>
  <si>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</si>
  <si>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</si>
  <si>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</si>
  <si>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</si>
  <si>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</si>
  <si>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</si>
  <si>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</si>
  <si>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</si>
  <si>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</si>
  <si>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</si>
  <si>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</si>
  <si>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</si>
  <si>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</si>
  <si>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</si>
  <si>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</si>
  <si>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</si>
  <si>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</si>
  <si>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</si>
  <si>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</si>
  <si>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</si>
  <si>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</si>
  <si>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</si>
  <si>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</si>
  <si>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</si>
  <si>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</si>
  <si>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</si>
  <si>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</si>
  <si>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</si>
  <si>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</si>
  <si>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</si>
  <si>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</si>
  <si>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</si>
  <si>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</si>
  <si>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</si>
  <si>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</si>
  <si>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</si>
  <si>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</si>
  <si>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</si>
  <si>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</si>
  <si>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</si>
  <si>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</si>
  <si>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</si>
  <si>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</si>
  <si>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</si>
  <si>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</si>
  <si>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</si>
  <si>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</si>
  <si>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</si>
  <si>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</si>
  <si>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</si>
  <si>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</si>
  <si>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</si>
  <si>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</si>
  <si>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</si>
  <si>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</si>
  <si>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</si>
  <si>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</si>
  <si>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</si>
  <si>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</si>
  <si>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</si>
  <si>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</si>
  <si>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</si>
  <si>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</si>
  <si>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</si>
  <si>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</si>
  <si>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</si>
  <si>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</si>
  <si>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</si>
  <si>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</si>
  <si>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</si>
  <si>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</si>
  <si>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</si>
  <si>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</si>
  <si>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</si>
  <si>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</si>
  <si>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</si>
  <si>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</si>
  <si>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</si>
  <si>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</si>
  <si>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</si>
  <si>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</si>
  <si>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</si>
  <si>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</si>
  <si>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</si>
  <si>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</si>
  <si>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</si>
  <si>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</si>
  <si>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</si>
  <si>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</si>
  <si>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</si>
  <si>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</si>
  <si>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</si>
  <si>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</si>
  <si>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</si>
  <si>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</si>
  <si>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</si>
  <si>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</si>
  <si>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</si>
  <si>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</si>
  <si>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</si>
  <si>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</si>
  <si>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</si>
  <si>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</si>
  <si>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</si>
  <si>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</si>
  <si>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</si>
  <si>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</si>
  <si>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</si>
  <si>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</si>
  <si>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</si>
  <si>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</si>
  <si>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</si>
  <si>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</si>
  <si>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</si>
  <si>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</si>
  <si>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</si>
  <si>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</si>
  <si>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</si>
  <si>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</si>
  <si>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</si>
  <si>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</si>
  <si>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</si>
  <si>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</si>
  <si>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</si>
  <si>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</si>
  <si>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</si>
  <si>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</si>
  <si>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</si>
  <si>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</si>
  <si>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</si>
  <si>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</si>
  <si>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</si>
  <si>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</si>
  <si>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</si>
  <si>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</si>
  <si>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</si>
  <si>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</si>
  <si>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</si>
  <si>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</si>
  <si>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</si>
  <si>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</si>
  <si>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</si>
  <si>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</si>
  <si>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</si>
  <si>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</si>
  <si>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</si>
  <si>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</si>
  <si>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</si>
  <si>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</si>
  <si>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</si>
  <si>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</si>
  <si>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</si>
  <si>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</si>
  <si>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</si>
  <si>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</si>
  <si>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</si>
  <si>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</si>
  <si>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</si>
  <si>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</si>
  <si>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</si>
  <si>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</si>
  <si>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</si>
  <si>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</si>
  <si>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</si>
  <si>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</si>
  <si>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</si>
  <si>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</si>
  <si>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</si>
  <si>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</si>
  <si>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</si>
  <si>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</si>
  <si>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</si>
  <si>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</si>
  <si>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</si>
  <si>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</si>
  <si>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</si>
  <si>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</si>
  <si>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</si>
  <si>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</si>
  <si>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</si>
  <si>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</si>
  <si>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</si>
  <si>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</si>
  <si>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</si>
  <si>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</si>
  <si>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</si>
  <si>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</si>
  <si>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</si>
  <si>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</si>
  <si>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</si>
  <si>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</si>
  <si>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</si>
  <si>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</si>
  <si>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</si>
  <si>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</si>
  <si>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</si>
  <si>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</si>
  <si>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</si>
  <si>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</si>
  <si>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</si>
  <si>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</si>
  <si>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</si>
  <si>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</si>
  <si>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</si>
  <si>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</si>
  <si>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</si>
  <si>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</si>
  <si>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</si>
  <si>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</si>
  <si>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</si>
  <si>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</si>
  <si>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</si>
  <si>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</si>
  <si>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</si>
  <si>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</si>
  <si>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</si>
  <si>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</si>
  <si>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</si>
  <si>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</si>
  <si>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</si>
  <si>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</si>
  <si>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</si>
  <si>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</si>
  <si>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</si>
  <si>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</si>
  <si>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</si>
  <si>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</si>
  <si>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</si>
  <si>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</si>
  <si>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</si>
  <si>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</si>
  <si>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</si>
  <si>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</si>
  <si>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</si>
  <si>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</si>
  <si>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</si>
  <si>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</si>
  <si>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</si>
  <si>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</si>
  <si>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</si>
  <si>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</si>
  <si>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</si>
  <si>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</si>
  <si>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</si>
  <si>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</si>
  <si>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</si>
  <si>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</si>
  <si>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</si>
  <si>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</si>
  <si>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</si>
  <si>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</si>
  <si>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</si>
  <si>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</si>
  <si>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</si>
  <si>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</si>
  <si>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</si>
  <si>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</si>
  <si>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</si>
  <si>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</si>
  <si>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</si>
  <si>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</si>
  <si>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</si>
  <si>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</si>
  <si>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</si>
  <si>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</si>
  <si>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</si>
  <si>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</si>
  <si>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</si>
  <si>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</si>
  <si>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</si>
  <si>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</si>
  <si>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</si>
  <si>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</si>
  <si>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</si>
  <si>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</si>
  <si>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</si>
  <si>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</si>
  <si>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</si>
  <si>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</si>
  <si>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</si>
  <si>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</si>
  <si>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</si>
  <si>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</si>
  <si>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</si>
  <si>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</si>
  <si>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</si>
  <si>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</si>
  <si>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</si>
  <si>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</si>
  <si>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</si>
  <si>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</si>
  <si>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</si>
  <si>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</si>
  <si>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</si>
  <si>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</si>
  <si>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</si>
  <si>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</si>
  <si>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</si>
  <si>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</si>
  <si>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</si>
  <si>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</si>
  <si>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</si>
  <si>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</si>
  <si>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</si>
  <si>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</si>
  <si>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</si>
  <si>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</si>
  <si>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</si>
  <si>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</si>
  <si>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</si>
  <si>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</si>
  <si>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</si>
  <si>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</si>
  <si>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</si>
  <si>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</si>
  <si>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</si>
  <si>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</si>
  <si>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</si>
  <si>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</si>
  <si>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</si>
  <si>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</si>
  <si>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</si>
  <si>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</si>
  <si>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</si>
  <si>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</si>
  <si>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</si>
  <si>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</si>
  <si>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</si>
  <si>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</si>
  <si>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</si>
  <si>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</si>
  <si>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</si>
  <si>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</si>
  <si>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</si>
  <si>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</si>
  <si>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</si>
  <si>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</si>
  <si>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</si>
  <si>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</si>
  <si>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</si>
  <si>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</si>
  <si>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</si>
  <si>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</si>
  <si>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</si>
  <si>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</si>
  <si>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</si>
  <si>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</si>
  <si>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</si>
  <si>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</si>
  <si>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</si>
  <si>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</si>
  <si>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</si>
  <si>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</si>
  <si>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</si>
  <si>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</si>
  <si>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</si>
  <si>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</si>
  <si>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</si>
  <si>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</si>
  <si>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</si>
  <si>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</si>
  <si>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</si>
  <si>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</si>
  <si>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</si>
  <si>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</si>
  <si>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</si>
  <si>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</si>
  <si>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</si>
  <si>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</si>
  <si>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</si>
  <si>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</si>
  <si>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</si>
  <si>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</si>
  <si>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</si>
  <si>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</si>
  <si>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</si>
  <si>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</si>
  <si>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</si>
  <si>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</si>
  <si>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</si>
  <si>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</si>
  <si>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</si>
  <si>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</si>
  <si>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</si>
  <si>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</si>
  <si>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</si>
  <si>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</si>
  <si>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</si>
  <si>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</si>
  <si>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</si>
  <si>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</si>
  <si>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</si>
  <si>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</si>
  <si>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</si>
  <si>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</si>
  <si>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</si>
  <si>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</si>
  <si>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</si>
  <si>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</si>
  <si>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</si>
  <si>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</si>
  <si>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</si>
  <si>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</si>
  <si>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</si>
  <si>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</si>
  <si>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</si>
  <si>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</si>
  <si>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</si>
  <si>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</si>
  <si>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</si>
  <si>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</si>
  <si>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</si>
  <si>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</si>
  <si>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</si>
  <si>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</si>
  <si>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</si>
  <si>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</si>
  <si>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</si>
  <si>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</si>
  <si>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</si>
  <si>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</si>
  <si>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</si>
  <si>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</si>
  <si>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</si>
  <si>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</si>
  <si>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</si>
  <si>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</si>
  <si>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</si>
  <si>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</si>
  <si>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</si>
  <si>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</si>
  <si>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</si>
  <si>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</si>
  <si>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</si>
  <si>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</si>
  <si>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</si>
  <si>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</si>
  <si>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</si>
  <si>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</si>
  <si>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</si>
  <si>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</si>
  <si>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</si>
  <si>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</si>
  <si>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</si>
  <si>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</si>
  <si>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</si>
  <si>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</si>
  <si>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</si>
  <si>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</si>
  <si>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</si>
  <si>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</si>
  <si>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</si>
  <si>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</si>
  <si>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</si>
  <si>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</si>
  <si>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</si>
  <si>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</si>
  <si>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</si>
  <si>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</si>
  <si>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</si>
  <si>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</si>
  <si>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</si>
  <si>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</si>
  <si>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</si>
  <si>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</si>
  <si>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</si>
  <si>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</si>
  <si>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</si>
  <si>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</si>
  <si>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</si>
  <si>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</si>
  <si>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</si>
  <si>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</si>
  <si>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</si>
  <si>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</si>
  <si>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</si>
  <si>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</si>
  <si>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</si>
  <si>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</si>
  <si>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</si>
  <si>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</si>
  <si>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</si>
  <si>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</si>
  <si>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</si>
  <si>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</si>
  <si>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</si>
  <si>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</si>
  <si>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</si>
  <si>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</si>
  <si>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</si>
  <si>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</si>
  <si>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</si>
  <si>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</si>
  <si>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</si>
  <si>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</si>
  <si>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</si>
  <si>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</si>
  <si>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</si>
  <si>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</si>
  <si>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</si>
  <si>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</si>
  <si>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</si>
  <si>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</si>
  <si>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</si>
  <si>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</si>
  <si>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</si>
  <si>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</si>
  <si>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</si>
  <si>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</si>
  <si>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</si>
  <si>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</si>
  <si>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</si>
  <si>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</si>
  <si>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</si>
  <si>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</si>
  <si>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</si>
  <si>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</si>
  <si>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</si>
  <si>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</si>
  <si>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</si>
  <si>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</si>
  <si>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</si>
  <si>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</si>
  <si>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</si>
  <si>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</si>
  <si>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</si>
  <si>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</si>
  <si>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</si>
  <si>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</si>
  <si>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</si>
  <si>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</si>
  <si>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</si>
  <si>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</si>
  <si>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</si>
  <si>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</si>
  <si>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</si>
  <si>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</si>
  <si>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</si>
  <si>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</si>
  <si>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</si>
  <si>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</si>
  <si>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</si>
  <si>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</si>
  <si>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</si>
  <si>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</si>
  <si>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</si>
  <si>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</si>
  <si>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</si>
  <si>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</si>
  <si>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</si>
  <si>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</si>
  <si>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</si>
  <si>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</si>
  <si>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</si>
  <si>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</si>
  <si>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</si>
  <si>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</si>
  <si>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</si>
  <si>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</si>
  <si>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</si>
  <si>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</si>
  <si>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</si>
  <si>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</si>
  <si>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</si>
  <si>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</si>
  <si>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</si>
  <si>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</si>
  <si>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</si>
  <si>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</si>
  <si>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</si>
  <si>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</si>
  <si>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</si>
  <si>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</si>
  <si>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</si>
  <si>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</si>
  <si>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</si>
  <si>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</si>
  <si>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</si>
  <si>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</si>
  <si>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</si>
  <si>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</si>
  <si>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</si>
  <si>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</si>
  <si>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</si>
  <si>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</si>
  <si>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</si>
  <si>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</si>
  <si>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</si>
  <si>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</si>
  <si>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</si>
  <si>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</si>
  <si>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</si>
  <si>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</si>
  <si>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</si>
  <si>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</si>
  <si>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</si>
  <si>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</si>
  <si>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</si>
  <si>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</si>
  <si>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</si>
  <si>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</si>
  <si>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</si>
  <si>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</si>
  <si>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</si>
  <si>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</si>
  <si>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</si>
  <si>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</si>
  <si>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</si>
  <si>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</si>
  <si>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</si>
  <si>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</si>
  <si>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</si>
  <si>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</si>
  <si>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</si>
  <si>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</si>
  <si>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</si>
  <si>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</si>
  <si>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</si>
  <si>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</si>
  <si>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</si>
  <si>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</si>
  <si>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</si>
  <si>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</si>
  <si>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</si>
  <si>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</si>
  <si>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</si>
  <si>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</si>
  <si>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</si>
  <si>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</si>
  <si>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</si>
  <si>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</si>
  <si>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</si>
  <si>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</si>
  <si>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</si>
  <si>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</si>
  <si>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</si>
  <si>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</si>
  <si>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</si>
  <si>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</si>
  <si>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</si>
  <si>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</si>
  <si>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</si>
  <si>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</si>
  <si>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</si>
  <si>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</si>
  <si>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</si>
  <si>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</si>
  <si>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</si>
  <si>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</si>
  <si>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</si>
  <si>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</si>
  <si>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</si>
  <si>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</si>
  <si>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</si>
  <si>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</si>
  <si>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</si>
  <si>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</si>
  <si>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</si>
  <si>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</si>
  <si>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</si>
  <si>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</si>
  <si>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</si>
  <si>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</si>
  <si>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</si>
  <si>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</si>
  <si>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</si>
  <si>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</si>
  <si>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</si>
  <si>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</si>
  <si>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</si>
  <si>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</si>
  <si>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</si>
  <si>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</si>
  <si>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</si>
  <si>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</si>
  <si>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</si>
  <si>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</si>
  <si>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</si>
  <si>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</si>
  <si>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</si>
  <si>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</si>
  <si>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</si>
  <si>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</si>
  <si>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</si>
  <si>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</si>
  <si>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</si>
  <si>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</si>
  <si>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</si>
  <si>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</si>
  <si>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</si>
  <si>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</si>
  <si>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</si>
  <si>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</si>
  <si>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</si>
  <si>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</si>
  <si>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</si>
  <si>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</si>
  <si>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</si>
  <si>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</si>
  <si>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</si>
  <si>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</si>
  <si>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</si>
  <si>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</si>
  <si>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</si>
  <si>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</si>
  <si>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</si>
  <si>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</si>
  <si>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</si>
  <si>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</si>
  <si>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</si>
  <si>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</si>
  <si>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</si>
  <si>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</si>
  <si>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</si>
  <si>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</si>
  <si>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</si>
  <si>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</si>
  <si>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</si>
  <si>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</si>
  <si>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</si>
  <si>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</si>
  <si>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</si>
  <si>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</si>
  <si>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</si>
  <si>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</si>
  <si>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</si>
  <si>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</si>
  <si>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</si>
  <si>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</si>
  <si>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</si>
  <si>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</si>
  <si>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</si>
  <si>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</si>
  <si>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</si>
  <si>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</si>
  <si>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</si>
  <si>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</si>
  <si>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</si>
  <si>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</si>
  <si>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</si>
  <si>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</si>
  <si>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</si>
  <si>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</si>
  <si>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</si>
  <si>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</si>
  <si>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</si>
  <si>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</si>
  <si>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</si>
  <si>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</si>
  <si>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</si>
  <si>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</si>
  <si>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</si>
  <si>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</si>
  <si>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</si>
  <si>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</si>
  <si>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</si>
  <si>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</si>
  <si>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</si>
  <si>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</si>
  <si>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</si>
  <si>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</si>
  <si>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</si>
  <si>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</si>
  <si>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</si>
  <si>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</si>
  <si>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</si>
  <si>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</si>
  <si>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</si>
  <si>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</si>
  <si>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</si>
  <si>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</si>
  <si>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</si>
  <si>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</si>
  <si>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</si>
  <si>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</si>
  <si>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</si>
  <si>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</si>
  <si>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</si>
  <si>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</si>
  <si>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</si>
  <si>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</si>
  <si>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</si>
  <si>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</si>
  <si>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</si>
  <si>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</si>
  <si>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</si>
  <si>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</si>
  <si>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</si>
  <si>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</si>
  <si>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</si>
  <si>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</si>
  <si>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</si>
  <si>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</si>
  <si>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</si>
  <si>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</si>
  <si>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</si>
  <si>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</si>
  <si>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</si>
  <si>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</si>
  <si>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</si>
  <si>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</si>
  <si>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</si>
  <si>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</si>
  <si>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</si>
  <si>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</si>
  <si>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</si>
  <si>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</si>
  <si>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</si>
  <si>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</si>
  <si>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</si>
  <si>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</si>
  <si>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</si>
  <si>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</si>
  <si>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</si>
  <si>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</si>
  <si>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</si>
  <si>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</si>
  <si>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</si>
  <si>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</si>
  <si>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</si>
  <si>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</si>
  <si>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</si>
  <si>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</si>
  <si>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</si>
  <si>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</si>
  <si>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</si>
  <si>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</si>
  <si>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</si>
  <si>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</si>
  <si>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</si>
  <si>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</si>
  <si>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</si>
  <si>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</si>
  <si>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</si>
  <si>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</si>
  <si>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</si>
  <si>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</si>
  <si>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</si>
  <si>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</si>
  <si>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</si>
  <si>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</si>
  <si>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</si>
  <si>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</si>
  <si>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</si>
  <si>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</si>
  <si>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</si>
  <si>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</si>
  <si>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</si>
  <si>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</si>
  <si>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</si>
  <si>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</si>
  <si>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</si>
  <si>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</si>
  <si>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</si>
  <si>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</si>
  <si>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</si>
  <si>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</si>
  <si>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</si>
  <si>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</si>
  <si>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</si>
  <si>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</si>
  <si>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</si>
  <si>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</si>
  <si>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</si>
  <si>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</si>
  <si>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</si>
  <si>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</si>
  <si>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</si>
  <si>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</si>
  <si>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</si>
  <si>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</si>
  <si>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</si>
  <si>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</si>
  <si>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</si>
  <si>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</si>
  <si>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</si>
  <si>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</si>
  <si>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</si>
  <si>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</si>
  <si>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</si>
  <si>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</si>
  <si>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</si>
  <si>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</si>
  <si>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</si>
  <si>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</si>
  <si>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</si>
  <si>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</si>
  <si>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</si>
  <si>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</si>
  <si>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</si>
  <si>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</si>
  <si>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</si>
  <si>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</si>
  <si>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</si>
  <si>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</si>
  <si>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</si>
  <si>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</si>
  <si>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</si>
  <si>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</si>
  <si>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</si>
  <si>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</si>
  <si>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</si>
  <si>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</si>
  <si>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</si>
  <si>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</si>
  <si>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</si>
  <si>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</si>
  <si>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</si>
  <si>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</si>
  <si>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</si>
  <si>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</si>
  <si>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</si>
  <si>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</si>
  <si>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</si>
  <si>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</si>
  <si>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</si>
  <si>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</si>
  <si>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</si>
  <si>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</si>
  <si>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</si>
  <si>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</si>
  <si>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</si>
  <si>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</si>
  <si>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</si>
  <si>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</si>
  <si>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</si>
  <si>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</si>
  <si>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</si>
  <si>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</si>
  <si>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</si>
  <si>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</si>
  <si>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</si>
  <si>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</si>
  <si>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</si>
  <si>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</si>
  <si>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</si>
  <si>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</si>
  <si>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</si>
  <si>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</si>
  <si>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</si>
  <si>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</si>
  <si>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</si>
  <si>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</si>
  <si>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</si>
  <si>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</si>
  <si>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</si>
  <si>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</si>
  <si>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</si>
  <si>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</si>
  <si>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</si>
  <si>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</si>
  <si>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</si>
  <si>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</si>
  <si>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</si>
  <si>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</si>
  <si>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</si>
  <si>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</si>
  <si>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</si>
  <si>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</si>
  <si>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</si>
  <si>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</si>
  <si>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</si>
  <si>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</si>
  <si>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</si>
  <si>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</si>
  <si>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</si>
  <si>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</si>
  <si>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</si>
  <si>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</si>
  <si>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</si>
  <si>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</si>
  <si>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</si>
  <si>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</si>
  <si>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</si>
  <si>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</si>
  <si>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</si>
  <si>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</si>
  <si>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</si>
  <si>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</si>
  <si>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</si>
  <si>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</si>
  <si>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</si>
  <si>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</si>
  <si>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</si>
  <si>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</si>
  <si>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</si>
  <si>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</si>
  <si>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</si>
  <si>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</si>
  <si>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</si>
  <si>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</si>
  <si>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</si>
  <si>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</si>
  <si>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</si>
  <si>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</si>
  <si>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</si>
  <si>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</si>
  <si>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</si>
  <si>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</si>
  <si>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</si>
  <si>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</si>
  <si>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</si>
  <si>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</si>
  <si>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</si>
  <si>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</si>
  <si>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</si>
  <si>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</si>
  <si>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</si>
  <si>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</si>
  <si>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</si>
  <si>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</si>
  <si>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</si>
  <si>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</si>
  <si>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</si>
  <si>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</si>
  <si>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</si>
  <si>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</si>
  <si>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</si>
  <si>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</si>
  <si>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</si>
  <si>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</si>
  <si>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</si>
  <si>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</si>
  <si>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</si>
  <si>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</si>
  <si>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</si>
  <si>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</si>
  <si>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</si>
  <si>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</si>
  <si>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</si>
  <si>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</si>
  <si>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</si>
  <si>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</si>
  <si>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</si>
  <si>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</si>
  <si>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</si>
  <si>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</si>
  <si>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</si>
  <si>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</si>
  <si>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</si>
  <si>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</si>
  <si>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</si>
  <si>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</si>
  <si>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</si>
  <si>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</si>
  <si>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</si>
  <si>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</si>
  <si>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</si>
  <si>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</si>
  <si>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</si>
  <si>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</si>
  <si>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</si>
  <si>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</si>
  <si>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</si>
  <si>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</si>
  <si>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</si>
  <si>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</si>
  <si>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</si>
  <si>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</si>
  <si>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</si>
  <si>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</si>
  <si>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</si>
  <si>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</si>
  <si>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</si>
  <si>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</si>
  <si>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</si>
  <si>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</si>
  <si>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</si>
  <si>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</si>
  <si>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</si>
  <si>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</si>
  <si>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</si>
  <si>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</si>
  <si>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</si>
  <si>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</si>
  <si>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</si>
  <si>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</si>
  <si>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</si>
  <si>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</si>
  <si>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</si>
  <si>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</si>
  <si>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</si>
  <si>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</si>
  <si>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</si>
  <si>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</si>
  <si>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</si>
  <si>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</si>
  <si>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</si>
  <si>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</si>
  <si>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</si>
  <si>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</si>
  <si>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</si>
  <si>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</si>
  <si>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</si>
  <si>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</si>
  <si>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</si>
  <si>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</si>
  <si>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</si>
  <si>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</si>
  <si>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</si>
  <si>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</si>
  <si>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</si>
  <si>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</si>
  <si>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</si>
  <si>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</si>
  <si>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</si>
  <si>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</si>
  <si>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</si>
  <si>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</si>
  <si>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</si>
  <si>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</si>
  <si>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</si>
  <si>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</si>
  <si>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</si>
  <si>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</si>
  <si>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</si>
  <si>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</si>
  <si>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</si>
  <si>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</si>
  <si>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</si>
  <si>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</si>
  <si>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</si>
  <si>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</si>
  <si>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</si>
  <si>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</si>
  <si>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</si>
  <si>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</si>
  <si>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</si>
  <si>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</si>
  <si>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</si>
  <si>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</si>
  <si>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</si>
  <si>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</si>
  <si>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</si>
  <si>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</si>
  <si>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</si>
  <si>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</si>
  <si>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</si>
  <si>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</si>
  <si>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</si>
  <si>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</si>
  <si>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</si>
  <si>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</si>
  <si>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</si>
  <si>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</si>
  <si>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</si>
  <si>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</si>
  <si>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</si>
  <si>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</si>
  <si>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</si>
  <si>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</si>
  <si>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</si>
  <si>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</si>
  <si>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</si>
  <si>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</si>
  <si>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</si>
  <si>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</si>
  <si>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</si>
  <si>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</si>
  <si>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</si>
  <si>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</si>
  <si>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</si>
  <si>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</si>
  <si>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</si>
  <si>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</si>
  <si>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</si>
  <si>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</si>
  <si>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</si>
  <si>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</si>
  <si>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</si>
  <si>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</si>
  <si>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</si>
  <si>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</si>
  <si>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</si>
  <si>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</si>
  <si>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</si>
  <si>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</si>
  <si>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</si>
  <si>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</si>
  <si>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</si>
  <si>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</si>
  <si>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</si>
  <si>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</si>
  <si>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</si>
  <si>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</si>
  <si>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</si>
  <si>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</si>
  <si>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</si>
  <si>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</si>
  <si>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</si>
  <si>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</si>
  <si>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</si>
  <si>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</si>
  <si>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</si>
  <si>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</si>
  <si>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</si>
  <si>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</si>
  <si>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</si>
  <si>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</si>
  <si>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</si>
  <si>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</si>
  <si>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</si>
  <si>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</si>
  <si>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</si>
  <si>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</si>
  <si>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</si>
  <si>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</si>
  <si>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</si>
  <si>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</si>
  <si>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</si>
  <si>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</si>
  <si>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</si>
  <si>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</si>
  <si>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</si>
  <si>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</si>
  <si>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</si>
  <si>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</si>
  <si>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</si>
  <si>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</si>
  <si>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</si>
  <si>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</si>
  <si>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</si>
  <si>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</si>
  <si>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</si>
  <si>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</si>
  <si>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</si>
  <si>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</si>
  <si>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</si>
  <si>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</si>
  <si>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</si>
  <si>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</si>
  <si>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</si>
  <si>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</si>
  <si>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</si>
  <si>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</si>
  <si>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</si>
  <si>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</si>
  <si>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</si>
  <si>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</si>
  <si>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</si>
  <si>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</si>
  <si>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</si>
  <si>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</si>
  <si>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</si>
  <si>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</si>
  <si>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</si>
  <si>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</si>
  <si>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</si>
  <si>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</si>
  <si>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</si>
  <si>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</si>
  <si>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</si>
  <si>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</si>
  <si>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</si>
  <si>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</si>
  <si>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</si>
  <si>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</si>
  <si>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</si>
  <si>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</si>
  <si>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</si>
  <si>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</si>
  <si>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</si>
  <si>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</si>
  <si>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</si>
  <si>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</si>
  <si>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</si>
  <si>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</si>
  <si>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</si>
  <si>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</si>
  <si>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</si>
  <si>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</si>
  <si>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</si>
  <si>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</si>
  <si>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</si>
  <si>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</si>
  <si>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</si>
  <si>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</si>
  <si>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</si>
  <si>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</si>
  <si>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</si>
  <si>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</si>
  <si>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</si>
  <si>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</si>
  <si>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</si>
  <si>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</si>
  <si>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</si>
  <si>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</si>
  <si>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</si>
  <si>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</si>
  <si>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</si>
  <si>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</si>
  <si>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</si>
  <si>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</si>
  <si>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</si>
  <si>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</si>
  <si>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</si>
  <si>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</si>
  <si>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</si>
  <si>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</si>
  <si>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</si>
  <si>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</si>
  <si>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</si>
  <si>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</si>
  <si>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</si>
  <si>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</si>
  <si>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</si>
  <si>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</si>
  <si>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</si>
  <si>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</si>
  <si>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</si>
  <si>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</si>
  <si>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</si>
  <si>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</si>
  <si>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</si>
  <si>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</si>
  <si>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</si>
  <si>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</si>
  <si>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</si>
  <si>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</si>
  <si>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</si>
  <si>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</si>
  <si>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</si>
  <si>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</si>
  <si>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</si>
  <si>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</si>
  <si>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</si>
  <si>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</si>
  <si>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</si>
  <si>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</si>
  <si>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</si>
  <si>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</si>
  <si>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</si>
  <si>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</si>
  <si>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</si>
  <si>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</si>
  <si>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</si>
  <si>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</si>
  <si>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</si>
  <si>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</si>
  <si>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</si>
  <si>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</si>
  <si>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</si>
  <si>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</si>
  <si>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</si>
  <si>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</si>
  <si>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</si>
  <si>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</si>
  <si>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</si>
  <si>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</si>
  <si>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</si>
  <si>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</si>
  <si>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</si>
  <si>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</si>
  <si>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</si>
  <si>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</si>
  <si>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</si>
  <si>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</si>
  <si>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</si>
  <si>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</si>
  <si>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</si>
  <si>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</si>
  <si>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</si>
  <si>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</si>
  <si>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</si>
  <si>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</si>
  <si>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</si>
  <si>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</si>
  <si>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</si>
  <si>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</si>
  <si>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</si>
  <si>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</si>
  <si>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</si>
  <si>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</si>
  <si>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</si>
  <si>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</si>
  <si>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</si>
  <si>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</si>
  <si>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</si>
  <si>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</si>
  <si>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</si>
  <si>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</si>
  <si>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</si>
  <si>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</si>
  <si>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</si>
  <si>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</si>
  <si>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</si>
  <si>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</si>
  <si>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</si>
  <si>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</si>
  <si>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</si>
  <si>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</si>
  <si>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</si>
  <si>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</si>
  <si>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</si>
  <si>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</si>
  <si>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</si>
  <si>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</si>
  <si>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</si>
  <si>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</si>
  <si>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</si>
  <si>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</si>
  <si>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</si>
  <si>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</si>
  <si>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</si>
  <si>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</si>
  <si>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</si>
  <si>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</si>
  <si>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</si>
  <si>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</si>
  <si>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</si>
  <si>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</si>
  <si>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</si>
  <si>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</si>
  <si>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</si>
  <si>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</si>
  <si>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</si>
  <si>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</si>
  <si>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</si>
  <si>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</si>
  <si>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</si>
  <si>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</si>
  <si>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</si>
  <si>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</si>
  <si>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</si>
  <si>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</si>
  <si>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</si>
  <si>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</si>
  <si>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</si>
  <si>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</si>
  <si>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</si>
  <si>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</si>
  <si>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</si>
  <si>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</si>
  <si>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</si>
  <si>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</si>
  <si>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</si>
  <si>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</si>
  <si>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</si>
  <si>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</si>
  <si>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</si>
  <si>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</si>
  <si>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</si>
  <si>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</si>
  <si>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</si>
  <si>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</si>
  <si>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</si>
  <si>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</si>
  <si>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</si>
  <si>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</si>
  <si>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</si>
  <si>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</si>
  <si>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</si>
  <si>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</si>
  <si>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</si>
  <si>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</si>
  <si>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</si>
  <si>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</si>
  <si>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</si>
  <si>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</si>
  <si>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</si>
  <si>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</si>
  <si>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</si>
  <si>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</si>
  <si>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</si>
  <si>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</si>
  <si>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</si>
  <si>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</si>
  <si>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</si>
  <si>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</si>
  <si>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</si>
  <si>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</si>
  <si>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</si>
  <si>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</si>
  <si>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</si>
  <si>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</si>
  <si>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</si>
  <si>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</si>
  <si>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</si>
  <si>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</si>
  <si>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</si>
  <si>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</si>
  <si>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</si>
  <si>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</si>
  <si>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</si>
  <si>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</si>
  <si>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</si>
  <si>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</si>
  <si>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</si>
  <si>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</si>
  <si>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</si>
  <si>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</si>
  <si>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</si>
  <si>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</si>
  <si>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</si>
  <si>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</si>
  <si>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</si>
  <si>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</si>
  <si>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</si>
  <si>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</si>
  <si>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</si>
  <si>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</si>
  <si>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</si>
  <si>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</si>
  <si>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</si>
  <si>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</si>
  <si>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</si>
  <si>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</si>
  <si>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</si>
  <si>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</si>
  <si>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</si>
  <si>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</si>
  <si>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</si>
  <si>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</si>
  <si>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</si>
  <si>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</si>
  <si>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</si>
  <si>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</si>
  <si>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</si>
  <si>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</si>
  <si>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</si>
  <si>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</si>
  <si>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</si>
  <si>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</si>
  <si>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</si>
  <si>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</si>
  <si>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</si>
  <si>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</si>
  <si>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</si>
  <si>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</si>
  <si>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</si>
  <si>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</si>
  <si>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</si>
  <si>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</si>
  <si>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</si>
  <si>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</si>
  <si>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</si>
  <si>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</si>
  <si>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</si>
  <si>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</si>
  <si>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</si>
  <si>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</si>
  <si>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</si>
  <si>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</si>
  <si>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</si>
  <si>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</si>
  <si>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</si>
  <si>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</si>
  <si>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</si>
  <si>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</si>
  <si>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</si>
  <si>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</si>
  <si>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</si>
  <si>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</si>
  <si>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</si>
  <si>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</si>
  <si>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</si>
  <si>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</si>
  <si>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</si>
  <si>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</si>
  <si>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</si>
  <si>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</si>
  <si>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</si>
  <si>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</si>
  <si>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</si>
  <si>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</si>
  <si>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</si>
  <si>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</si>
  <si>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</si>
  <si>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</si>
  <si>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</si>
  <si>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</si>
  <si>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</si>
  <si>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</si>
  <si>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</si>
  <si>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</si>
  <si>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</si>
  <si>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</si>
  <si>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</si>
  <si>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</si>
  <si>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</si>
  <si>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</si>
  <si>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</si>
  <si>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</si>
  <si>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</si>
  <si>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</si>
  <si>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</si>
  <si>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</si>
  <si>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</si>
  <si>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</si>
  <si>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</si>
  <si>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</si>
  <si>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</si>
  <si>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</si>
  <si>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</si>
  <si>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</si>
  <si>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</si>
  <si>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</si>
  <si>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</si>
  <si>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</si>
  <si>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</si>
  <si>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</si>
  <si>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</si>
  <si>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</si>
  <si>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</si>
  <si>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</si>
  <si>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</si>
  <si>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</si>
  <si>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</si>
  <si>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</si>
  <si>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</si>
  <si>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</si>
  <si>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</si>
  <si>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</si>
  <si>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</si>
  <si>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</si>
  <si>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</si>
  <si>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</si>
  <si>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</si>
  <si>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</si>
  <si>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</si>
  <si>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</si>
  <si>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</si>
  <si>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</si>
  <si>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</si>
  <si>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</si>
  <si>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</si>
  <si>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</si>
  <si>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</si>
  <si>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</si>
  <si>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</si>
  <si>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</si>
  <si>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</si>
  <si>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</si>
  <si>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</si>
  <si>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</si>
  <si>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</si>
  <si>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</si>
  <si>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</si>
  <si>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</si>
  <si>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</si>
  <si>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</si>
  <si>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</si>
  <si>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</si>
  <si>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</si>
  <si>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</si>
  <si>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</si>
  <si>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</si>
  <si>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</si>
  <si>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</si>
  <si>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</si>
  <si>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</si>
  <si>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</si>
  <si>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</si>
  <si>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</si>
  <si>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</si>
  <si>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</si>
  <si>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</si>
  <si>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</si>
  <si>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</si>
  <si>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</si>
  <si>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</si>
  <si>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</si>
  <si>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</si>
  <si>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</si>
  <si>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</si>
  <si>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</si>
  <si>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</si>
  <si>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</si>
  <si>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</si>
  <si>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</si>
  <si>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</si>
  <si>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</si>
  <si>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</si>
  <si>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</si>
  <si>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</si>
  <si>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</si>
  <si>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</si>
  <si>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</si>
  <si>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</si>
  <si>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</si>
  <si>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</si>
  <si>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</si>
  <si>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</si>
  <si>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</si>
  <si>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</si>
  <si>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</si>
  <si>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</si>
  <si>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</si>
  <si>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</si>
  <si>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</si>
  <si>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</si>
  <si>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</si>
  <si>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</si>
  <si>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</si>
  <si>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</si>
  <si>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</si>
  <si>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</si>
  <si>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</si>
  <si>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</si>
  <si>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</si>
  <si>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</si>
  <si>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</si>
  <si>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</si>
  <si>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</si>
  <si>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</si>
  <si>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</si>
  <si>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</si>
  <si>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</si>
  <si>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</si>
  <si>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</si>
  <si>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</si>
  <si>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</si>
  <si>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</si>
  <si>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</si>
  <si>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</si>
  <si>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</si>
  <si>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</si>
  <si>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</si>
  <si>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</si>
  <si>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</si>
  <si>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</si>
  <si>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</si>
  <si>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</si>
  <si>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</si>
  <si>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</si>
  <si>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</si>
  <si>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</si>
  <si>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</si>
  <si>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</si>
  <si>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</si>
  <si>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</si>
  <si>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</si>
  <si>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</si>
  <si>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</si>
  <si>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</si>
  <si>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</si>
  <si>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</si>
  <si>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</si>
  <si>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</si>
  <si>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</si>
  <si>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</si>
  <si>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</si>
  <si>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</si>
  <si>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</si>
  <si>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</si>
  <si>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</si>
  <si>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</si>
  <si>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</si>
  <si>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</si>
  <si>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</si>
  <si>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</si>
  <si>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</si>
  <si>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</si>
  <si>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</si>
  <si>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</si>
  <si>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</si>
  <si>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</si>
  <si>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</si>
  <si>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</si>
  <si>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</si>
  <si>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</si>
  <si>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</si>
  <si>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</si>
  <si>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</si>
  <si>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</si>
  <si>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</si>
  <si>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</si>
  <si>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</si>
  <si>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</si>
  <si>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</si>
  <si>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</si>
  <si>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</si>
  <si>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</si>
  <si>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</si>
  <si>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</si>
  <si>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</si>
  <si>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</si>
  <si>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</si>
  <si>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</si>
  <si>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</si>
  <si>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</si>
  <si>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</si>
  <si>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</si>
  <si>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</si>
  <si>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</si>
  <si>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</si>
  <si>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</si>
  <si>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</si>
  <si>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</si>
  <si>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</si>
  <si>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</si>
  <si>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</si>
  <si>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</si>
  <si>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</si>
  <si>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</si>
  <si>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</si>
  <si>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</si>
  <si>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</si>
  <si>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</si>
  <si>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</si>
  <si>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</si>
  <si>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</si>
  <si>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</si>
  <si>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</si>
  <si>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</si>
  <si>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</si>
  <si>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</si>
  <si>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</si>
  <si>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</si>
  <si>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</si>
  <si>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</si>
  <si>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</si>
  <si>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</si>
  <si>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</si>
  <si>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</si>
  <si>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</si>
  <si>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</si>
  <si>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</si>
  <si>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</si>
  <si>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</si>
  <si>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</si>
  <si>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</si>
  <si>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</si>
  <si>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</si>
  <si>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</si>
  <si>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</si>
  <si>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</si>
  <si>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</si>
  <si>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</si>
  <si>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</si>
  <si>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</si>
  <si>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</si>
  <si>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</si>
  <si>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</si>
  <si>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</si>
  <si>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</si>
  <si>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</si>
  <si>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</si>
  <si>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</si>
  <si>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</si>
  <si>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</si>
  <si>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</si>
  <si>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</si>
  <si>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</si>
  <si>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</si>
  <si>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</si>
  <si>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</si>
  <si>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</si>
  <si>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</si>
  <si>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</si>
  <si>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</si>
  <si>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</si>
  <si>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</si>
  <si>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</si>
  <si>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</si>
  <si>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</si>
  <si>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</si>
  <si>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</si>
  <si>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</si>
  <si>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</si>
  <si>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</si>
  <si>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</si>
  <si>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</si>
  <si>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</si>
  <si>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</si>
  <si>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</si>
  <si>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</si>
  <si>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</si>
  <si>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</si>
  <si>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</si>
  <si>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</si>
  <si>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</si>
  <si>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</si>
  <si>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</si>
  <si>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</si>
  <si>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</si>
  <si>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</si>
  <si>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</si>
  <si>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</si>
  <si>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</si>
  <si>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</si>
  <si>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</si>
  <si>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</si>
  <si>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</si>
  <si>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</si>
  <si>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</si>
  <si>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</si>
  <si>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</si>
  <si>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</si>
  <si>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</si>
  <si>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</si>
  <si>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</si>
  <si>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</si>
  <si>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</si>
  <si>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</si>
  <si>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</si>
  <si>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</si>
  <si>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</si>
  <si>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</si>
  <si>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</si>
  <si>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</si>
  <si>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</si>
  <si>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</si>
  <si>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</si>
  <si>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</si>
  <si>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</si>
  <si>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</si>
  <si>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</si>
  <si>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</si>
  <si>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</si>
  <si>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</si>
  <si>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</si>
  <si>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</si>
  <si>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</si>
  <si>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</si>
  <si>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</si>
  <si>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</si>
  <si>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</si>
  <si>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</si>
  <si>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</si>
  <si>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</si>
  <si>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</si>
  <si>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</si>
  <si>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</si>
  <si>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</si>
  <si>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</si>
  <si>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</si>
  <si>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</si>
  <si>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</si>
  <si>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</si>
  <si>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</si>
  <si>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</si>
  <si>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</si>
  <si>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</si>
  <si>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</si>
  <si>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</si>
  <si>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</si>
  <si>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</si>
  <si>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</si>
  <si>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</si>
  <si>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</si>
  <si>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</si>
  <si>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</si>
  <si>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</si>
  <si>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</si>
  <si>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</si>
  <si>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</si>
  <si>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</si>
  <si>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</si>
  <si>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</si>
  <si>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</si>
  <si>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</si>
  <si>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</si>
  <si>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</si>
  <si>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</si>
  <si>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</si>
  <si>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</si>
  <si>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</si>
  <si>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</si>
  <si>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</si>
  <si>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</si>
  <si>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</si>
  <si>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</si>
  <si>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</si>
  <si>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</si>
  <si>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</si>
  <si>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</si>
  <si>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</si>
  <si>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</si>
  <si>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</si>
  <si>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</si>
  <si>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</si>
  <si>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</si>
  <si>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</si>
  <si>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</si>
  <si>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</si>
  <si>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</si>
  <si>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</si>
  <si>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</si>
  <si>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</si>
  <si>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</si>
  <si>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</si>
  <si>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</si>
  <si>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</si>
  <si>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</si>
  <si>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</si>
  <si>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</si>
  <si>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</si>
  <si>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</si>
  <si>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</si>
  <si>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</si>
  <si>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</si>
  <si>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</si>
  <si>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</si>
  <si>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</si>
  <si>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</si>
  <si>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</si>
  <si>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</si>
  <si>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</si>
  <si>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</si>
  <si>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</si>
  <si>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</si>
  <si>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</si>
  <si>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</si>
  <si>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</si>
  <si>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</si>
  <si>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</si>
  <si>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</si>
  <si>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</si>
  <si>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</si>
  <si>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</si>
  <si>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</si>
  <si>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</si>
  <si>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</si>
  <si>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</si>
  <si>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</si>
  <si>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</si>
  <si>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</si>
  <si>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</si>
  <si>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</si>
  <si>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</si>
  <si>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</si>
  <si>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</si>
  <si>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</si>
  <si>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</si>
  <si>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</si>
  <si>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</si>
  <si>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</si>
  <si>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</si>
  <si>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</si>
  <si>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</si>
  <si>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</si>
  <si>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</si>
  <si>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</si>
  <si>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</si>
  <si>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</si>
  <si>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</si>
  <si>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</si>
  <si>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</si>
  <si>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</si>
  <si>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</si>
  <si>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</si>
  <si>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</si>
  <si>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</si>
  <si>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</si>
  <si>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</si>
  <si>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</si>
  <si>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</si>
  <si>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</si>
  <si>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</si>
  <si>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</si>
  <si>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</si>
  <si>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</si>
  <si>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</si>
  <si>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</si>
  <si>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</si>
  <si>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</si>
  <si>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</si>
  <si>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</si>
  <si>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</si>
  <si>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</si>
  <si>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</si>
  <si>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</si>
  <si>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</si>
  <si>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</si>
  <si>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</si>
  <si>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</si>
  <si>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</si>
  <si>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</si>
  <si>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</si>
  <si>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</si>
  <si>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</si>
  <si>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</si>
  <si>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</si>
  <si>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</si>
  <si>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</si>
  <si>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</si>
  <si>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</si>
  <si>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</si>
  <si>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</si>
  <si>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</si>
  <si>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</si>
  <si>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</si>
  <si>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</si>
  <si>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</si>
  <si>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</si>
  <si>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</si>
  <si>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</si>
  <si>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</si>
  <si>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</si>
  <si>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</si>
  <si>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</si>
  <si>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</si>
  <si>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</si>
  <si>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</si>
  <si>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</si>
  <si>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</si>
  <si>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</si>
  <si>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</si>
  <si>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</si>
  <si>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</si>
  <si>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</si>
  <si>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</si>
  <si>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</si>
  <si>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</si>
  <si>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</si>
  <si>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</si>
  <si>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</si>
  <si>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</si>
  <si>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</si>
  <si>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</si>
  <si>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</si>
  <si>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</si>
  <si>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</si>
  <si>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</si>
  <si>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</si>
  <si>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</si>
  <si>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</si>
  <si>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</si>
  <si>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</si>
  <si>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</si>
  <si>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</si>
  <si>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</si>
  <si>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</si>
  <si>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</si>
  <si>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</si>
  <si>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</si>
  <si>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</si>
  <si>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</si>
  <si>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</si>
  <si>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</si>
  <si>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</si>
  <si>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</si>
  <si>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</si>
  <si>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</si>
  <si>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</si>
  <si>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</si>
  <si>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</si>
  <si>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</si>
  <si>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</si>
  <si>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</si>
  <si>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</si>
  <si>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</si>
  <si>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</si>
  <si>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</si>
  <si>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</si>
  <si>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</si>
  <si>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</si>
  <si>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</si>
  <si>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</si>
  <si>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</si>
  <si>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</si>
  <si>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</si>
  <si>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</si>
  <si>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</si>
  <si>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</si>
  <si>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</si>
  <si>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</si>
  <si>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</si>
  <si>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</si>
  <si>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</si>
  <si>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</si>
  <si>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</si>
  <si>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</si>
  <si>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</si>
  <si>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</si>
  <si>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</si>
  <si>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</si>
  <si>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</si>
  <si>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</si>
  <si>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</si>
  <si>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</si>
  <si>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</si>
  <si>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</si>
  <si>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</si>
  <si>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</si>
  <si>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</si>
  <si>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</si>
  <si>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</si>
  <si>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</si>
  <si>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</si>
  <si>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</si>
  <si>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</si>
  <si>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</si>
  <si>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</si>
  <si>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</si>
  <si>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</si>
  <si>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</si>
  <si>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</si>
  <si>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</si>
  <si>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</si>
  <si>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</si>
  <si>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</si>
  <si>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</si>
  <si>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</si>
  <si>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</si>
  <si>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</si>
  <si>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</si>
  <si>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</si>
  <si>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</si>
  <si>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</si>
  <si>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</si>
  <si>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</si>
  <si>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</si>
  <si>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</si>
  <si>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</si>
  <si>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</si>
  <si>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</si>
  <si>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</si>
  <si>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</si>
  <si>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</si>
  <si>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</si>
  <si>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</si>
  <si>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</si>
  <si>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</si>
  <si>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</si>
  <si>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</si>
  <si>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</si>
  <si>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</si>
  <si>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 No coupom</t>
  </si>
  <si>
    <t>Grand Total</t>
  </si>
  <si>
    <t>Count of OrderID</t>
  </si>
  <si>
    <t>Sum of TotalPrice</t>
  </si>
  <si>
    <t>Order Status</t>
  </si>
  <si>
    <t>Payment Mesthod</t>
  </si>
  <si>
    <t>Referral Source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</si>
  <si>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</si>
  <si>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</si>
  <si>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</si>
  <si>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</si>
  <si>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</si>
  <si>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</si>
  <si>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</si>
  <si>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</si>
  <si>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</si>
  <si>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</si>
  <si>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</si>
  <si>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</si>
  <si>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 Month</t>
  </si>
  <si>
    <t>Most Ordered Products</t>
  </si>
  <si>
    <t>Total Sales By Product</t>
  </si>
  <si>
    <t>Order Status Analysis</t>
  </si>
  <si>
    <t>Payment Method Analysis</t>
  </si>
  <si>
    <t>Referral Source Analysis</t>
  </si>
  <si>
    <t>Monthly Sales Trend</t>
  </si>
  <si>
    <t>Q1</t>
  </si>
  <si>
    <t>Q3</t>
  </si>
  <si>
    <t>IQR</t>
  </si>
  <si>
    <t>Upper Bound</t>
  </si>
  <si>
    <t>Lower Bound</t>
  </si>
  <si>
    <t>Outlier Check</t>
  </si>
  <si>
    <t>Total sales</t>
  </si>
  <si>
    <t>Total Orders</t>
  </si>
  <si>
    <t>Average Order Value</t>
  </si>
  <si>
    <t>Average Order</t>
  </si>
  <si>
    <t>Most Sold Product</t>
  </si>
  <si>
    <t>Highest Revenue Product</t>
  </si>
  <si>
    <t>Delivered Orders</t>
  </si>
  <si>
    <t>Average of Quantity</t>
  </si>
  <si>
    <t>Average of UnitPrice</t>
  </si>
  <si>
    <t>Average of TotalPrice</t>
  </si>
  <si>
    <t>Column</t>
  </si>
  <si>
    <t>Mean</t>
  </si>
  <si>
    <t>Median</t>
  </si>
  <si>
    <t>Count of Quantity</t>
  </si>
  <si>
    <t>Count of UnitPrice</t>
  </si>
  <si>
    <t>Count of TotalPrice</t>
  </si>
  <si>
    <t>Median of Quantity</t>
  </si>
  <si>
    <t>Median of UnitPrice</t>
  </si>
  <si>
    <t>Basic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</si>
</sst>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8"/>
      <name val="Arial"/>
      <family val="2"/>
      <scheme val="minor"/>
    </font>
    <font>
      <b/>
      <sz val="16"/>
      <color theme="1"/>
      <name val="Arial"/>
      <family val="2"/>
      <scheme val="minor"/>
    </font>
    <font>
      <sz val="11"/>
      <color rgb="FFF5EBC8"/>
      <name val="Arial"/>
      <family val="2"/>
      <scheme val="minor"/>
    </font>
    <font>
      <b/>
      <sz val="11"/>
      <color rgb="FFF5EBC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63242D"/>
        <bgColor indexed="64"/>
      </patternFill>
    </fill>
    <fill>
      <patternFill patternType="solid">
        <fgColor rgb="FFAF3F4F"/>
        <bgColor indexed="64"/>
      </patternFill>
    </fill>
    <fill>
      <patternFill patternType="solid">
        <fgColor rgb="FFFB5A71"/>
        <bgColor indexed="64"/>
      </patternFill>
    </fill>
    <fill>
      <patternFill patternType="solid">
        <fgColor rgb="FFF5EBC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/>
    <xf numFmtId="0" fontId="0" fillId="3" borderId="0" xfId="0" applyFill="1"/>
    <xf numFmtId="1" fontId="0" fillId="0" borderId="0" xfId="0" applyNumberFormat="1"/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7" fillId="3" borderId="0" xfId="0" applyFont="1" applyFill="1"/>
    <xf numFmtId="0" fontId="8" fillId="3" borderId="0" xfId="0" applyFont="1" applyFill="1"/>
  </cellXfs>
  <cellStyles count="1">
    <cellStyle name="Normal" xfId="0" builtinId="0"/>
  </cellStyles>
  <dxfs count="126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>
          <bgColor rgb="FFFB5A71"/>
        </patternFill>
      </fill>
    </dxf>
    <dxf>
      <fill>
        <patternFill>
          <bgColor rgb="FFFB5A71"/>
        </patternFill>
      </fill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B5A7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2" formatCode="0.0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2" formatCode="0.0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4" formatCode="0.00%"/>
    </dxf>
    <dxf>
      <numFmt numFmtId="0" formatCode="General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64" formatCode="0.000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64" formatCode="0.000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9" defaultPivotStyle="PivotStyleLight16"/>
  <colors>
    <mruColors>
      <color rgb="FFF5EBC8"/>
      <color rgb="FF63242D"/>
      <color rgb="FF301115"/>
      <color rgb="FFC1AA8A"/>
      <color rgb="FFFB5A71"/>
      <color rgb="FFAF3F4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7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pivotCacheDefinition" Target="pivotCache/pivotCacheDefinition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connections" Target="connections.xml"/><Relationship Id="rId10" Type="http://schemas.openxmlformats.org/officeDocument/2006/relationships/pivotCacheDefinition" Target="pivotCache/pivotCacheDefinition6.xml"/><Relationship Id="rId19" Type="http://schemas.openxmlformats.org/officeDocument/2006/relationships/pivotCacheDefinition" Target="pivotCache/pivotCacheDefinition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(3).xlsx]Pivot!PivotTable1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1" i="0" u="none" strike="noStrike" kern="1200" spc="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63242D"/>
                </a:solidFill>
              </a:rPr>
              <a:t>Most Ordered Products</a:t>
            </a:r>
          </a:p>
        </c:rich>
      </c:tx>
      <c:layout>
        <c:manualLayout>
          <c:xMode val="edge"/>
          <c:yMode val="edge"/>
          <c:x val="0.31036246240147686"/>
          <c:y val="3.389906513318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1" i="0" u="none" strike="noStrike" kern="1200" spc="0" baseline="0">
              <a:solidFill>
                <a:srgbClr val="63242D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242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806931638018723E-2"/>
          <c:y val="0.10291008793470881"/>
          <c:w val="0.81927356004326346"/>
          <c:h val="0.75920338396704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242D"/>
            </a:solidFill>
            <a:ln>
              <a:noFill/>
            </a:ln>
            <a:effectLst/>
          </c:spPr>
          <c:invertIfNegative val="0"/>
          <c:cat>
            <c:strRef>
              <c:f>Pivot!$A$19:$A$26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Pivot!$B$19:$B$26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9-4209-90CA-3D4A236BD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0681855"/>
        <c:axId val="760673215"/>
      </c:barChart>
      <c:catAx>
        <c:axId val="76068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60673215"/>
        <c:crosses val="autoZero"/>
        <c:auto val="1"/>
        <c:lblAlgn val="ctr"/>
        <c:lblOffset val="100"/>
        <c:noMultiLvlLbl val="0"/>
      </c:catAx>
      <c:valAx>
        <c:axId val="76067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6068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EB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(3).xlsx]Pivot!PivotTable3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63242D"/>
                </a:solidFill>
              </a:rPr>
              <a:t>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63242D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B5A7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rgbClr val="301115"/>
          </a:solidFill>
          <a:ln w="19050">
            <a:noFill/>
          </a:ln>
          <a:effectLst/>
        </c:spPr>
      </c:pivotFmt>
      <c:pivotFmt>
        <c:idx val="11"/>
        <c:spPr>
          <a:solidFill>
            <a:srgbClr val="C1AA8A"/>
          </a:solidFill>
          <a:ln w="19050">
            <a:noFill/>
          </a:ln>
          <a:effectLst/>
        </c:spPr>
      </c:pivotFmt>
      <c:pivotFmt>
        <c:idx val="12"/>
        <c:spPr>
          <a:solidFill>
            <a:srgbClr val="AF3F4F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Pivot!$H$18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FB5A7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80-460C-8FB0-340B941015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80-460C-8FB0-340B941015F7}"/>
              </c:ext>
            </c:extLst>
          </c:dPt>
          <c:dPt>
            <c:idx val="2"/>
            <c:bubble3D val="0"/>
            <c:spPr>
              <a:solidFill>
                <a:srgbClr val="30111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80-460C-8FB0-340B941015F7}"/>
              </c:ext>
            </c:extLst>
          </c:dPt>
          <c:dPt>
            <c:idx val="3"/>
            <c:bubble3D val="0"/>
            <c:spPr>
              <a:solidFill>
                <a:srgbClr val="C1AA8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80-460C-8FB0-340B941015F7}"/>
              </c:ext>
            </c:extLst>
          </c:dPt>
          <c:dPt>
            <c:idx val="4"/>
            <c:bubble3D val="0"/>
            <c:spPr>
              <a:solidFill>
                <a:srgbClr val="AF3F4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A80-460C-8FB0-340B941015F7}"/>
              </c:ext>
            </c:extLst>
          </c:dPt>
          <c:cat>
            <c:strRef>
              <c:f>Pivot!$G$19:$G$24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Pivot!$H$19:$H$24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80-460C-8FB0-340B94101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EB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(3).xlsx]Pivot!PivotTable5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63242D"/>
                </a:solidFill>
              </a:rPr>
              <a:t>Referral Source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63242D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242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Pivot!$K$18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242D"/>
            </a:solidFill>
            <a:ln>
              <a:noFill/>
            </a:ln>
            <a:effectLst/>
          </c:spPr>
          <c:invertIfNegative val="0"/>
          <c:cat>
            <c:strRef>
              <c:f>Pivot!$J$19:$J$24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Pivot!$K$19:$K$24</c:f>
              <c:numCache>
                <c:formatCode>General</c:formatCode>
                <c:ptCount val="5"/>
                <c:pt idx="0">
                  <c:v>275285.45000000007</c:v>
                </c:pt>
                <c:pt idx="1">
                  <c:v>261808.55000000002</c:v>
                </c:pt>
                <c:pt idx="2">
                  <c:v>250441.47999999998</c:v>
                </c:pt>
                <c:pt idx="3">
                  <c:v>250410.9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E-4D6F-8E51-77657294E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0692895"/>
        <c:axId val="760687135"/>
      </c:barChart>
      <c:catAx>
        <c:axId val="76069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60687135"/>
        <c:crosses val="autoZero"/>
        <c:auto val="1"/>
        <c:lblAlgn val="ctr"/>
        <c:lblOffset val="100"/>
        <c:noMultiLvlLbl val="0"/>
      </c:catAx>
      <c:valAx>
        <c:axId val="760687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6069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EB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(3).xlsx]Pivot!PivotTable6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63242D"/>
                </a:solidFill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63242D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3242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Pivot!$N$18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242D"/>
              </a:solidFill>
              <a:round/>
            </a:ln>
            <a:effectLst/>
          </c:spPr>
          <c:marker>
            <c:symbol val="none"/>
          </c:marker>
          <c:cat>
            <c:strRef>
              <c:f>Pivot!$M$19:$M$31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Pivot!$N$19:$N$31</c:f>
              <c:numCache>
                <c:formatCode>General</c:formatCode>
                <c:ptCount val="12"/>
                <c:pt idx="0">
                  <c:v>109186.05</c:v>
                </c:pt>
                <c:pt idx="1">
                  <c:v>86343.210000000036</c:v>
                </c:pt>
                <c:pt idx="2">
                  <c:v>82540.5</c:v>
                </c:pt>
                <c:pt idx="3">
                  <c:v>112344.77999999998</c:v>
                </c:pt>
                <c:pt idx="4">
                  <c:v>124313.23000000005</c:v>
                </c:pt>
                <c:pt idx="5">
                  <c:v>85784.63999999997</c:v>
                </c:pt>
                <c:pt idx="6">
                  <c:v>170616.13000000006</c:v>
                </c:pt>
                <c:pt idx="7">
                  <c:v>123840.92999999995</c:v>
                </c:pt>
                <c:pt idx="8">
                  <c:v>135142.59</c:v>
                </c:pt>
                <c:pt idx="9">
                  <c:v>75493.430000000008</c:v>
                </c:pt>
                <c:pt idx="10">
                  <c:v>89834.820000000022</c:v>
                </c:pt>
                <c:pt idx="11">
                  <c:v>69321.650000000023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EB-43C1-8091-60C6F62D9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326799"/>
        <c:axId val="1448327279"/>
      </c:lineChart>
      <c:catAx>
        <c:axId val="144832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48327279"/>
        <c:crosses val="autoZero"/>
        <c:auto val="1"/>
        <c:lblAlgn val="ctr"/>
        <c:lblOffset val="100"/>
        <c:noMultiLvlLbl val="0"/>
      </c:catAx>
      <c:valAx>
        <c:axId val="144832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4832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5EBC8"/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EB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10" Type="http://schemas.openxmlformats.org/officeDocument/2006/relationships/image" Target="../media/image6.png"/><Relationship Id="rId4" Type="http://schemas.openxmlformats.org/officeDocument/2006/relationships/image" Target="../media/image1.png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23</xdr:row>
      <xdr:rowOff>0</xdr:rowOff>
    </xdr:from>
    <xdr:to>
      <xdr:col>23</xdr:col>
      <xdr:colOff>742345</xdr:colOff>
      <xdr:row>31</xdr:row>
      <xdr:rowOff>140609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9A11D221-A5AB-467E-BCB7-8E032437AE73}"/>
            </a:ext>
          </a:extLst>
        </xdr:cNvPr>
        <xdr:cNvGrpSpPr/>
      </xdr:nvGrpSpPr>
      <xdr:grpSpPr>
        <a:xfrm>
          <a:off x="25790769" y="4044462"/>
          <a:ext cx="2207730" cy="1617716"/>
          <a:chOff x="17769418" y="1693332"/>
          <a:chExt cx="2205869" cy="1592037"/>
        </a:xfrm>
        <a:solidFill>
          <a:srgbClr val="F5EBC8"/>
        </a:solidFill>
      </xdr:grpSpPr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4D704E41-DDB4-8667-2AAD-E9B0AFE04B87}"/>
              </a:ext>
            </a:extLst>
          </xdr:cNvPr>
          <xdr:cNvSpPr/>
        </xdr:nvSpPr>
        <xdr:spPr>
          <a:xfrm>
            <a:off x="17769418" y="1693332"/>
            <a:ext cx="2205869" cy="1592037"/>
          </a:xfrm>
          <a:prstGeom prst="roundRect">
            <a:avLst>
              <a:gd name="adj" fmla="val 30129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/>
          </a:p>
        </xdr:txBody>
      </xdr:sp>
      <xdr:sp macro="" textlink="G4">
        <xdr:nvSpPr>
          <xdr:cNvPr id="54" name="Rectangle: Rounded Corners 53">
            <a:extLst>
              <a:ext uri="{FF2B5EF4-FFF2-40B4-BE49-F238E27FC236}">
                <a16:creationId xmlns:a16="http://schemas.microsoft.com/office/drawing/2014/main" id="{7E9CDD83-8F44-96B3-5B98-C52CE4075FED}"/>
              </a:ext>
            </a:extLst>
          </xdr:cNvPr>
          <xdr:cNvSpPr/>
        </xdr:nvSpPr>
        <xdr:spPr>
          <a:xfrm>
            <a:off x="17888858" y="2730501"/>
            <a:ext cx="1953382" cy="390071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2A57C173-4192-4C8B-8D11-CD1BF7098DEB}" type="TxLink">
              <a:rPr lang="en-US" sz="2000" b="1" i="0" u="none" strike="noStrike">
                <a:solidFill>
                  <a:srgbClr val="63242D"/>
                </a:solidFill>
                <a:latin typeface="Arial"/>
                <a:cs typeface="Arial"/>
              </a:rPr>
              <a:pPr algn="ctr"/>
              <a:t>1054</a:t>
            </a:fld>
            <a:endParaRPr lang="ar-EG" sz="11500" b="1">
              <a:solidFill>
                <a:srgbClr val="63242D"/>
              </a:solidFill>
            </a:endParaRPr>
          </a:p>
        </xdr:txBody>
      </xdr:sp>
      <xdr:sp macro="" textlink="Q4">
        <xdr:nvSpPr>
          <xdr:cNvPr id="55" name="Rectangle: Rounded Corners 54">
            <a:extLst>
              <a:ext uri="{FF2B5EF4-FFF2-40B4-BE49-F238E27FC236}">
                <a16:creationId xmlns:a16="http://schemas.microsoft.com/office/drawing/2014/main" id="{7A0A5AF9-06E2-F90E-6E0F-B5BF2F4A0AD7}"/>
              </a:ext>
            </a:extLst>
          </xdr:cNvPr>
          <xdr:cNvSpPr/>
        </xdr:nvSpPr>
        <xdr:spPr>
          <a:xfrm>
            <a:off x="17837452" y="1930703"/>
            <a:ext cx="2007809" cy="480785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r>
              <a:rPr lang="en-US" sz="1800" b="1" i="0" u="none" strike="noStrike">
                <a:solidFill>
                  <a:srgbClr val="63242D"/>
                </a:solidFill>
                <a:latin typeface="Arial"/>
                <a:cs typeface="Arial"/>
              </a:rPr>
              <a:t>Average Order</a:t>
            </a:r>
            <a:endParaRPr lang="ar-EG" sz="1800" b="1" i="0" u="none" strike="noStrike">
              <a:solidFill>
                <a:srgbClr val="63242D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748394</xdr:colOff>
      <xdr:row>20</xdr:row>
      <xdr:rowOff>68036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9AEA2AB5-6B3A-4F58-9E55-A41252A87563}"/>
            </a:ext>
          </a:extLst>
        </xdr:cNvPr>
        <xdr:cNvGrpSpPr/>
      </xdr:nvGrpSpPr>
      <xdr:grpSpPr>
        <a:xfrm>
          <a:off x="24325385" y="1934308"/>
          <a:ext cx="2213778" cy="1650651"/>
          <a:chOff x="21384381" y="2397881"/>
          <a:chExt cx="2211917" cy="1592036"/>
        </a:xfrm>
      </xdr:grpSpPr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836C65C3-6482-CB57-010B-6D59E80F1FDB}"/>
              </a:ext>
            </a:extLst>
          </xdr:cNvPr>
          <xdr:cNvSpPr/>
        </xdr:nvSpPr>
        <xdr:spPr>
          <a:xfrm>
            <a:off x="21384381" y="2397881"/>
            <a:ext cx="2211917" cy="1592036"/>
          </a:xfrm>
          <a:prstGeom prst="roundRect">
            <a:avLst>
              <a:gd name="adj" fmla="val 30129"/>
            </a:avLst>
          </a:prstGeom>
          <a:solidFill>
            <a:srgbClr val="F5EBC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>
              <a:solidFill>
                <a:srgbClr val="63242D"/>
              </a:solidFill>
            </a:endParaRPr>
          </a:p>
        </xdr:txBody>
      </xdr:sp>
      <xdr:sp macro="" textlink="">
        <xdr:nvSpPr>
          <xdr:cNvPr id="58" name="Rectangle: Rounded Corners 57">
            <a:extLst>
              <a:ext uri="{FF2B5EF4-FFF2-40B4-BE49-F238E27FC236}">
                <a16:creationId xmlns:a16="http://schemas.microsoft.com/office/drawing/2014/main" id="{FAD354F7-5460-96DE-B5AF-991AFAA20362}"/>
              </a:ext>
            </a:extLst>
          </xdr:cNvPr>
          <xdr:cNvSpPr/>
        </xdr:nvSpPr>
        <xdr:spPr>
          <a:xfrm>
            <a:off x="21541620" y="2564191"/>
            <a:ext cx="1862666" cy="483810"/>
          </a:xfrm>
          <a:prstGeom prst="roundRect">
            <a:avLst/>
          </a:prstGeom>
          <a:solidFill>
            <a:srgbClr val="F5EBC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r>
              <a:rPr lang="en-US" sz="1800" b="1">
                <a:solidFill>
                  <a:srgbClr val="63242D"/>
                </a:solidFill>
              </a:rPr>
              <a:t>Highest</a:t>
            </a:r>
            <a:r>
              <a:rPr lang="en-US" sz="1800" b="1" baseline="0">
                <a:solidFill>
                  <a:srgbClr val="63242D"/>
                </a:solidFill>
              </a:rPr>
              <a:t> Revenue</a:t>
            </a:r>
            <a:endParaRPr lang="en-US" sz="1800" b="1">
              <a:solidFill>
                <a:srgbClr val="63242D"/>
              </a:solidFill>
            </a:endParaRPr>
          </a:p>
        </xdr:txBody>
      </xdr:sp>
      <xdr:sp macro="" textlink="J4">
        <xdr:nvSpPr>
          <xdr:cNvPr id="59" name="Rectangle: Rounded Corners 58">
            <a:extLst>
              <a:ext uri="{FF2B5EF4-FFF2-40B4-BE49-F238E27FC236}">
                <a16:creationId xmlns:a16="http://schemas.microsoft.com/office/drawing/2014/main" id="{EBFA8C1E-650E-239B-D735-731B7A92F794}"/>
              </a:ext>
            </a:extLst>
          </xdr:cNvPr>
          <xdr:cNvSpPr/>
        </xdr:nvSpPr>
        <xdr:spPr>
          <a:xfrm>
            <a:off x="21517428" y="3265715"/>
            <a:ext cx="1862666" cy="483810"/>
          </a:xfrm>
          <a:prstGeom prst="roundRect">
            <a:avLst/>
          </a:prstGeom>
          <a:solidFill>
            <a:srgbClr val="F5EBC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39F2EFA7-E34D-44A5-94F6-204228378CDE}" type="TxLink">
              <a:rPr lang="en-US" sz="2000" b="1" i="0" u="none" strike="noStrike">
                <a:solidFill>
                  <a:srgbClr val="63242D"/>
                </a:solidFill>
                <a:latin typeface="Arial"/>
                <a:cs typeface="Arial"/>
              </a:rPr>
              <a:pPr algn="ctr"/>
              <a:t>Chair</a:t>
            </a:fld>
            <a:endParaRPr lang="en-US" sz="4800" b="1">
              <a:solidFill>
                <a:srgbClr val="63242D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659499</xdr:colOff>
      <xdr:row>12</xdr:row>
      <xdr:rowOff>153109</xdr:rowOff>
    </xdr:from>
    <xdr:to>
      <xdr:col>18</xdr:col>
      <xdr:colOff>153459</xdr:colOff>
      <xdr:row>24</xdr:row>
      <xdr:rowOff>152299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E43B9-FDF4-4956-A863-A51843E1A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526658</xdr:colOff>
      <xdr:row>0</xdr:row>
      <xdr:rowOff>95657</xdr:rowOff>
    </xdr:from>
    <xdr:to>
      <xdr:col>17</xdr:col>
      <xdr:colOff>176954</xdr:colOff>
      <xdr:row>4</xdr:row>
      <xdr:rowOff>74628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704EBD4-BF80-74EE-CB34-E71E94499AB1}"/>
            </a:ext>
          </a:extLst>
        </xdr:cNvPr>
        <xdr:cNvSpPr/>
      </xdr:nvSpPr>
      <xdr:spPr>
        <a:xfrm>
          <a:off x="2529437" y="95657"/>
          <a:ext cx="8996597" cy="680281"/>
        </a:xfrm>
        <a:prstGeom prst="roundRect">
          <a:avLst>
            <a:gd name="adj" fmla="val 50000"/>
          </a:avLst>
        </a:prstGeom>
        <a:solidFill>
          <a:srgbClr val="F5EBC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/>
          <a:r>
            <a:rPr lang="en-US" sz="3200" b="1">
              <a:solidFill>
                <a:srgbClr val="63242D"/>
              </a:solidFill>
            </a:rPr>
            <a:t>Sales Analysis Dashboard</a:t>
          </a:r>
          <a:endParaRPr lang="ar-EG" sz="3200" b="1">
            <a:solidFill>
              <a:srgbClr val="63242D"/>
            </a:solidFill>
          </a:endParaRPr>
        </a:p>
      </xdr:txBody>
    </xdr:sp>
    <xdr:clientData/>
  </xdr:twoCellAnchor>
  <xdr:twoCellAnchor>
    <xdr:from>
      <xdr:col>11</xdr:col>
      <xdr:colOff>659500</xdr:colOff>
      <xdr:row>25</xdr:row>
      <xdr:rowOff>50928</xdr:rowOff>
    </xdr:from>
    <xdr:to>
      <xdr:col>18</xdr:col>
      <xdr:colOff>176368</xdr:colOff>
      <xdr:row>37</xdr:row>
      <xdr:rowOff>50119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C8CD2B-E987-4DA9-A560-CF3A981AC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129950</xdr:colOff>
      <xdr:row>25</xdr:row>
      <xdr:rowOff>79531</xdr:rowOff>
    </xdr:from>
    <xdr:to>
      <xdr:col>7</xdr:col>
      <xdr:colOff>649140</xdr:colOff>
      <xdr:row>37</xdr:row>
      <xdr:rowOff>78722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B983F3-42F2-4E3E-9076-EE2A1D6BC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125017</xdr:colOff>
      <xdr:row>0</xdr:row>
      <xdr:rowOff>66367</xdr:rowOff>
    </xdr:from>
    <xdr:to>
      <xdr:col>5</xdr:col>
      <xdr:colOff>203845</xdr:colOff>
      <xdr:row>4</xdr:row>
      <xdr:rowOff>121546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AD37B57-F983-D795-7CA6-2E29CA28C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5389" y="66367"/>
          <a:ext cx="746421" cy="756489"/>
        </a:xfrm>
        <a:prstGeom prst="rect">
          <a:avLst/>
        </a:prstGeom>
      </xdr:spPr>
    </xdr:pic>
    <xdr:clientData/>
  </xdr:twoCellAnchor>
  <xdr:twoCellAnchor>
    <xdr:from>
      <xdr:col>1</xdr:col>
      <xdr:colOff>152520</xdr:colOff>
      <xdr:row>12</xdr:row>
      <xdr:rowOff>154729</xdr:rowOff>
    </xdr:from>
    <xdr:to>
      <xdr:col>7</xdr:col>
      <xdr:colOff>649140</xdr:colOff>
      <xdr:row>24</xdr:row>
      <xdr:rowOff>153920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0D736CE-5ECB-44F9-88D5-E89C28141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483632</xdr:colOff>
      <xdr:row>5</xdr:row>
      <xdr:rowOff>81297</xdr:rowOff>
    </xdr:from>
    <xdr:to>
      <xdr:col>7</xdr:col>
      <xdr:colOff>122675</xdr:colOff>
      <xdr:row>12</xdr:row>
      <xdr:rowOff>27889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AB52B96-E045-42B4-B978-5891F9FF8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1414" y="947206"/>
          <a:ext cx="1654879" cy="1158865"/>
        </a:xfrm>
        <a:prstGeom prst="rect">
          <a:avLst/>
        </a:prstGeom>
      </xdr:spPr>
    </xdr:pic>
    <xdr:clientData/>
  </xdr:twoCellAnchor>
  <xdr:twoCellAnchor editAs="oneCell">
    <xdr:from>
      <xdr:col>8</xdr:col>
      <xdr:colOff>341734</xdr:colOff>
      <xdr:row>5</xdr:row>
      <xdr:rowOff>81297</xdr:rowOff>
    </xdr:from>
    <xdr:to>
      <xdr:col>10</xdr:col>
      <xdr:colOff>649694</xdr:colOff>
      <xdr:row>12</xdr:row>
      <xdr:rowOff>27889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74A08C4-EBAE-4569-AC19-89B5C0C2D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7298" y="947206"/>
          <a:ext cx="1651851" cy="1158865"/>
        </a:xfrm>
        <a:prstGeom prst="rect">
          <a:avLst/>
        </a:prstGeom>
      </xdr:spPr>
    </xdr:pic>
    <xdr:clientData/>
  </xdr:twoCellAnchor>
  <xdr:twoCellAnchor editAs="oneCell">
    <xdr:from>
      <xdr:col>12</xdr:col>
      <xdr:colOff>192456</xdr:colOff>
      <xdr:row>5</xdr:row>
      <xdr:rowOff>81297</xdr:rowOff>
    </xdr:from>
    <xdr:to>
      <xdr:col>14</xdr:col>
      <xdr:colOff>512354</xdr:colOff>
      <xdr:row>12</xdr:row>
      <xdr:rowOff>27889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82CA27C-32E8-40EE-959B-FE0F0E28E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801" y="947206"/>
          <a:ext cx="1663789" cy="1158865"/>
        </a:xfrm>
        <a:prstGeom prst="rect">
          <a:avLst/>
        </a:prstGeom>
      </xdr:spPr>
    </xdr:pic>
    <xdr:clientData/>
  </xdr:twoCellAnchor>
  <xdr:twoCellAnchor editAs="oneCell">
    <xdr:from>
      <xdr:col>16</xdr:col>
      <xdr:colOff>55113</xdr:colOff>
      <xdr:row>5</xdr:row>
      <xdr:rowOff>81751</xdr:rowOff>
    </xdr:from>
    <xdr:to>
      <xdr:col>18</xdr:col>
      <xdr:colOff>369182</xdr:colOff>
      <xdr:row>12</xdr:row>
      <xdr:rowOff>27436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481BE50-2A23-48F8-82B5-9A9A95FF1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06240" y="947660"/>
          <a:ext cx="1657960" cy="1157958"/>
        </a:xfrm>
        <a:prstGeom prst="rect">
          <a:avLst/>
        </a:prstGeom>
      </xdr:spPr>
    </xdr:pic>
    <xdr:clientData/>
  </xdr:twoCellAnchor>
  <xdr:twoCellAnchor editAs="oneCell">
    <xdr:from>
      <xdr:col>0</xdr:col>
      <xdr:colOff>620843</xdr:colOff>
      <xdr:row>5</xdr:row>
      <xdr:rowOff>81297</xdr:rowOff>
    </xdr:from>
    <xdr:to>
      <xdr:col>3</xdr:col>
      <xdr:colOff>264573</xdr:colOff>
      <xdr:row>12</xdr:row>
      <xdr:rowOff>27889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A48D0AA-ACD6-4B1B-B34B-0981F035B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0843" y="947206"/>
          <a:ext cx="1659566" cy="11588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3</xdr:row>
      <xdr:rowOff>160020</xdr:rowOff>
    </xdr:from>
    <xdr:to>
      <xdr:col>6</xdr:col>
      <xdr:colOff>533400</xdr:colOff>
      <xdr:row>9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47D945-9662-26EC-E935-A4DF7B72D496}"/>
            </a:ext>
          </a:extLst>
        </xdr:cNvPr>
        <xdr:cNvSpPr txBox="1"/>
      </xdr:nvSpPr>
      <xdr:spPr>
        <a:xfrm>
          <a:off x="2209800" y="685800"/>
          <a:ext cx="3177540" cy="982980"/>
        </a:xfrm>
        <a:prstGeom prst="rect">
          <a:avLst/>
        </a:prstGeom>
        <a:solidFill>
          <a:srgbClr val="63242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rgbClr val="F5EBC8"/>
              </a:solidFill>
            </a:rPr>
            <a:t>Insight:-</a:t>
          </a:r>
        </a:p>
        <a:p>
          <a:r>
            <a:rPr lang="en-US" sz="1200" b="1">
              <a:solidFill>
                <a:srgbClr val="F5EBC8"/>
              </a:solidFill>
            </a:rPr>
            <a:t>Printer is the most ordered product, indicating strong customer demand compared to other products.</a:t>
          </a:r>
          <a:endParaRPr lang="ar-EG" sz="1200" b="1">
            <a:solidFill>
              <a:srgbClr val="F5EBC8"/>
            </a:solidFill>
          </a:endParaRPr>
        </a:p>
      </xdr:txBody>
    </xdr:sp>
    <xdr:clientData/>
  </xdr:twoCellAnchor>
  <xdr:twoCellAnchor>
    <xdr:from>
      <xdr:col>2</xdr:col>
      <xdr:colOff>60960</xdr:colOff>
      <xdr:row>12</xdr:row>
      <xdr:rowOff>0</xdr:rowOff>
    </xdr:from>
    <xdr:to>
      <xdr:col>6</xdr:col>
      <xdr:colOff>594360</xdr:colOff>
      <xdr:row>17</xdr:row>
      <xdr:rowOff>22860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8934FD-55E3-5D2F-D83E-888F77B3AF1D}"/>
            </a:ext>
          </a:extLst>
        </xdr:cNvPr>
        <xdr:cNvSpPr txBox="1"/>
      </xdr:nvSpPr>
      <xdr:spPr>
        <a:xfrm>
          <a:off x="2232660" y="2103120"/>
          <a:ext cx="3215640" cy="899160"/>
        </a:xfrm>
        <a:prstGeom prst="rect">
          <a:avLst/>
        </a:prstGeom>
        <a:solidFill>
          <a:srgbClr val="63242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rgbClr val="F5EBC8"/>
              </a:solidFill>
            </a:rPr>
            <a:t>Insight:-</a:t>
          </a:r>
        </a:p>
        <a:p>
          <a:r>
            <a:rPr lang="en-US" sz="1200" b="1">
              <a:solidFill>
                <a:srgbClr val="F5EBC8"/>
              </a:solidFill>
            </a:rPr>
            <a:t>Sales peaked during June, while lower sales were recorded in September and November.</a:t>
          </a:r>
          <a:endParaRPr lang="ar-EG" sz="1200" b="1">
            <a:solidFill>
              <a:srgbClr val="F5EBC8"/>
            </a:solidFill>
          </a:endParaRPr>
        </a:p>
      </xdr:txBody>
    </xdr:sp>
    <xdr:clientData/>
  </xdr:twoCellAnchor>
  <xdr:twoCellAnchor>
    <xdr:from>
      <xdr:col>2</xdr:col>
      <xdr:colOff>99060</xdr:colOff>
      <xdr:row>20</xdr:row>
      <xdr:rowOff>76200</xdr:rowOff>
    </xdr:from>
    <xdr:to>
      <xdr:col>6</xdr:col>
      <xdr:colOff>464820</xdr:colOff>
      <xdr:row>25</xdr:row>
      <xdr:rowOff>144780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65F8A4-01F4-755B-1E32-0A0D3EFC3A01}"/>
            </a:ext>
          </a:extLst>
        </xdr:cNvPr>
        <xdr:cNvSpPr txBox="1"/>
      </xdr:nvSpPr>
      <xdr:spPr>
        <a:xfrm>
          <a:off x="2270760" y="3581400"/>
          <a:ext cx="3048000" cy="944880"/>
        </a:xfrm>
        <a:prstGeom prst="rect">
          <a:avLst/>
        </a:prstGeom>
        <a:solidFill>
          <a:srgbClr val="63242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rgbClr val="F5EBC8"/>
              </a:solidFill>
            </a:rPr>
            <a:t>Insight:-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rgbClr val="F5EBC8"/>
              </a:solidFill>
            </a:rPr>
            <a:t>A noticeable percentage of orders are either cancelled or returned, which may indicate operational or shipping issues.</a:t>
          </a:r>
        </a:p>
        <a:p>
          <a:endParaRPr lang="ar-EG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851522106481" backgroundQuery="1" createdVersion="8" refreshedVersion="8" minRefreshableVersion="3" recordCount="0" supportSubquery="1" supportAdvancedDrill="1" xr:uid="{15708284-660D-4416-AC24-9A7E36251B9A}">
  <cacheSource type="external" connectionId="1"/>
  <cacheFields count="1">
    <cacheField name="[Measures].[Count of Quantity]" caption="Count of Quantity" numFmtId="0" hierarchy="35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851590740742" backgroundQuery="1" createdVersion="8" refreshedVersion="8" minRefreshableVersion="3" recordCount="0" supportSubquery="1" supportAdvancedDrill="1" xr:uid="{2E5D6516-C917-4441-ADDB-4D48BBC0F66E}">
  <cacheSource type="external" connectionId="1"/>
  <cacheFields count="1">
    <cacheField name="[Measures].[Count of UnitPrice]" caption="Count of UnitPrice" numFmtId="0" hierarchy="36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851635879633" backgroundQuery="1" createdVersion="8" refreshedVersion="8" minRefreshableVersion="3" recordCount="0" supportSubquery="1" supportAdvancedDrill="1" xr:uid="{557E07F4-0A79-4A83-A147-52A3A9775C6B}">
  <cacheSource type="external" connectionId="1"/>
  <cacheFields count="1">
    <cacheField name="[Measures].[Count of TotalPrice]" caption="Count of TotalPrice" numFmtId="0" hierarchy="37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778768518518" backgroundQuery="1" createdVersion="8" refreshedVersion="8" minRefreshableVersion="3" recordCount="0" supportSubquery="1" supportAdvancedDrill="1" xr:uid="{A9A3C355-4A4A-4F0B-ABB0-EC4A824EBCDA}">
  <cacheSource type="external" connectionId="1"/>
  <cacheFields count="1">
    <cacheField name="[Measures].[Average of TotalPrice]" caption="Average of TotalPrice" numFmtId="0" hierarchy="34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779235185182" backgroundQuery="1" createdVersion="8" refreshedVersion="8" minRefreshableVersion="3" recordCount="0" supportSubquery="1" supportAdvancedDrill="1" xr:uid="{780398F7-CE61-4E60-A820-24156F333F6E}">
  <cacheSource type="external" connectionId="1"/>
  <cacheFields count="1">
    <cacheField name="[Measures].[Average of UnitPrice]" caption="Average of UnitPrice" numFmtId="0" hierarchy="33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777819560186" backgroundQuery="1" createdVersion="8" refreshedVersion="8" minRefreshableVersion="3" recordCount="0" supportSubquery="1" supportAdvancedDrill="1" xr:uid="{F391AF87-0550-4202-91DA-36BBAC4F3C0A}">
  <cacheSource type="external" connectionId="1"/>
  <cacheFields count="1">
    <cacheField name="[Measures].[Average of Quantity]" caption="Average of Quantity" numFmtId="0" hierarchy="32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761266898146" backgroundQuery="1" createdVersion="8" refreshedVersion="8" minRefreshableVersion="3" recordCount="0" supportSubquery="1" supportAdvancedDrill="1" xr:uid="{4EEFE8DF-C276-4F30-92EA-E1088164E7A7}">
  <cacheSource type="external" connectionId="1"/>
  <cacheFields count="3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Count of OrderID]" caption="Count of OrderID" numFmtId="0" hierarchy="27" level="32767"/>
    <cacheField name="[Table1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705419560189" backgroundQuery="1" createdVersion="8" refreshedVersion="8" minRefreshableVersion="3" recordCount="0" supportSubquery="1" supportAdvancedDrill="1" xr:uid="{389BAB12-DDD9-4726-83A7-D35AD7C5F0E3}">
  <cacheSource type="external" connectionId="1"/>
  <cacheFields count="2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28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698902430559" backgroundQuery="1" createdVersion="8" refreshedVersion="8" minRefreshableVersion="3" recordCount="0" supportSubquery="1" supportAdvancedDrill="1" xr:uid="{2266D31E-F874-49E3-9FE4-4B21577B18FB}">
  <cacheSource type="external" connectionId="1"/>
  <cacheFields count="2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Count of OrderID]" caption="Count of OrderID" numFmtId="0" hierarchy="27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699219907408" backgroundQuery="1" createdVersion="8" refreshedVersion="8" minRefreshableVersion="3" recordCount="0" supportSubquery="1" supportAdvancedDrill="1" xr:uid="{275B0034-9B7D-4DB1-8B45-27CA140BDD83}">
  <cacheSource type="external" connectionId="1"/>
  <cacheFields count="1">
    <cacheField name="[Measures].[Sum of TotalPrice]" caption="Sum of TotalPrice" numFmtId="0" hierarchy="28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698900810188" backgroundQuery="1" createdVersion="8" refreshedVersion="8" minRefreshableVersion="3" recordCount="0" supportSubquery="1" supportAdvancedDrill="1" xr:uid="{EF2FB379-6CBC-4BE6-B99A-F47C1DC3F596}">
  <cacheSource type="external" connectionId="1"/>
  <cacheFields count="2">
    <cacheField name="[Measures].[Sum of TotalPrice]" caption="Sum of TotalPrice" numFmtId="0" hierarchy="28" level="32767"/>
    <cacheField name="[Table1].[Date Month].[Date Month]" caption="Date Month" numFmtId="0" hierarchy="1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69889861111" backgroundQuery="1" createdVersion="8" refreshedVersion="8" minRefreshableVersion="3" recordCount="0" supportSubquery="1" supportAdvancedDrill="1" xr:uid="{F1E3C94D-B073-4353-96CB-4CCF29ECC8D9}">
  <cacheSource type="external" connectionId="1"/>
  <cacheFields count="2">
    <cacheField name="[Measures].[Count of OrderID]" caption="Count of OrderID" numFmtId="0" hierarchy="27" level="32767"/>
    <cacheField name="[Table1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698897685186" backgroundQuery="1" createdVersion="8" refreshedVersion="8" minRefreshableVersion="3" recordCount="0" supportSubquery="1" supportAdvancedDrill="1" xr:uid="{52465810-BAFA-4280-B1B0-DBEF8A4D3645}">
  <cacheSource type="external" connectionId="1"/>
  <cacheFields count="2">
    <cacheField name="[Measures].[Count of OrderID]" caption="Count of OrderID" numFmtId="0" hierarchy="27" level="32767"/>
    <cacheField name="[Table1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698896527778" backgroundQuery="1" createdVersion="8" refreshedVersion="8" minRefreshableVersion="3" recordCount="0" supportSubquery="1" supportAdvancedDrill="1" xr:uid="{F46712D9-40BE-4137-A5C2-12E675753DFE}">
  <cacheSource type="external" connectionId="1"/>
  <cacheFields count="2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28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698895486108" backgroundQuery="1" createdVersion="8" refreshedVersion="8" minRefreshableVersion="3" recordCount="0" supportSubquery="1" supportAdvancedDrill="1" xr:uid="{9C142FB3-0125-4566-B54D-D2492834D3AF}">
  <cacheSource type="external" connectionId="1"/>
  <cacheFields count="2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Count of OrderID]" caption="Count of OrderID" numFmtId="0" hierarchy="27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895948495374" backgroundQuery="1" createdVersion="8" refreshedVersion="8" minRefreshableVersion="3" recordCount="0" supportSubquery="1" supportAdvancedDrill="1" xr:uid="{8155FC11-03D5-4EAF-BA3B-F33F51059431}">
  <cacheSource type="external" connectionId="1"/>
  <cacheFields count="2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Count of OrderID]" caption="Count of OrderID" numFmtId="0" hierarchy="27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9.095778587965" backgroundQuery="1" createdVersion="8" refreshedVersion="8" minRefreshableVersion="3" recordCount="0" supportSubquery="1" supportAdvancedDrill="1" xr:uid="{E220D180-2C22-44AE-B54F-9879D23B8DE0}">
  <cacheSource type="external" connectionId="1"/>
  <cacheFields count="2">
    <cacheField name="[Table1].[ReferralSource].[ReferralSource]" caption="ReferralSource" numFmtId="0" hierarchy="12" level="1">
      <sharedItems count="5">
        <s v="Email"/>
        <s v="Facebook"/>
        <s v="Google"/>
        <s v="Instagram"/>
        <s v="Referral"/>
      </sharedItems>
    </cacheField>
    <cacheField name="[Measures].[Sum of TotalPrice]" caption="Sum of TotalPrice" numFmtId="0" hierarchy="28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79384-EB05-4DB4-8BEA-659537633607}" name="PivotTable23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N41:N4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Quantity" fld="0" subtotal="average" baseField="0" baseItem="0" numFmtId="1"/>
  </dataFields>
  <formats count="5"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BBF69-7303-4BD4-8DE0-E01F6289D4D4}" name="PivotTable27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M44:M4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UnitPrice" fld="0" subtotal="count" baseField="0" baseItem="0"/>
  </dataFields>
  <formats count="5">
    <format dxfId="42">
      <pivotArea type="all" dataOnly="0" outline="0" fieldPosition="0"/>
    </format>
    <format dxfId="41">
      <pivotArea outline="0" collapsedLevelsAreSubtotals="1" fieldPosition="0"/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38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/>
    <pivotHierarchy dragToData="1" caption="Count of UnitPrice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5A4A0-BA00-4058-AF81-F0D235C111EA}" name="PivotTable28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M41:M4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Quantity" fld="0" subtotal="count" baseField="0" baseItem="0"/>
  </dataFields>
  <formats count="5">
    <format dxfId="47">
      <pivotArea type="all" dataOnly="0" outline="0" fieldPosition="0"/>
    </format>
    <format dxfId="46">
      <pivotArea outline="0" collapsedLevelsAreSubtotals="1" fieldPosition="0"/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 caption="Count of Quantity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814E0-AC2A-4699-A407-02B7C95AE732}" name="PivotTable15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E3:E4" firstHeaderRow="1" firstDataRow="1" firstDataCol="0"/>
  <pivotFields count="2">
    <pivotField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Items count="1">
    <i/>
  </rowItems>
  <colItems count="1">
    <i/>
  </colItems>
  <dataFields count="1">
    <dataField name="Count of OrderID" fld="1" subtotal="count" baseField="0" baseItem="0"/>
  </dataFields>
  <formats count="4">
    <format dxfId="51">
      <pivotArea type="all" dataOnly="0" outline="0" fieldPosition="0"/>
    </format>
    <format dxfId="50">
      <pivotArea outline="0" collapsedLevelsAreSubtotals="1" fieldPosition="0"/>
    </format>
    <format dxfId="49">
      <pivotArea dataOnly="0" labelOnly="1" outline="0" axis="axisValues" fieldPosition="0"/>
    </format>
    <format dxfId="48">
      <pivotArea dataOnly="0" labelOnly="1" outline="0" axis="axisValues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46302-4DDF-4475-AC56-224BBCED59C1}" name="PivotTable5" cacheId="1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Referral Source">
  <location ref="J18:K24" firstHeaderRow="1" firstDataRow="1" firstDataCol="1"/>
  <pivotFields count="2">
    <pivotField axis="axisRow" allDrilled="1" subtotalTop="0" showAll="0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" baseField="0" baseItem="0"/>
  </dataFields>
  <formats count="6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0" type="button" dataOnly="0" labelOnly="1" outline="0" axis="axisRow" fieldPosition="0"/>
    </format>
    <format dxfId="54">
      <pivotArea dataOnly="0" labelOnly="1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2576F-3BC6-4ACD-A011-F8407E5979AC}" name="PivotTable1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Product">
  <location ref="A18:B26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Count of OrderID" fld="1" subtotal="count" baseField="0" baseItem="0"/>
  </dataFields>
  <formats count="6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0" type="button" dataOnly="0" labelOnly="1" outline="0" axis="axisRow" fieldPosition="0"/>
    </format>
    <format dxfId="60">
      <pivotArea dataOnly="0" labelOnly="1" fieldPosition="0">
        <references count="1">
          <reference field="0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EC0F5-9761-4A45-917D-129AF7757F20}" name="PivotTable3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 rowHeaderCaption="Order Status">
  <location ref="G18:H2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6"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3A28A-7C86-49A6-A764-F895D8939E79}" name="PivotTable20" cacheId="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M3:N11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Count of OrderID" fld="1" subtotal="count" baseField="0" baseItem="0"/>
  </dataFields>
  <formats count="6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0" type="button" dataOnly="0" labelOnly="1" outline="0" axis="axisRow" fieldPosition="0"/>
    </format>
    <format dxfId="72">
      <pivotArea dataOnly="0" labelOnly="1" fieldPosition="0">
        <references count="1">
          <reference field="0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69565-0F00-4966-B419-289EB9F68F4D}" name="PivotTable24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N44:N4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UnitPrice" fld="0" subtotal="average" baseField="0" baseItem="0" numFmtId="2"/>
  </dataFields>
  <formats count="5">
    <format dxfId="80">
      <pivotArea type="all" dataOnly="0" outline="0" fieldPosition="0"/>
    </format>
    <format dxfId="79">
      <pivotArea outline="0" collapsedLevelsAreSubtotals="1" fieldPosition="0"/>
    </format>
    <format dxfId="78">
      <pivotArea dataOnly="0" labelOnly="1" grandRow="1" outline="0" fieldPosition="0"/>
    </format>
    <format dxfId="77">
      <pivotArea dataOnly="0" labelOnly="1" outline="0" axis="axisValues" fieldPosition="0"/>
    </format>
    <format dxfId="76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20BAB-EC6C-43BA-902E-D005786A49EC}" name="PivotTable4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ayment Mesthod">
  <location ref="G30:H3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6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1" type="button" dataOnly="0" labelOnly="1" outline="0" axis="axisRow" fieldPosition="0"/>
    </format>
    <format dxfId="83">
      <pivotArea dataOnly="0" labelOnly="1" fieldPosition="0">
        <references count="1">
          <reference field="1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437CC-CC0C-4A90-B7FF-146FA24C4311}" name="PivotTable6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 rowHeaderCaption="Date Month">
  <location ref="M18:N3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0" baseField="0" baseItem="0"/>
  </dataFields>
  <formats count="6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" type="button" dataOnly="0" labelOnly="1" outline="0" axis="axisRow" fieldPosition="0"/>
    </format>
    <format dxfId="89">
      <pivotArea dataOnly="0" labelOnly="1" fieldPosition="0">
        <references count="1">
          <reference field="1" count="0"/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3D6D6-22E9-4852-BC67-085A65F652F2}" name="PivotTable18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J3:K11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" baseField="0" baseItem="0"/>
  </dataFields>
  <formats count="7"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0" type="button" dataOnly="0" labelOnly="1" outline="0" axis="axisRow" fieldPosition="0"/>
    </format>
    <format dxfId="96">
      <pivotArea dataOnly="0" labelOnly="1" fieldPosition="0">
        <references count="1">
          <reference field="0" count="0"/>
        </references>
      </pivotArea>
    </format>
    <format dxfId="95">
      <pivotArea dataOnly="0" labelOnly="1" grandRow="1" outline="0" fieldPosition="0"/>
    </format>
    <format dxfId="94">
      <pivotArea dataOnly="0" labelOnly="1" outline="0" axis="axisValues" fieldPosition="0"/>
    </format>
    <format dxfId="93">
      <pivotArea collapsedLevelsAreSubtotals="1" fieldPosition="0">
        <references count="1">
          <reference field="0" count="0"/>
        </references>
      </pivotArea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EBF42-5029-45A5-8B14-25F062F7C015}" name="PivotTable14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TotalPrice" fld="0" baseField="0" baseItem="0" numFmtId="1"/>
  </dataFields>
  <formats count="4">
    <format dxfId="103">
      <pivotArea type="all" dataOnly="0" outline="0" fieldPosition="0"/>
    </format>
    <format dxfId="102">
      <pivotArea outline="0" collapsedLevelsAreSubtotals="1" fieldPosition="0"/>
    </format>
    <format dxfId="101">
      <pivotArea dataOnly="0" labelOnly="1" outline="0" axis="axisValues" fieldPosition="0"/>
    </format>
    <format dxfId="100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C8B6D-A119-4ADA-B617-7BC4DD1567FE}" name="PivotTable21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J29:K35" firstHeaderRow="1" firstDataRow="1" firstDataCol="1"/>
  <pivotFields count="3">
    <pivotField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1" subtotal="count" showDataAs="percentOfTotal" baseField="0" baseItem="0" numFmtId="10"/>
  </dataFields>
  <formats count="6"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0" type="button" dataOnly="0" labelOnly="1" outline="0"/>
    </format>
    <format dxfId="106">
      <pivotArea dataOnly="0" labelOnly="1" grandRow="1" outline="0" fieldPosition="0"/>
    </format>
    <format dxfId="105">
      <pivotArea collapsedLevelsAreSubtotals="1" fieldPosition="0">
        <references count="1">
          <reference field="2" count="0"/>
        </references>
      </pivotArea>
    </format>
    <format dxfId="104">
      <pivotArea outline="0" fieldPosition="0">
        <references count="1">
          <reference field="4294967294" count="1">
            <x v="0"/>
          </reference>
        </references>
      </pivotArea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D823C-D16B-4567-BB76-B333CD443C7B}" name="PivotTable25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N47:N4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TotalPrice" fld="0" subtotal="average" baseField="0" baseItem="0"/>
  </dataFields>
  <formats count="5">
    <format dxfId="114">
      <pivotArea type="all" dataOnly="0" outline="0" fieldPosition="0"/>
    </format>
    <format dxfId="113">
      <pivotArea outline="0" collapsedLevelsAreSubtotals="1" fieldPosition="0"/>
    </format>
    <format dxfId="112">
      <pivotArea dataOnly="0" labelOnly="1" grandRow="1" outline="0" fieldPosition="0"/>
    </format>
    <format dxfId="111">
      <pivotArea dataOnly="0" labelOnly="1" outline="0" axis="axisValues" fieldPosition="0"/>
    </format>
    <format dxfId="110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D9CA4-A1C9-4D38-913D-53D10CDCB42E}" name="PivotTable26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M47:M4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TotalPrice" fld="0" subtotal="count" baseField="0" baseItem="0"/>
  </dataFields>
  <formats count="5">
    <format dxfId="119">
      <pivotArea type="all" dataOnly="0" outline="0" fieldPosition="0"/>
    </format>
    <format dxfId="118">
      <pivotArea outline="0" collapsedLevelsAreSubtotals="1" fieldPosition="0"/>
    </format>
    <format dxfId="117">
      <pivotArea dataOnly="0" labelOnly="1" grandRow="1" outline="0" fieldPosition="0"/>
    </format>
    <format dxfId="116">
      <pivotArea dataOnly="0" labelOnly="1" outline="0" axis="axisValues" fieldPosition="0"/>
    </format>
    <format dxfId="115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/>
    <pivotHierarchy dragToData="1"/>
    <pivotHierarchy dragToData="1" caption="Count of TotalPrice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D5B15-4794-4DD3-A6E9-5CD9A6555088}" name="PivotTable2" cacheId="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Product">
  <location ref="A30:B38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" baseField="0" baseItem="0"/>
  </dataFields>
  <formats count="6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0" type="button" dataOnly="0" labelOnly="1" outline="0" axis="axisRow" fieldPosition="0"/>
    </format>
    <format dxfId="122">
      <pivotArea dataOnly="0" labelOnly="1" fieldPosition="0">
        <references count="1">
          <reference field="0" count="0"/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2BC380-FC1D-4403-B5EC-AEBD278917E1}" name="Table1" displayName="Table1" ref="A1:U1201" totalsRowShown="0" headerRowDxfId="32" dataDxfId="30" headerRowBorderDxfId="31" tableBorderDxfId="29">
  <autoFilter ref="A1:U1201" xr:uid="{6F2BC380-FC1D-4403-B5EC-AEBD278917E1}"/>
  <tableColumns count="21">
    <tableColumn id="1" xr3:uid="{A1A9C249-7099-4DCC-A99D-8FE59BD08624}" name="OrderID" dataDxfId="28"/>
    <tableColumn id="2" xr3:uid="{736A92C7-D931-4EB9-8605-D6AC9F7A6738}" name="Date" dataDxfId="27"/>
    <tableColumn id="3" xr3:uid="{CAEB4C85-B6F3-4464-AC7C-387D809F10DD}" name="CustomerID" dataDxfId="26"/>
    <tableColumn id="4" xr3:uid="{D9664980-8F90-48CE-B462-CA3F388B3E13}" name="Product" dataDxfId="25"/>
    <tableColumn id="5" xr3:uid="{64A19DBE-F93D-4EB6-8975-AF28C8057954}" name="Quantity" dataDxfId="24"/>
    <tableColumn id="6" xr3:uid="{540568D0-A3BF-46C8-9854-7CBD8C145892}" name="UnitPrice" dataDxfId="23"/>
    <tableColumn id="7" xr3:uid="{60B64D7E-FEB6-49D2-9162-9991984E5092}" name="ShippingAddress" dataDxfId="22"/>
    <tableColumn id="8" xr3:uid="{0E86257F-58EE-455D-95FC-56A2900621C5}" name="PaymentMethod" dataDxfId="21"/>
    <tableColumn id="9" xr3:uid="{265A0A07-7FE0-494B-8BB1-89AAC03F1E9E}" name="OrderStatus" dataDxfId="20"/>
    <tableColumn id="10" xr3:uid="{9CE1AAD4-3B1F-4045-B45F-159808DFF795}" name="TrackingNumber" dataDxfId="19"/>
    <tableColumn id="11" xr3:uid="{7FD70463-8E2F-4FAB-A0A4-0E430C0AFE90}" name="ItemsInCart" dataDxfId="18"/>
    <tableColumn id="12" xr3:uid="{EF550E4C-C007-463A-9BF6-98B89FF852FE}" name="CouponCode" dataDxfId="17"/>
    <tableColumn id="13" xr3:uid="{128842AD-C126-47C2-8BF1-013516FD9EA2}" name="ReferralSource" dataDxfId="16"/>
    <tableColumn id="16" xr3:uid="{114DAD37-D1F6-4087-8D59-5C992D520783}" name="Date Month" dataDxfId="15">
      <calculatedColumnFormula>TEXT(B2,"MMM")</calculatedColumnFormula>
    </tableColumn>
    <tableColumn id="14" xr3:uid="{C9B33B7A-6C5E-4280-8F60-10E00494F539}" name="TotalPrice" dataDxfId="14"/>
    <tableColumn id="17" xr3:uid="{8E82436A-647D-4FF5-9C49-EA7AD7C7331F}" name="Q1" dataDxfId="13"/>
    <tableColumn id="18" xr3:uid="{505C5424-910E-434C-B4E9-3AF3681F554D}" name="Q3" dataDxfId="12">
      <calculatedColumnFormula>_xlfn.QUARTILE.EXC(Table1[[#This Row],[TotalPrice]],3)</calculatedColumnFormula>
    </tableColumn>
    <tableColumn id="19" xr3:uid="{F952FAE3-FD79-498D-8B2F-18AB39DF2B8A}" name="IQR" dataDxfId="11"/>
    <tableColumn id="20" xr3:uid="{B7DC3CE9-4EE7-4224-BFAF-F432AC9032D5}" name="Upper Bound" dataDxfId="10"/>
    <tableColumn id="21" xr3:uid="{A7EE576F-7984-4536-B0A6-D3C76C320BBD}" name="Lower Bound" dataDxfId="9">
      <calculatedColumnFormula>P2-1.5*R2</calculatedColumnFormula>
    </tableColumn>
    <tableColumn id="22" xr3:uid="{F87C3CCD-75C8-4DD6-9135-C4B2D38E5E6B}" name="Outlier Check" dataDxfId="8">
      <calculatedColumnFormula>IF(O2&gt;$S$2,"Outlier","Normal")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2AA92A-D85D-45CF-B622-0A4E533D282A}" name="Table4" displayName="Table4" ref="P40:S45" totalsRowShown="0">
  <autoFilter ref="P40:S45" xr:uid="{8B2AA92A-D85D-45CF-B622-0A4E533D282A}"/>
  <tableColumns count="4">
    <tableColumn id="1" xr3:uid="{796421AF-2AE4-46E1-A766-7D36FE96DB29}" name="Column"/>
    <tableColumn id="2" xr3:uid="{84552888-8CDC-4375-9516-50B85E1BE1C7}" name="Mean"/>
    <tableColumn id="3" xr3:uid="{910B0292-35E6-4843-BB53-CDFEAEEDA254}" name="Median"/>
    <tableColumn id="4" xr3:uid="{FBFD10B5-480B-42B6-95DF-A39E53BC0403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74F7FF-A77D-4357-A0DD-1274F084926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596aecb-3917-466a-80e8-1faa22fa4c1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01"/>
  <sheetViews>
    <sheetView zoomScale="51" zoomScaleNormal="100" workbookViewId="0">
      <selection activeCell="X5" sqref="X5:X7"/>
    </sheetView>
  </sheetViews>
  <sheetFormatPr defaultRowHeight="13.8" x14ac:dyDescent="0.25"/>
  <cols>
    <col min="1" max="1" width="11.69921875" style="1" bestFit="1" customWidth="1"/>
    <col min="2" max="2" width="9.8984375" style="1" bestFit="1" customWidth="1"/>
    <col min="3" max="3" width="15.296875" style="1" bestFit="1" customWidth="1"/>
    <col min="4" max="4" width="11.69921875" style="1" bestFit="1" customWidth="1"/>
    <col min="5" max="5" width="12.296875" style="1" bestFit="1" customWidth="1"/>
    <col min="6" max="6" width="12.8984375" style="1" bestFit="1" customWidth="1"/>
    <col min="7" max="7" width="20" style="1" bestFit="1" customWidth="1"/>
    <col min="8" max="8" width="19.296875" style="1" bestFit="1" customWidth="1"/>
    <col min="9" max="9" width="15.3984375" style="1" bestFit="1" customWidth="1"/>
    <col min="10" max="10" width="19.5" style="1" bestFit="1" customWidth="1"/>
    <col min="11" max="11" width="15" style="1" bestFit="1" customWidth="1"/>
    <col min="12" max="12" width="16.296875" style="1" bestFit="1" customWidth="1"/>
    <col min="13" max="13" width="18.19921875" style="1" bestFit="1" customWidth="1"/>
    <col min="14" max="14" width="14.69921875" bestFit="1" customWidth="1"/>
    <col min="15" max="15" width="13.69921875" style="1" bestFit="1" customWidth="1"/>
    <col min="16" max="18" width="9.8984375" style="1" customWidth="1"/>
    <col min="19" max="19" width="16.3984375" style="1" bestFit="1" customWidth="1"/>
    <col min="20" max="20" width="17.796875" style="1" customWidth="1"/>
    <col min="21" max="21" width="16.796875" style="1" bestFit="1" customWidth="1"/>
    <col min="22" max="16384" width="8.796875" style="1"/>
  </cols>
  <sheetData>
    <row r="1" spans="1:24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5" t="s">
        <v>4302</v>
      </c>
      <c r="O1" s="2" t="s">
        <v>13</v>
      </c>
      <c r="P1" s="2" t="s">
        <v>4309</v>
      </c>
      <c r="Q1" s="2" t="s">
        <v>4310</v>
      </c>
      <c r="R1" s="2" t="s">
        <v>4311</v>
      </c>
      <c r="S1" s="2" t="s">
        <v>4312</v>
      </c>
      <c r="T1" s="2" t="s">
        <v>4313</v>
      </c>
      <c r="U1" s="2" t="s">
        <v>4314</v>
      </c>
    </row>
    <row r="2" spans="1:24" x14ac:dyDescent="0.25">
      <c r="A2" s="1" t="s">
        <v>14</v>
      </c>
      <c r="B2" s="4">
        <v>44930</v>
      </c>
      <c r="C2" s="1" t="s">
        <v>1214</v>
      </c>
      <c r="D2" s="1" t="s">
        <v>2403</v>
      </c>
      <c r="E2" s="1">
        <v>5</v>
      </c>
      <c r="F2" s="1">
        <v>570.62</v>
      </c>
      <c r="G2" s="1" t="s">
        <v>2410</v>
      </c>
      <c r="H2" s="1" t="s">
        <v>3065</v>
      </c>
      <c r="I2" s="1" t="s">
        <v>3070</v>
      </c>
      <c r="J2" s="1" t="s">
        <v>3075</v>
      </c>
      <c r="K2" s="1">
        <v>7</v>
      </c>
      <c r="L2" s="1" t="s">
        <v>4275</v>
      </c>
      <c r="M2" s="1" t="s">
        <v>4278</v>
      </c>
      <c r="N2" s="6" t="str">
        <f t="shared" ref="N2:N65" si="0">TEXT(B2,"MMM")</f>
        <v>Jan</v>
      </c>
      <c r="O2" s="1">
        <v>2853.1</v>
      </c>
      <c r="P2" s="1">
        <f>_xlfn.QUARTILE.EXC(Table1[TotalPrice],1)</f>
        <v>410.52</v>
      </c>
      <c r="Q2" s="1">
        <f>_xlfn.QUARTILE.EXC(Table1[TotalPrice],3)</f>
        <v>1579.7249999999999</v>
      </c>
      <c r="R2" s="1">
        <f>Table1[[#This Row],[Q3]]-Table1[[#This Row],[Q1]]</f>
        <v>1169.2049999999999</v>
      </c>
      <c r="S2" s="1">
        <f>Q2+1.5*R2</f>
        <v>3333.5324999999998</v>
      </c>
      <c r="T2" s="7">
        <f t="shared" ref="T2" si="1">P2-1.5*R2</f>
        <v>-1343.2874999999999</v>
      </c>
      <c r="U2" s="1" t="str">
        <f>IF(O2&gt;$S$2,"Outlier","Normal")</f>
        <v>Normal</v>
      </c>
    </row>
    <row r="3" spans="1:24" x14ac:dyDescent="0.25">
      <c r="A3" s="1" t="s">
        <v>15</v>
      </c>
      <c r="B3" s="4">
        <v>45527</v>
      </c>
      <c r="C3" s="1" t="s">
        <v>1215</v>
      </c>
      <c r="D3" s="1" t="s">
        <v>2404</v>
      </c>
      <c r="E3" s="1">
        <v>2</v>
      </c>
      <c r="F3" s="1">
        <v>151.35</v>
      </c>
      <c r="G3" s="1" t="s">
        <v>2411</v>
      </c>
      <c r="H3" s="1" t="s">
        <v>3066</v>
      </c>
      <c r="I3" s="1" t="s">
        <v>3070</v>
      </c>
      <c r="J3" s="1" t="s">
        <v>3076</v>
      </c>
      <c r="K3" s="1">
        <v>3</v>
      </c>
      <c r="L3" s="1" t="s">
        <v>4275</v>
      </c>
      <c r="M3" s="1" t="s">
        <v>4279</v>
      </c>
      <c r="N3" s="6" t="str">
        <f t="shared" si="0"/>
        <v>Aug</v>
      </c>
      <c r="O3" s="1">
        <v>302.7</v>
      </c>
      <c r="T3" s="4"/>
      <c r="U3" s="1" t="str">
        <f t="shared" ref="U3:U66" si="2">IF(O3&gt;$S$2,"Outlier","Normal")</f>
        <v>Normal</v>
      </c>
    </row>
    <row r="4" spans="1:24" x14ac:dyDescent="0.25">
      <c r="A4" s="1" t="s">
        <v>16</v>
      </c>
      <c r="B4" s="4">
        <v>45349</v>
      </c>
      <c r="C4" s="1" t="s">
        <v>1216</v>
      </c>
      <c r="D4" s="1" t="s">
        <v>2405</v>
      </c>
      <c r="E4" s="1">
        <v>5</v>
      </c>
      <c r="F4" s="1">
        <v>550.67999999999995</v>
      </c>
      <c r="G4" s="1" t="s">
        <v>2412</v>
      </c>
      <c r="H4" s="1" t="s">
        <v>3067</v>
      </c>
      <c r="I4" s="1" t="s">
        <v>3071</v>
      </c>
      <c r="J4" s="1" t="s">
        <v>3077</v>
      </c>
      <c r="K4" s="1">
        <v>8</v>
      </c>
      <c r="L4" s="1" t="s">
        <v>4276</v>
      </c>
      <c r="M4" s="1" t="s">
        <v>4280</v>
      </c>
      <c r="N4" s="6" t="str">
        <f t="shared" si="0"/>
        <v>Feb</v>
      </c>
      <c r="O4" s="1">
        <v>2753.4</v>
      </c>
      <c r="T4" s="4"/>
      <c r="U4" s="1" t="str">
        <f t="shared" si="2"/>
        <v>Normal</v>
      </c>
      <c r="X4" t="s">
        <v>4327</v>
      </c>
    </row>
    <row r="5" spans="1:24" x14ac:dyDescent="0.25">
      <c r="A5" s="1" t="s">
        <v>17</v>
      </c>
      <c r="B5" s="4">
        <v>45214</v>
      </c>
      <c r="C5" s="1" t="s">
        <v>1217</v>
      </c>
      <c r="D5" s="1" t="s">
        <v>2406</v>
      </c>
      <c r="E5" s="1">
        <v>1</v>
      </c>
      <c r="F5" s="1">
        <v>273.19</v>
      </c>
      <c r="G5" s="1" t="s">
        <v>2413</v>
      </c>
      <c r="H5" s="1" t="s">
        <v>3065</v>
      </c>
      <c r="I5" s="1" t="s">
        <v>3072</v>
      </c>
      <c r="J5" s="1" t="s">
        <v>3078</v>
      </c>
      <c r="K5" s="1">
        <v>5</v>
      </c>
      <c r="L5" s="1" t="s">
        <v>4275</v>
      </c>
      <c r="M5" s="1" t="s">
        <v>4281</v>
      </c>
      <c r="N5" s="6" t="str">
        <f t="shared" si="0"/>
        <v>Oct</v>
      </c>
      <c r="O5" s="1">
        <v>273.19</v>
      </c>
      <c r="T5" s="4"/>
      <c r="U5" s="1" t="str">
        <f t="shared" si="2"/>
        <v>Normal</v>
      </c>
      <c r="W5" t="s">
        <v>4</v>
      </c>
      <c r="X5" s="1">
        <f>MEDIAN(Table1[Quantity])</f>
        <v>3</v>
      </c>
    </row>
    <row r="6" spans="1:24" x14ac:dyDescent="0.25">
      <c r="A6" s="1" t="s">
        <v>18</v>
      </c>
      <c r="B6" s="4">
        <v>45785</v>
      </c>
      <c r="C6" s="1" t="s">
        <v>1218</v>
      </c>
      <c r="D6" s="1" t="s">
        <v>2407</v>
      </c>
      <c r="E6" s="1">
        <v>4</v>
      </c>
      <c r="F6" s="1">
        <v>626.01</v>
      </c>
      <c r="G6" s="1" t="s">
        <v>2414</v>
      </c>
      <c r="H6" s="1" t="s">
        <v>3066</v>
      </c>
      <c r="I6" s="1" t="s">
        <v>3073</v>
      </c>
      <c r="J6" s="1" t="s">
        <v>3079</v>
      </c>
      <c r="K6" s="1">
        <v>8</v>
      </c>
      <c r="L6" s="1" t="s">
        <v>4275</v>
      </c>
      <c r="M6" s="1" t="s">
        <v>4280</v>
      </c>
      <c r="N6" s="6" t="str">
        <f t="shared" si="0"/>
        <v>May</v>
      </c>
      <c r="O6" s="1">
        <v>2504.04</v>
      </c>
      <c r="T6" s="4"/>
      <c r="U6" s="1" t="str">
        <f t="shared" si="2"/>
        <v>Normal</v>
      </c>
      <c r="W6" t="s">
        <v>5</v>
      </c>
      <c r="X6" s="1">
        <f>MEDIAN(Table1[UnitPrice])</f>
        <v>364.21</v>
      </c>
    </row>
    <row r="7" spans="1:24" x14ac:dyDescent="0.25">
      <c r="A7" s="1" t="s">
        <v>19</v>
      </c>
      <c r="B7" s="4">
        <v>45222</v>
      </c>
      <c r="C7" s="1" t="s">
        <v>1219</v>
      </c>
      <c r="D7" s="1" t="s">
        <v>2404</v>
      </c>
      <c r="E7" s="1">
        <v>2</v>
      </c>
      <c r="F7" s="1">
        <v>245.86</v>
      </c>
      <c r="G7" s="1" t="s">
        <v>2415</v>
      </c>
      <c r="H7" s="1" t="s">
        <v>3067</v>
      </c>
      <c r="I7" s="1" t="s">
        <v>3070</v>
      </c>
      <c r="J7" s="1" t="s">
        <v>3080</v>
      </c>
      <c r="K7" s="1">
        <v>4</v>
      </c>
      <c r="L7" s="1" t="s">
        <v>4275</v>
      </c>
      <c r="M7" s="1" t="s">
        <v>4278</v>
      </c>
      <c r="N7" s="6" t="str">
        <f t="shared" si="0"/>
        <v>Oct</v>
      </c>
      <c r="O7" s="1">
        <v>491.72</v>
      </c>
      <c r="T7" s="4"/>
      <c r="U7" s="1" t="str">
        <f t="shared" si="2"/>
        <v>Normal</v>
      </c>
      <c r="W7" t="s">
        <v>13</v>
      </c>
      <c r="X7" s="1">
        <f>MEDIAN(Table1[TotalPrice])</f>
        <v>823.61500000000001</v>
      </c>
    </row>
    <row r="8" spans="1:24" x14ac:dyDescent="0.25">
      <c r="A8" s="1" t="s">
        <v>20</v>
      </c>
      <c r="B8" s="4">
        <v>45825</v>
      </c>
      <c r="C8" s="1" t="s">
        <v>1220</v>
      </c>
      <c r="D8" s="1" t="s">
        <v>2408</v>
      </c>
      <c r="E8" s="1">
        <v>1</v>
      </c>
      <c r="F8" s="1">
        <v>664.42</v>
      </c>
      <c r="G8" s="1" t="s">
        <v>2416</v>
      </c>
      <c r="H8" s="1" t="s">
        <v>3068</v>
      </c>
      <c r="I8" s="1" t="s">
        <v>3072</v>
      </c>
      <c r="J8" s="1" t="s">
        <v>3081</v>
      </c>
      <c r="K8" s="1">
        <v>6</v>
      </c>
      <c r="L8" s="1" t="s">
        <v>4275</v>
      </c>
      <c r="M8" s="1" t="s">
        <v>4281</v>
      </c>
      <c r="N8" s="6" t="str">
        <f t="shared" si="0"/>
        <v>Jun</v>
      </c>
      <c r="O8" s="1">
        <v>664.42</v>
      </c>
      <c r="T8" s="4"/>
      <c r="U8" s="1" t="str">
        <f t="shared" si="2"/>
        <v>Normal</v>
      </c>
    </row>
    <row r="9" spans="1:24" x14ac:dyDescent="0.25">
      <c r="A9" s="1" t="s">
        <v>21</v>
      </c>
      <c r="B9" s="4">
        <v>45058</v>
      </c>
      <c r="C9" s="1" t="s">
        <v>1221</v>
      </c>
      <c r="D9" s="1" t="s">
        <v>2403</v>
      </c>
      <c r="E9" s="1">
        <v>5</v>
      </c>
      <c r="F9" s="1">
        <v>149.55000000000001</v>
      </c>
      <c r="G9" s="1" t="s">
        <v>2417</v>
      </c>
      <c r="H9" s="1" t="s">
        <v>3069</v>
      </c>
      <c r="I9" s="1" t="s">
        <v>3070</v>
      </c>
      <c r="J9" s="1" t="s">
        <v>3082</v>
      </c>
      <c r="K9" s="1">
        <v>9</v>
      </c>
      <c r="L9" s="1" t="s">
        <v>4276</v>
      </c>
      <c r="M9" s="1" t="s">
        <v>4281</v>
      </c>
      <c r="N9" s="6" t="str">
        <f t="shared" si="0"/>
        <v>May</v>
      </c>
      <c r="O9" s="1">
        <v>747.75</v>
      </c>
      <c r="T9" s="4"/>
      <c r="U9" s="1" t="str">
        <f t="shared" si="2"/>
        <v>Normal</v>
      </c>
    </row>
    <row r="10" spans="1:24" x14ac:dyDescent="0.25">
      <c r="A10" s="1" t="s">
        <v>22</v>
      </c>
      <c r="B10" s="4">
        <v>45749</v>
      </c>
      <c r="C10" s="1" t="s">
        <v>1222</v>
      </c>
      <c r="D10" s="1" t="s">
        <v>2404</v>
      </c>
      <c r="E10" s="1">
        <v>2</v>
      </c>
      <c r="F10" s="1">
        <v>134.28</v>
      </c>
      <c r="G10" s="1" t="s">
        <v>2418</v>
      </c>
      <c r="H10" s="1" t="s">
        <v>3068</v>
      </c>
      <c r="I10" s="1" t="s">
        <v>3071</v>
      </c>
      <c r="J10" s="1" t="s">
        <v>3083</v>
      </c>
      <c r="K10" s="1">
        <v>2</v>
      </c>
      <c r="L10" s="1" t="s">
        <v>4283</v>
      </c>
      <c r="M10" s="1" t="s">
        <v>4280</v>
      </c>
      <c r="N10" s="6" t="str">
        <f t="shared" si="0"/>
        <v>Apr</v>
      </c>
      <c r="O10" s="1">
        <v>268.56</v>
      </c>
      <c r="T10" s="4"/>
      <c r="U10" s="1" t="str">
        <f t="shared" si="2"/>
        <v>Normal</v>
      </c>
    </row>
    <row r="11" spans="1:24" x14ac:dyDescent="0.25">
      <c r="A11" s="1" t="s">
        <v>23</v>
      </c>
      <c r="B11" s="4">
        <v>45251</v>
      </c>
      <c r="C11" s="1" t="s">
        <v>1223</v>
      </c>
      <c r="D11" s="1" t="s">
        <v>2409</v>
      </c>
      <c r="E11" s="1">
        <v>4</v>
      </c>
      <c r="F11" s="1">
        <v>509.38</v>
      </c>
      <c r="G11" s="1" t="s">
        <v>2419</v>
      </c>
      <c r="H11" s="1" t="s">
        <v>3067</v>
      </c>
      <c r="I11" s="1" t="s">
        <v>3070</v>
      </c>
      <c r="J11" s="1" t="s">
        <v>3084</v>
      </c>
      <c r="K11" s="1">
        <v>6</v>
      </c>
      <c r="L11" s="1" t="s">
        <v>4275</v>
      </c>
      <c r="M11" s="1" t="s">
        <v>4282</v>
      </c>
      <c r="N11" s="6" t="str">
        <f t="shared" si="0"/>
        <v>Nov</v>
      </c>
      <c r="O11" s="1">
        <v>2037.52</v>
      </c>
      <c r="T11" s="4"/>
      <c r="U11" s="1" t="str">
        <f t="shared" si="2"/>
        <v>Normal</v>
      </c>
    </row>
    <row r="12" spans="1:24" x14ac:dyDescent="0.25">
      <c r="A12" s="1" t="s">
        <v>24</v>
      </c>
      <c r="B12" s="4">
        <v>45289</v>
      </c>
      <c r="C12" s="1" t="s">
        <v>1224</v>
      </c>
      <c r="D12" s="1" t="s">
        <v>2405</v>
      </c>
      <c r="E12" s="1">
        <v>5</v>
      </c>
      <c r="F12" s="1">
        <v>625.97</v>
      </c>
      <c r="G12" s="1" t="s">
        <v>2420</v>
      </c>
      <c r="H12" s="1" t="s">
        <v>3067</v>
      </c>
      <c r="I12" s="1" t="s">
        <v>3072</v>
      </c>
      <c r="J12" s="1" t="s">
        <v>3085</v>
      </c>
      <c r="K12" s="1">
        <v>9</v>
      </c>
      <c r="L12" s="1" t="s">
        <v>4277</v>
      </c>
      <c r="M12" s="1" t="s">
        <v>4278</v>
      </c>
      <c r="N12" s="6" t="str">
        <f t="shared" si="0"/>
        <v>Dec</v>
      </c>
      <c r="O12" s="1">
        <v>3129.85</v>
      </c>
      <c r="T12" s="4"/>
      <c r="U12" s="1" t="str">
        <f t="shared" si="2"/>
        <v>Normal</v>
      </c>
    </row>
    <row r="13" spans="1:24" x14ac:dyDescent="0.25">
      <c r="A13" s="1" t="s">
        <v>25</v>
      </c>
      <c r="B13" s="4">
        <v>45339</v>
      </c>
      <c r="C13" s="1" t="s">
        <v>1225</v>
      </c>
      <c r="D13" s="1" t="s">
        <v>2403</v>
      </c>
      <c r="E13" s="1">
        <v>3</v>
      </c>
      <c r="F13" s="1">
        <v>49.14</v>
      </c>
      <c r="G13" s="1" t="s">
        <v>2421</v>
      </c>
      <c r="H13" s="1" t="s">
        <v>3066</v>
      </c>
      <c r="I13" s="1" t="s">
        <v>3072</v>
      </c>
      <c r="J13" s="1" t="s">
        <v>3086</v>
      </c>
      <c r="K13" s="1">
        <v>7</v>
      </c>
      <c r="L13" s="1" t="s">
        <v>4275</v>
      </c>
      <c r="M13" s="1" t="s">
        <v>4280</v>
      </c>
      <c r="N13" s="6" t="str">
        <f t="shared" si="0"/>
        <v>Feb</v>
      </c>
      <c r="O13" s="1">
        <v>147.41999999999999</v>
      </c>
      <c r="T13" s="4"/>
      <c r="U13" s="1" t="str">
        <f t="shared" si="2"/>
        <v>Normal</v>
      </c>
    </row>
    <row r="14" spans="1:24" x14ac:dyDescent="0.25">
      <c r="A14" s="1" t="s">
        <v>26</v>
      </c>
      <c r="B14" s="4">
        <v>45580</v>
      </c>
      <c r="C14" s="1" t="s">
        <v>1226</v>
      </c>
      <c r="D14" s="1" t="s">
        <v>2403</v>
      </c>
      <c r="E14" s="1">
        <v>2</v>
      </c>
      <c r="F14" s="1">
        <v>180.5</v>
      </c>
      <c r="G14" s="1" t="s">
        <v>2422</v>
      </c>
      <c r="H14" s="1" t="s">
        <v>3065</v>
      </c>
      <c r="I14" s="1" t="s">
        <v>3074</v>
      </c>
      <c r="J14" s="1" t="s">
        <v>3087</v>
      </c>
      <c r="K14" s="1">
        <v>6</v>
      </c>
      <c r="L14" s="1" t="s">
        <v>4276</v>
      </c>
      <c r="M14" s="1" t="s">
        <v>4279</v>
      </c>
      <c r="N14" s="6" t="str">
        <f t="shared" si="0"/>
        <v>Oct</v>
      </c>
      <c r="O14" s="1">
        <v>361</v>
      </c>
      <c r="T14" s="4"/>
      <c r="U14" s="1" t="str">
        <f t="shared" si="2"/>
        <v>Normal</v>
      </c>
    </row>
    <row r="15" spans="1:24" x14ac:dyDescent="0.25">
      <c r="A15" s="1" t="s">
        <v>27</v>
      </c>
      <c r="B15" s="4">
        <v>45168</v>
      </c>
      <c r="C15" s="1" t="s">
        <v>1227</v>
      </c>
      <c r="D15" s="1" t="s">
        <v>2408</v>
      </c>
      <c r="E15" s="1">
        <v>3</v>
      </c>
      <c r="F15" s="1">
        <v>201.49</v>
      </c>
      <c r="G15" s="1" t="s">
        <v>2423</v>
      </c>
      <c r="H15" s="1" t="s">
        <v>3067</v>
      </c>
      <c r="I15" s="1" t="s">
        <v>3072</v>
      </c>
      <c r="J15" s="1" t="s">
        <v>3088</v>
      </c>
      <c r="K15" s="1">
        <v>4</v>
      </c>
      <c r="L15" s="1" t="s">
        <v>4276</v>
      </c>
      <c r="M15" s="1" t="s">
        <v>4281</v>
      </c>
      <c r="N15" s="6" t="str">
        <f t="shared" si="0"/>
        <v>Aug</v>
      </c>
      <c r="O15" s="1">
        <v>604.47</v>
      </c>
      <c r="T15" s="4"/>
      <c r="U15" s="1" t="str">
        <f t="shared" si="2"/>
        <v>Normal</v>
      </c>
    </row>
    <row r="16" spans="1:24" x14ac:dyDescent="0.25">
      <c r="A16" s="1" t="s">
        <v>28</v>
      </c>
      <c r="B16" s="4">
        <v>45012</v>
      </c>
      <c r="C16" s="1" t="s">
        <v>1228</v>
      </c>
      <c r="D16" s="1" t="s">
        <v>2405</v>
      </c>
      <c r="E16" s="1">
        <v>2</v>
      </c>
      <c r="F16" s="1">
        <v>393.33</v>
      </c>
      <c r="G16" s="1" t="s">
        <v>2424</v>
      </c>
      <c r="H16" s="1" t="s">
        <v>3065</v>
      </c>
      <c r="I16" s="1" t="s">
        <v>3074</v>
      </c>
      <c r="J16" s="1" t="s">
        <v>3089</v>
      </c>
      <c r="K16" s="1">
        <v>3</v>
      </c>
      <c r="L16" s="1" t="s">
        <v>4275</v>
      </c>
      <c r="M16" s="1" t="s">
        <v>4278</v>
      </c>
      <c r="N16" s="6" t="str">
        <f t="shared" si="0"/>
        <v>Mar</v>
      </c>
      <c r="O16" s="1">
        <v>786.66</v>
      </c>
      <c r="T16" s="4"/>
      <c r="U16" s="1" t="str">
        <f t="shared" si="2"/>
        <v>Normal</v>
      </c>
    </row>
    <row r="17" spans="1:21" x14ac:dyDescent="0.25">
      <c r="A17" s="1" t="s">
        <v>29</v>
      </c>
      <c r="B17" s="4">
        <v>45124</v>
      </c>
      <c r="C17" s="1" t="s">
        <v>1229</v>
      </c>
      <c r="D17" s="1" t="s">
        <v>2407</v>
      </c>
      <c r="E17" s="1">
        <v>1</v>
      </c>
      <c r="F17" s="1">
        <v>473.96</v>
      </c>
      <c r="G17" s="1" t="s">
        <v>2425</v>
      </c>
      <c r="H17" s="1" t="s">
        <v>3069</v>
      </c>
      <c r="I17" s="1" t="s">
        <v>3073</v>
      </c>
      <c r="J17" s="1" t="s">
        <v>3090</v>
      </c>
      <c r="K17" s="1">
        <v>3</v>
      </c>
      <c r="L17" s="1" t="s">
        <v>4283</v>
      </c>
      <c r="M17" s="1" t="s">
        <v>4282</v>
      </c>
      <c r="N17" s="6" t="str">
        <f t="shared" si="0"/>
        <v>Jul</v>
      </c>
      <c r="O17" s="1">
        <v>473.96</v>
      </c>
      <c r="T17" s="4"/>
      <c r="U17" s="1" t="str">
        <f t="shared" si="2"/>
        <v>Normal</v>
      </c>
    </row>
    <row r="18" spans="1:21" x14ac:dyDescent="0.25">
      <c r="A18" s="1" t="s">
        <v>30</v>
      </c>
      <c r="B18" s="4">
        <v>44950</v>
      </c>
      <c r="C18" s="1" t="s">
        <v>1230</v>
      </c>
      <c r="D18" s="1" t="s">
        <v>2407</v>
      </c>
      <c r="E18" s="1">
        <v>2</v>
      </c>
      <c r="F18" s="1">
        <v>533.80999999999995</v>
      </c>
      <c r="G18" s="1" t="s">
        <v>2426</v>
      </c>
      <c r="H18" s="1" t="s">
        <v>3067</v>
      </c>
      <c r="I18" s="1" t="s">
        <v>3074</v>
      </c>
      <c r="J18" s="1" t="s">
        <v>3091</v>
      </c>
      <c r="K18" s="1">
        <v>3</v>
      </c>
      <c r="L18" s="1" t="s">
        <v>4276</v>
      </c>
      <c r="M18" s="1" t="s">
        <v>4280</v>
      </c>
      <c r="N18" s="6" t="str">
        <f t="shared" si="0"/>
        <v>Jan</v>
      </c>
      <c r="O18" s="1">
        <v>1067.6199999999999</v>
      </c>
      <c r="T18" s="4"/>
      <c r="U18" s="1" t="str">
        <f t="shared" si="2"/>
        <v>Normal</v>
      </c>
    </row>
    <row r="19" spans="1:21" x14ac:dyDescent="0.25">
      <c r="A19" s="1" t="s">
        <v>31</v>
      </c>
      <c r="B19" s="4">
        <v>45353</v>
      </c>
      <c r="C19" s="1" t="s">
        <v>1231</v>
      </c>
      <c r="D19" s="1" t="s">
        <v>2405</v>
      </c>
      <c r="E19" s="1">
        <v>1</v>
      </c>
      <c r="F19" s="1">
        <v>423.4</v>
      </c>
      <c r="G19" s="1" t="s">
        <v>2427</v>
      </c>
      <c r="H19" s="1" t="s">
        <v>3065</v>
      </c>
      <c r="I19" s="1" t="s">
        <v>3070</v>
      </c>
      <c r="J19" s="1" t="s">
        <v>3092</v>
      </c>
      <c r="K19" s="1">
        <v>3</v>
      </c>
      <c r="L19" s="1" t="s">
        <v>4283</v>
      </c>
      <c r="M19" s="1" t="s">
        <v>4279</v>
      </c>
      <c r="N19" s="6" t="str">
        <f t="shared" si="0"/>
        <v>Mar</v>
      </c>
      <c r="O19" s="1">
        <v>423.4</v>
      </c>
      <c r="T19" s="4"/>
      <c r="U19" s="1" t="str">
        <f t="shared" si="2"/>
        <v>Normal</v>
      </c>
    </row>
    <row r="20" spans="1:21" x14ac:dyDescent="0.25">
      <c r="A20" s="1" t="s">
        <v>32</v>
      </c>
      <c r="B20" s="4">
        <v>45742</v>
      </c>
      <c r="C20" s="1" t="s">
        <v>1232</v>
      </c>
      <c r="D20" s="1" t="s">
        <v>2409</v>
      </c>
      <c r="E20" s="1">
        <v>1</v>
      </c>
      <c r="F20" s="1">
        <v>431.44</v>
      </c>
      <c r="G20" s="1" t="s">
        <v>2428</v>
      </c>
      <c r="H20" s="1" t="s">
        <v>3068</v>
      </c>
      <c r="I20" s="1" t="s">
        <v>3074</v>
      </c>
      <c r="J20" s="1" t="s">
        <v>3093</v>
      </c>
      <c r="K20" s="1">
        <v>3</v>
      </c>
      <c r="L20" s="1" t="s">
        <v>4275</v>
      </c>
      <c r="M20" s="1" t="s">
        <v>4281</v>
      </c>
      <c r="N20" s="6" t="str">
        <f t="shared" si="0"/>
        <v>Mar</v>
      </c>
      <c r="O20" s="1">
        <v>431.44</v>
      </c>
      <c r="T20" s="4"/>
      <c r="U20" s="1" t="str">
        <f t="shared" si="2"/>
        <v>Normal</v>
      </c>
    </row>
    <row r="21" spans="1:21" x14ac:dyDescent="0.25">
      <c r="A21" s="1" t="s">
        <v>33</v>
      </c>
      <c r="B21" s="4">
        <v>44949</v>
      </c>
      <c r="C21" s="1" t="s">
        <v>1233</v>
      </c>
      <c r="D21" s="1" t="s">
        <v>2403</v>
      </c>
      <c r="E21" s="1">
        <v>5</v>
      </c>
      <c r="F21" s="1">
        <v>224</v>
      </c>
      <c r="G21" s="1" t="s">
        <v>2429</v>
      </c>
      <c r="H21" s="1" t="s">
        <v>3069</v>
      </c>
      <c r="I21" s="1" t="s">
        <v>3072</v>
      </c>
      <c r="J21" s="1" t="s">
        <v>3094</v>
      </c>
      <c r="K21" s="1">
        <v>9</v>
      </c>
      <c r="L21" s="1" t="s">
        <v>4275</v>
      </c>
      <c r="M21" s="1" t="s">
        <v>4282</v>
      </c>
      <c r="N21" s="6" t="str">
        <f t="shared" si="0"/>
        <v>Jan</v>
      </c>
      <c r="O21" s="1">
        <v>1120</v>
      </c>
      <c r="T21" s="4"/>
      <c r="U21" s="1" t="str">
        <f t="shared" si="2"/>
        <v>Normal</v>
      </c>
    </row>
    <row r="22" spans="1:21" x14ac:dyDescent="0.25">
      <c r="A22" s="1" t="s">
        <v>34</v>
      </c>
      <c r="B22" s="4">
        <v>45054</v>
      </c>
      <c r="C22" s="1" t="s">
        <v>1234</v>
      </c>
      <c r="D22" s="1" t="s">
        <v>2406</v>
      </c>
      <c r="E22" s="1">
        <v>5</v>
      </c>
      <c r="F22" s="1">
        <v>62.51</v>
      </c>
      <c r="G22" s="1" t="s">
        <v>2430</v>
      </c>
      <c r="H22" s="1" t="s">
        <v>3069</v>
      </c>
      <c r="I22" s="1" t="s">
        <v>3074</v>
      </c>
      <c r="J22" s="1" t="s">
        <v>3095</v>
      </c>
      <c r="K22" s="1">
        <v>9</v>
      </c>
      <c r="L22" s="1" t="s">
        <v>4277</v>
      </c>
      <c r="M22" s="1" t="s">
        <v>4278</v>
      </c>
      <c r="N22" s="6" t="str">
        <f t="shared" si="0"/>
        <v>May</v>
      </c>
      <c r="O22" s="1">
        <v>312.55</v>
      </c>
      <c r="T22" s="4"/>
      <c r="U22" s="1" t="str">
        <f t="shared" si="2"/>
        <v>Normal</v>
      </c>
    </row>
    <row r="23" spans="1:21" x14ac:dyDescent="0.25">
      <c r="A23" s="1" t="s">
        <v>35</v>
      </c>
      <c r="B23" s="4">
        <v>45613</v>
      </c>
      <c r="C23" s="1" t="s">
        <v>1235</v>
      </c>
      <c r="D23" s="1" t="s">
        <v>2403</v>
      </c>
      <c r="E23" s="1">
        <v>4</v>
      </c>
      <c r="F23" s="1">
        <v>342.95</v>
      </c>
      <c r="G23" s="1" t="s">
        <v>2431</v>
      </c>
      <c r="H23" s="1" t="s">
        <v>3069</v>
      </c>
      <c r="I23" s="1" t="s">
        <v>3073</v>
      </c>
      <c r="J23" s="1" t="s">
        <v>3096</v>
      </c>
      <c r="K23" s="1">
        <v>6</v>
      </c>
      <c r="L23" s="1" t="s">
        <v>4283</v>
      </c>
      <c r="M23" s="1" t="s">
        <v>4282</v>
      </c>
      <c r="N23" s="6" t="str">
        <f t="shared" si="0"/>
        <v>Nov</v>
      </c>
      <c r="O23" s="1">
        <v>1371.8</v>
      </c>
      <c r="T23" s="4"/>
      <c r="U23" s="1" t="str">
        <f t="shared" si="2"/>
        <v>Normal</v>
      </c>
    </row>
    <row r="24" spans="1:21" x14ac:dyDescent="0.25">
      <c r="A24" s="1" t="s">
        <v>36</v>
      </c>
      <c r="B24" s="4">
        <v>44955</v>
      </c>
      <c r="C24" s="1" t="s">
        <v>1236</v>
      </c>
      <c r="D24" s="1" t="s">
        <v>2403</v>
      </c>
      <c r="E24" s="1">
        <v>2</v>
      </c>
      <c r="F24" s="1">
        <v>49.62</v>
      </c>
      <c r="G24" s="1" t="s">
        <v>2432</v>
      </c>
      <c r="H24" s="1" t="s">
        <v>3066</v>
      </c>
      <c r="I24" s="1" t="s">
        <v>3074</v>
      </c>
      <c r="J24" s="1" t="s">
        <v>3097</v>
      </c>
      <c r="K24" s="1">
        <v>2</v>
      </c>
      <c r="L24" s="1" t="s">
        <v>4275</v>
      </c>
      <c r="M24" s="1" t="s">
        <v>4282</v>
      </c>
      <c r="N24" s="6" t="str">
        <f t="shared" si="0"/>
        <v>Jan</v>
      </c>
      <c r="O24" s="1">
        <v>99.24</v>
      </c>
      <c r="T24" s="4"/>
      <c r="U24" s="1" t="str">
        <f t="shared" si="2"/>
        <v>Normal</v>
      </c>
    </row>
    <row r="25" spans="1:21" x14ac:dyDescent="0.25">
      <c r="A25" s="1" t="s">
        <v>37</v>
      </c>
      <c r="B25" s="4">
        <v>45756</v>
      </c>
      <c r="C25" s="1" t="s">
        <v>1237</v>
      </c>
      <c r="D25" s="1" t="s">
        <v>2404</v>
      </c>
      <c r="E25" s="1">
        <v>4</v>
      </c>
      <c r="F25" s="1">
        <v>273.25</v>
      </c>
      <c r="G25" s="1" t="s">
        <v>2433</v>
      </c>
      <c r="H25" s="1" t="s">
        <v>3065</v>
      </c>
      <c r="I25" s="1" t="s">
        <v>3071</v>
      </c>
      <c r="J25" s="1" t="s">
        <v>3098</v>
      </c>
      <c r="K25" s="1">
        <v>5</v>
      </c>
      <c r="L25" s="1" t="s">
        <v>4276</v>
      </c>
      <c r="M25" s="1" t="s">
        <v>4279</v>
      </c>
      <c r="N25" s="6" t="str">
        <f t="shared" si="0"/>
        <v>Apr</v>
      </c>
      <c r="O25" s="1">
        <v>1093</v>
      </c>
      <c r="T25" s="4"/>
      <c r="U25" s="1" t="str">
        <f t="shared" si="2"/>
        <v>Normal</v>
      </c>
    </row>
    <row r="26" spans="1:21" x14ac:dyDescent="0.25">
      <c r="A26" s="1" t="s">
        <v>38</v>
      </c>
      <c r="B26" s="4">
        <v>45595</v>
      </c>
      <c r="C26" s="1" t="s">
        <v>1238</v>
      </c>
      <c r="D26" s="1" t="s">
        <v>2408</v>
      </c>
      <c r="E26" s="1">
        <v>2</v>
      </c>
      <c r="F26" s="1">
        <v>230.95</v>
      </c>
      <c r="G26" s="1" t="s">
        <v>2434</v>
      </c>
      <c r="H26" s="1" t="s">
        <v>3066</v>
      </c>
      <c r="I26" s="1" t="s">
        <v>3073</v>
      </c>
      <c r="J26" s="1" t="s">
        <v>3099</v>
      </c>
      <c r="K26" s="1">
        <v>3</v>
      </c>
      <c r="L26" s="1" t="s">
        <v>4277</v>
      </c>
      <c r="M26" s="1" t="s">
        <v>4279</v>
      </c>
      <c r="N26" s="6" t="str">
        <f t="shared" si="0"/>
        <v>Oct</v>
      </c>
      <c r="O26" s="1">
        <v>461.9</v>
      </c>
      <c r="T26" s="4"/>
      <c r="U26" s="1" t="str">
        <f t="shared" si="2"/>
        <v>Normal</v>
      </c>
    </row>
    <row r="27" spans="1:21" x14ac:dyDescent="0.25">
      <c r="A27" s="1" t="s">
        <v>39</v>
      </c>
      <c r="B27" s="4">
        <v>45497</v>
      </c>
      <c r="C27" s="1" t="s">
        <v>1239</v>
      </c>
      <c r="D27" s="1" t="s">
        <v>2403</v>
      </c>
      <c r="E27" s="1">
        <v>1</v>
      </c>
      <c r="F27" s="1">
        <v>399.98</v>
      </c>
      <c r="G27" s="1" t="s">
        <v>2435</v>
      </c>
      <c r="H27" s="1" t="s">
        <v>3065</v>
      </c>
      <c r="I27" s="1" t="s">
        <v>3073</v>
      </c>
      <c r="J27" s="1" t="s">
        <v>3100</v>
      </c>
      <c r="K27" s="1">
        <v>3</v>
      </c>
      <c r="L27" s="1" t="s">
        <v>4277</v>
      </c>
      <c r="M27" s="1" t="s">
        <v>4280</v>
      </c>
      <c r="N27" s="6" t="str">
        <f t="shared" si="0"/>
        <v>Jul</v>
      </c>
      <c r="O27" s="1">
        <v>399.98</v>
      </c>
      <c r="T27" s="4"/>
      <c r="U27" s="1" t="str">
        <f t="shared" si="2"/>
        <v>Normal</v>
      </c>
    </row>
    <row r="28" spans="1:21" x14ac:dyDescent="0.25">
      <c r="A28" s="1" t="s">
        <v>40</v>
      </c>
      <c r="B28" s="4">
        <v>45357</v>
      </c>
      <c r="C28" s="1" t="s">
        <v>1240</v>
      </c>
      <c r="D28" s="1" t="s">
        <v>2408</v>
      </c>
      <c r="E28" s="1">
        <v>5</v>
      </c>
      <c r="F28" s="1">
        <v>59.55</v>
      </c>
      <c r="G28" s="1" t="s">
        <v>2436</v>
      </c>
      <c r="H28" s="1" t="s">
        <v>3066</v>
      </c>
      <c r="I28" s="1" t="s">
        <v>3073</v>
      </c>
      <c r="J28" s="1" t="s">
        <v>3101</v>
      </c>
      <c r="K28" s="1">
        <v>6</v>
      </c>
      <c r="L28" s="1" t="s">
        <v>4283</v>
      </c>
      <c r="M28" s="1" t="s">
        <v>4279</v>
      </c>
      <c r="N28" s="6" t="str">
        <f t="shared" si="0"/>
        <v>Mar</v>
      </c>
      <c r="O28" s="1">
        <v>297.75</v>
      </c>
      <c r="T28" s="4"/>
      <c r="U28" s="1" t="str">
        <f t="shared" si="2"/>
        <v>Normal</v>
      </c>
    </row>
    <row r="29" spans="1:21" x14ac:dyDescent="0.25">
      <c r="A29" s="1" t="s">
        <v>41</v>
      </c>
      <c r="B29" s="4">
        <v>45344</v>
      </c>
      <c r="C29" s="1" t="s">
        <v>1241</v>
      </c>
      <c r="D29" s="1" t="s">
        <v>2407</v>
      </c>
      <c r="E29" s="1">
        <v>1</v>
      </c>
      <c r="F29" s="1">
        <v>472.74</v>
      </c>
      <c r="G29" s="1" t="s">
        <v>2437</v>
      </c>
      <c r="H29" s="1" t="s">
        <v>3066</v>
      </c>
      <c r="I29" s="1" t="s">
        <v>3070</v>
      </c>
      <c r="J29" s="1" t="s">
        <v>3102</v>
      </c>
      <c r="K29" s="1">
        <v>6</v>
      </c>
      <c r="L29" s="1" t="s">
        <v>4277</v>
      </c>
      <c r="M29" s="1" t="s">
        <v>4282</v>
      </c>
      <c r="N29" s="6" t="str">
        <f t="shared" si="0"/>
        <v>Feb</v>
      </c>
      <c r="O29" s="1">
        <v>472.74</v>
      </c>
      <c r="T29" s="4"/>
      <c r="U29" s="1" t="str">
        <f t="shared" si="2"/>
        <v>Normal</v>
      </c>
    </row>
    <row r="30" spans="1:21" x14ac:dyDescent="0.25">
      <c r="A30" s="1" t="s">
        <v>42</v>
      </c>
      <c r="B30" s="4">
        <v>45251</v>
      </c>
      <c r="C30" s="1" t="s">
        <v>1242</v>
      </c>
      <c r="D30" s="1" t="s">
        <v>2404</v>
      </c>
      <c r="E30" s="1">
        <v>4</v>
      </c>
      <c r="F30" s="1">
        <v>160.07</v>
      </c>
      <c r="G30" s="1" t="s">
        <v>2438</v>
      </c>
      <c r="H30" s="1" t="s">
        <v>3066</v>
      </c>
      <c r="I30" s="1" t="s">
        <v>3074</v>
      </c>
      <c r="J30" s="1" t="s">
        <v>3103</v>
      </c>
      <c r="K30" s="1">
        <v>5</v>
      </c>
      <c r="L30" s="1" t="s">
        <v>4283</v>
      </c>
      <c r="M30" s="1" t="s">
        <v>4280</v>
      </c>
      <c r="N30" s="6" t="str">
        <f t="shared" si="0"/>
        <v>Nov</v>
      </c>
      <c r="O30" s="1">
        <v>640.28</v>
      </c>
      <c r="T30" s="4"/>
      <c r="U30" s="1" t="str">
        <f t="shared" si="2"/>
        <v>Normal</v>
      </c>
    </row>
    <row r="31" spans="1:21" x14ac:dyDescent="0.25">
      <c r="A31" s="1" t="s">
        <v>43</v>
      </c>
      <c r="B31" s="4">
        <v>45555</v>
      </c>
      <c r="C31" s="1" t="s">
        <v>1243</v>
      </c>
      <c r="D31" s="1" t="s">
        <v>2409</v>
      </c>
      <c r="E31" s="1">
        <v>3</v>
      </c>
      <c r="F31" s="1">
        <v>423.53</v>
      </c>
      <c r="G31" s="1" t="s">
        <v>2439</v>
      </c>
      <c r="H31" s="1" t="s">
        <v>3067</v>
      </c>
      <c r="I31" s="1" t="s">
        <v>3073</v>
      </c>
      <c r="J31" s="1" t="s">
        <v>3104</v>
      </c>
      <c r="K31" s="1">
        <v>6</v>
      </c>
      <c r="L31" s="1" t="s">
        <v>4275</v>
      </c>
      <c r="M31" s="1" t="s">
        <v>4279</v>
      </c>
      <c r="N31" s="6" t="str">
        <f t="shared" si="0"/>
        <v>Sep</v>
      </c>
      <c r="O31" s="1">
        <v>1270.5899999999999</v>
      </c>
      <c r="T31" s="4"/>
      <c r="U31" s="1" t="str">
        <f t="shared" si="2"/>
        <v>Normal</v>
      </c>
    </row>
    <row r="32" spans="1:21" x14ac:dyDescent="0.25">
      <c r="A32" s="1" t="s">
        <v>44</v>
      </c>
      <c r="B32" s="4">
        <v>45738</v>
      </c>
      <c r="C32" s="1" t="s">
        <v>1244</v>
      </c>
      <c r="D32" s="1" t="s">
        <v>2403</v>
      </c>
      <c r="E32" s="1">
        <v>2</v>
      </c>
      <c r="F32" s="1">
        <v>426.7</v>
      </c>
      <c r="G32" s="1" t="s">
        <v>2440</v>
      </c>
      <c r="H32" s="1" t="s">
        <v>3066</v>
      </c>
      <c r="I32" s="1" t="s">
        <v>3074</v>
      </c>
      <c r="J32" s="1" t="s">
        <v>3105</v>
      </c>
      <c r="K32" s="1">
        <v>5</v>
      </c>
      <c r="L32" s="1" t="s">
        <v>4275</v>
      </c>
      <c r="M32" s="1" t="s">
        <v>4279</v>
      </c>
      <c r="N32" s="6" t="str">
        <f t="shared" si="0"/>
        <v>Mar</v>
      </c>
      <c r="O32" s="1">
        <v>853.4</v>
      </c>
      <c r="T32" s="4"/>
      <c r="U32" s="1" t="str">
        <f t="shared" si="2"/>
        <v>Normal</v>
      </c>
    </row>
    <row r="33" spans="1:21" x14ac:dyDescent="0.25">
      <c r="A33" s="1" t="s">
        <v>45</v>
      </c>
      <c r="B33" s="4">
        <v>45107</v>
      </c>
      <c r="C33" s="1" t="s">
        <v>1245</v>
      </c>
      <c r="D33" s="1" t="s">
        <v>2406</v>
      </c>
      <c r="E33" s="1">
        <v>3</v>
      </c>
      <c r="F33" s="1">
        <v>500.08</v>
      </c>
      <c r="G33" s="1" t="s">
        <v>2441</v>
      </c>
      <c r="H33" s="1" t="s">
        <v>3065</v>
      </c>
      <c r="I33" s="1" t="s">
        <v>3072</v>
      </c>
      <c r="J33" s="1" t="s">
        <v>3106</v>
      </c>
      <c r="K33" s="1">
        <v>6</v>
      </c>
      <c r="L33" s="1" t="s">
        <v>4283</v>
      </c>
      <c r="M33" s="1" t="s">
        <v>4281</v>
      </c>
      <c r="N33" s="6" t="str">
        <f t="shared" si="0"/>
        <v>Jun</v>
      </c>
      <c r="O33" s="1">
        <v>1500.24</v>
      </c>
      <c r="T33" s="4"/>
      <c r="U33" s="1" t="str">
        <f t="shared" si="2"/>
        <v>Normal</v>
      </c>
    </row>
    <row r="34" spans="1:21" x14ac:dyDescent="0.25">
      <c r="A34" s="1" t="s">
        <v>46</v>
      </c>
      <c r="B34" s="4">
        <v>45047</v>
      </c>
      <c r="C34" s="1" t="s">
        <v>1246</v>
      </c>
      <c r="D34" s="1" t="s">
        <v>2405</v>
      </c>
      <c r="E34" s="1">
        <v>5</v>
      </c>
      <c r="F34" s="1">
        <v>536.72</v>
      </c>
      <c r="G34" s="1" t="s">
        <v>2442</v>
      </c>
      <c r="H34" s="1" t="s">
        <v>3069</v>
      </c>
      <c r="I34" s="1" t="s">
        <v>3073</v>
      </c>
      <c r="J34" s="1" t="s">
        <v>3107</v>
      </c>
      <c r="K34" s="1">
        <v>10</v>
      </c>
      <c r="L34" s="1" t="s">
        <v>4283</v>
      </c>
      <c r="M34" s="1" t="s">
        <v>4280</v>
      </c>
      <c r="N34" s="6" t="str">
        <f t="shared" si="0"/>
        <v>May</v>
      </c>
      <c r="O34" s="1">
        <v>2683.6</v>
      </c>
      <c r="T34" s="4"/>
      <c r="U34" s="1" t="str">
        <f t="shared" si="2"/>
        <v>Normal</v>
      </c>
    </row>
    <row r="35" spans="1:21" x14ac:dyDescent="0.25">
      <c r="A35" s="1" t="s">
        <v>47</v>
      </c>
      <c r="B35" s="4">
        <v>45082</v>
      </c>
      <c r="C35" s="1" t="s">
        <v>1247</v>
      </c>
      <c r="D35" s="1" t="s">
        <v>2406</v>
      </c>
      <c r="E35" s="1">
        <v>1</v>
      </c>
      <c r="F35" s="1">
        <v>162.77000000000001</v>
      </c>
      <c r="G35" s="1" t="s">
        <v>2443</v>
      </c>
      <c r="H35" s="1" t="s">
        <v>3066</v>
      </c>
      <c r="I35" s="1" t="s">
        <v>3071</v>
      </c>
      <c r="J35" s="1" t="s">
        <v>3108</v>
      </c>
      <c r="K35" s="1">
        <v>4</v>
      </c>
      <c r="L35" s="1" t="s">
        <v>4277</v>
      </c>
      <c r="M35" s="1" t="s">
        <v>4281</v>
      </c>
      <c r="N35" s="6" t="str">
        <f t="shared" si="0"/>
        <v>Jun</v>
      </c>
      <c r="O35" s="1">
        <v>162.77000000000001</v>
      </c>
      <c r="T35" s="4"/>
      <c r="U35" s="1" t="str">
        <f t="shared" si="2"/>
        <v>Normal</v>
      </c>
    </row>
    <row r="36" spans="1:21" x14ac:dyDescent="0.25">
      <c r="A36" s="1" t="s">
        <v>48</v>
      </c>
      <c r="B36" s="4">
        <v>44933</v>
      </c>
      <c r="C36" s="1" t="s">
        <v>1248</v>
      </c>
      <c r="D36" s="1" t="s">
        <v>2406</v>
      </c>
      <c r="E36" s="1">
        <v>4</v>
      </c>
      <c r="F36" s="1">
        <v>576.52</v>
      </c>
      <c r="G36" s="1" t="s">
        <v>2444</v>
      </c>
      <c r="H36" s="1" t="s">
        <v>3067</v>
      </c>
      <c r="I36" s="1" t="s">
        <v>3074</v>
      </c>
      <c r="J36" s="1" t="s">
        <v>3109</v>
      </c>
      <c r="K36" s="1">
        <v>5</v>
      </c>
      <c r="L36" s="1" t="s">
        <v>4277</v>
      </c>
      <c r="M36" s="1" t="s">
        <v>4281</v>
      </c>
      <c r="N36" s="6" t="str">
        <f t="shared" si="0"/>
        <v>Jan</v>
      </c>
      <c r="O36" s="1">
        <v>2306.08</v>
      </c>
      <c r="T36" s="4"/>
      <c r="U36" s="1" t="str">
        <f t="shared" si="2"/>
        <v>Normal</v>
      </c>
    </row>
    <row r="37" spans="1:21" x14ac:dyDescent="0.25">
      <c r="A37" s="1" t="s">
        <v>49</v>
      </c>
      <c r="B37" s="4">
        <v>45633</v>
      </c>
      <c r="C37" s="1" t="s">
        <v>1249</v>
      </c>
      <c r="D37" s="1" t="s">
        <v>2403</v>
      </c>
      <c r="E37" s="1">
        <v>2</v>
      </c>
      <c r="F37" s="1">
        <v>465.15</v>
      </c>
      <c r="G37" s="1" t="s">
        <v>2445</v>
      </c>
      <c r="H37" s="1" t="s">
        <v>3066</v>
      </c>
      <c r="I37" s="1" t="s">
        <v>3070</v>
      </c>
      <c r="J37" s="1" t="s">
        <v>3110</v>
      </c>
      <c r="K37" s="1">
        <v>2</v>
      </c>
      <c r="L37" s="1" t="s">
        <v>4275</v>
      </c>
      <c r="M37" s="1" t="s">
        <v>4281</v>
      </c>
      <c r="N37" s="6" t="str">
        <f t="shared" si="0"/>
        <v>Dec</v>
      </c>
      <c r="O37" s="1">
        <v>930.3</v>
      </c>
      <c r="T37" s="4"/>
      <c r="U37" s="1" t="str">
        <f t="shared" si="2"/>
        <v>Normal</v>
      </c>
    </row>
    <row r="38" spans="1:21" x14ac:dyDescent="0.25">
      <c r="A38" s="1" t="s">
        <v>50</v>
      </c>
      <c r="B38" s="4">
        <v>45785</v>
      </c>
      <c r="C38" s="1" t="s">
        <v>1250</v>
      </c>
      <c r="D38" s="1" t="s">
        <v>2408</v>
      </c>
      <c r="E38" s="1">
        <v>2</v>
      </c>
      <c r="F38" s="1">
        <v>534.42999999999995</v>
      </c>
      <c r="G38" s="1" t="s">
        <v>2446</v>
      </c>
      <c r="H38" s="1" t="s">
        <v>3065</v>
      </c>
      <c r="I38" s="1" t="s">
        <v>3074</v>
      </c>
      <c r="J38" s="1" t="s">
        <v>3111</v>
      </c>
      <c r="K38" s="1">
        <v>5</v>
      </c>
      <c r="L38" s="1" t="s">
        <v>4283</v>
      </c>
      <c r="M38" s="1" t="s">
        <v>4281</v>
      </c>
      <c r="N38" s="6" t="str">
        <f t="shared" si="0"/>
        <v>May</v>
      </c>
      <c r="O38" s="1">
        <v>1068.8599999999999</v>
      </c>
      <c r="T38" s="4"/>
      <c r="U38" s="1" t="str">
        <f t="shared" si="2"/>
        <v>Normal</v>
      </c>
    </row>
    <row r="39" spans="1:21" x14ac:dyDescent="0.25">
      <c r="A39" s="1" t="s">
        <v>51</v>
      </c>
      <c r="B39" s="4">
        <v>45579</v>
      </c>
      <c r="C39" s="1" t="s">
        <v>1251</v>
      </c>
      <c r="D39" s="1" t="s">
        <v>2408</v>
      </c>
      <c r="E39" s="1">
        <v>2</v>
      </c>
      <c r="F39" s="1">
        <v>76.739999999999995</v>
      </c>
      <c r="G39" s="1" t="s">
        <v>2447</v>
      </c>
      <c r="H39" s="1" t="s">
        <v>3069</v>
      </c>
      <c r="I39" s="1" t="s">
        <v>3072</v>
      </c>
      <c r="J39" s="1" t="s">
        <v>3112</v>
      </c>
      <c r="K39" s="1">
        <v>7</v>
      </c>
      <c r="L39" s="1" t="s">
        <v>4275</v>
      </c>
      <c r="M39" s="1" t="s">
        <v>4278</v>
      </c>
      <c r="N39" s="6" t="str">
        <f t="shared" si="0"/>
        <v>Oct</v>
      </c>
      <c r="O39" s="1">
        <v>153.47999999999999</v>
      </c>
      <c r="T39" s="4"/>
      <c r="U39" s="1" t="str">
        <f t="shared" si="2"/>
        <v>Normal</v>
      </c>
    </row>
    <row r="40" spans="1:21" x14ac:dyDescent="0.25">
      <c r="A40" s="1" t="s">
        <v>52</v>
      </c>
      <c r="B40" s="4">
        <v>45645</v>
      </c>
      <c r="C40" s="1" t="s">
        <v>1252</v>
      </c>
      <c r="D40" s="1" t="s">
        <v>2408</v>
      </c>
      <c r="E40" s="1">
        <v>1</v>
      </c>
      <c r="F40" s="1">
        <v>245.89</v>
      </c>
      <c r="G40" s="1" t="s">
        <v>2448</v>
      </c>
      <c r="H40" s="1" t="s">
        <v>3065</v>
      </c>
      <c r="I40" s="1" t="s">
        <v>3073</v>
      </c>
      <c r="J40" s="1" t="s">
        <v>3113</v>
      </c>
      <c r="K40" s="1">
        <v>3</v>
      </c>
      <c r="L40" s="1" t="s">
        <v>4275</v>
      </c>
      <c r="M40" s="1" t="s">
        <v>4282</v>
      </c>
      <c r="N40" s="6" t="str">
        <f t="shared" si="0"/>
        <v>Dec</v>
      </c>
      <c r="O40" s="1">
        <v>245.89</v>
      </c>
      <c r="T40" s="4"/>
      <c r="U40" s="1" t="str">
        <f t="shared" si="2"/>
        <v>Normal</v>
      </c>
    </row>
    <row r="41" spans="1:21" x14ac:dyDescent="0.25">
      <c r="A41" s="1" t="s">
        <v>53</v>
      </c>
      <c r="B41" s="4">
        <v>45715</v>
      </c>
      <c r="C41" s="1" t="s">
        <v>1253</v>
      </c>
      <c r="D41" s="1" t="s">
        <v>2407</v>
      </c>
      <c r="E41" s="1">
        <v>3</v>
      </c>
      <c r="F41" s="1">
        <v>256.45999999999998</v>
      </c>
      <c r="G41" s="1" t="s">
        <v>2449</v>
      </c>
      <c r="H41" s="1" t="s">
        <v>3067</v>
      </c>
      <c r="I41" s="1" t="s">
        <v>3073</v>
      </c>
      <c r="J41" s="1" t="s">
        <v>3114</v>
      </c>
      <c r="K41" s="1">
        <v>4</v>
      </c>
      <c r="L41" s="1" t="s">
        <v>4275</v>
      </c>
      <c r="M41" s="1" t="s">
        <v>4279</v>
      </c>
      <c r="N41" s="6" t="str">
        <f t="shared" si="0"/>
        <v>Feb</v>
      </c>
      <c r="O41" s="1">
        <v>769.37999999999988</v>
      </c>
      <c r="T41" s="4"/>
      <c r="U41" s="1" t="str">
        <f t="shared" si="2"/>
        <v>Normal</v>
      </c>
    </row>
    <row r="42" spans="1:21" x14ac:dyDescent="0.25">
      <c r="A42" s="1" t="s">
        <v>54</v>
      </c>
      <c r="B42" s="4">
        <v>45158</v>
      </c>
      <c r="C42" s="1" t="s">
        <v>1254</v>
      </c>
      <c r="D42" s="1" t="s">
        <v>2409</v>
      </c>
      <c r="E42" s="1">
        <v>2</v>
      </c>
      <c r="F42" s="1">
        <v>344.02</v>
      </c>
      <c r="G42" s="1" t="s">
        <v>2450</v>
      </c>
      <c r="H42" s="1" t="s">
        <v>3066</v>
      </c>
      <c r="I42" s="1" t="s">
        <v>3073</v>
      </c>
      <c r="J42" s="1" t="s">
        <v>3115</v>
      </c>
      <c r="K42" s="1">
        <v>4</v>
      </c>
      <c r="L42" s="1" t="s">
        <v>4276</v>
      </c>
      <c r="M42" s="1" t="s">
        <v>4278</v>
      </c>
      <c r="N42" s="6" t="str">
        <f t="shared" si="0"/>
        <v>Aug</v>
      </c>
      <c r="O42" s="1">
        <v>688.04</v>
      </c>
      <c r="T42" s="4"/>
      <c r="U42" s="1" t="str">
        <f t="shared" si="2"/>
        <v>Normal</v>
      </c>
    </row>
    <row r="43" spans="1:21" x14ac:dyDescent="0.25">
      <c r="A43" s="1" t="s">
        <v>55</v>
      </c>
      <c r="B43" s="4">
        <v>45265</v>
      </c>
      <c r="C43" s="1" t="s">
        <v>1255</v>
      </c>
      <c r="D43" s="1" t="s">
        <v>2403</v>
      </c>
      <c r="E43" s="1">
        <v>3</v>
      </c>
      <c r="F43" s="1">
        <v>611.45000000000005</v>
      </c>
      <c r="G43" s="1" t="s">
        <v>2451</v>
      </c>
      <c r="H43" s="1" t="s">
        <v>3068</v>
      </c>
      <c r="I43" s="1" t="s">
        <v>3074</v>
      </c>
      <c r="J43" s="1" t="s">
        <v>3116</v>
      </c>
      <c r="K43" s="1">
        <v>4</v>
      </c>
      <c r="L43" s="1" t="s">
        <v>4276</v>
      </c>
      <c r="M43" s="1" t="s">
        <v>4278</v>
      </c>
      <c r="N43" s="6" t="str">
        <f t="shared" si="0"/>
        <v>Dec</v>
      </c>
      <c r="O43" s="1">
        <v>1834.35</v>
      </c>
      <c r="T43" s="4"/>
      <c r="U43" s="1" t="str">
        <f t="shared" si="2"/>
        <v>Normal</v>
      </c>
    </row>
    <row r="44" spans="1:21" x14ac:dyDescent="0.25">
      <c r="A44" s="1" t="s">
        <v>56</v>
      </c>
      <c r="B44" s="4">
        <v>45418</v>
      </c>
      <c r="C44" s="1" t="s">
        <v>1256</v>
      </c>
      <c r="D44" s="1" t="s">
        <v>2407</v>
      </c>
      <c r="E44" s="1">
        <v>2</v>
      </c>
      <c r="F44" s="1">
        <v>151.66</v>
      </c>
      <c r="G44" s="1" t="s">
        <v>2424</v>
      </c>
      <c r="H44" s="1" t="s">
        <v>3069</v>
      </c>
      <c r="I44" s="1" t="s">
        <v>3071</v>
      </c>
      <c r="J44" s="1" t="s">
        <v>3117</v>
      </c>
      <c r="K44" s="1">
        <v>6</v>
      </c>
      <c r="L44" s="1" t="s">
        <v>4283</v>
      </c>
      <c r="M44" s="1" t="s">
        <v>4278</v>
      </c>
      <c r="N44" s="6" t="str">
        <f t="shared" si="0"/>
        <v>May</v>
      </c>
      <c r="O44" s="1">
        <v>303.32</v>
      </c>
      <c r="T44" s="4"/>
      <c r="U44" s="1" t="str">
        <f t="shared" si="2"/>
        <v>Normal</v>
      </c>
    </row>
    <row r="45" spans="1:21" x14ac:dyDescent="0.25">
      <c r="A45" s="1" t="s">
        <v>57</v>
      </c>
      <c r="B45" s="4">
        <v>45274</v>
      </c>
      <c r="C45" s="1" t="s">
        <v>1257</v>
      </c>
      <c r="D45" s="1" t="s">
        <v>2406</v>
      </c>
      <c r="E45" s="1">
        <v>3</v>
      </c>
      <c r="F45" s="1">
        <v>499.21</v>
      </c>
      <c r="G45" s="1" t="s">
        <v>2452</v>
      </c>
      <c r="H45" s="1" t="s">
        <v>3066</v>
      </c>
      <c r="I45" s="1" t="s">
        <v>3071</v>
      </c>
      <c r="J45" s="1" t="s">
        <v>3118</v>
      </c>
      <c r="K45" s="1">
        <v>8</v>
      </c>
      <c r="L45" s="1" t="s">
        <v>4283</v>
      </c>
      <c r="M45" s="1" t="s">
        <v>4278</v>
      </c>
      <c r="N45" s="6" t="str">
        <f t="shared" si="0"/>
        <v>Dec</v>
      </c>
      <c r="O45" s="1">
        <v>1497.63</v>
      </c>
      <c r="T45" s="4"/>
      <c r="U45" s="1" t="str">
        <f t="shared" si="2"/>
        <v>Normal</v>
      </c>
    </row>
    <row r="46" spans="1:21" x14ac:dyDescent="0.25">
      <c r="A46" s="1" t="s">
        <v>58</v>
      </c>
      <c r="B46" s="4">
        <v>45768</v>
      </c>
      <c r="C46" s="1" t="s">
        <v>1258</v>
      </c>
      <c r="D46" s="1" t="s">
        <v>2404</v>
      </c>
      <c r="E46" s="1">
        <v>2</v>
      </c>
      <c r="F46" s="1">
        <v>550.17999999999995</v>
      </c>
      <c r="G46" s="1" t="s">
        <v>2441</v>
      </c>
      <c r="H46" s="1" t="s">
        <v>3068</v>
      </c>
      <c r="I46" s="1" t="s">
        <v>3072</v>
      </c>
      <c r="J46" s="1" t="s">
        <v>3119</v>
      </c>
      <c r="K46" s="1">
        <v>3</v>
      </c>
      <c r="L46" s="1" t="s">
        <v>4276</v>
      </c>
      <c r="M46" s="1" t="s">
        <v>4279</v>
      </c>
      <c r="N46" s="6" t="str">
        <f t="shared" si="0"/>
        <v>Apr</v>
      </c>
      <c r="O46" s="1">
        <v>1100.3599999999999</v>
      </c>
      <c r="T46" s="4"/>
      <c r="U46" s="1" t="str">
        <f t="shared" si="2"/>
        <v>Normal</v>
      </c>
    </row>
    <row r="47" spans="1:21" x14ac:dyDescent="0.25">
      <c r="A47" s="1" t="s">
        <v>59</v>
      </c>
      <c r="B47" s="4">
        <v>45332</v>
      </c>
      <c r="C47" s="1" t="s">
        <v>1259</v>
      </c>
      <c r="D47" s="1" t="s">
        <v>2406</v>
      </c>
      <c r="E47" s="1">
        <v>1</v>
      </c>
      <c r="F47" s="1">
        <v>317.25</v>
      </c>
      <c r="G47" s="1" t="s">
        <v>2453</v>
      </c>
      <c r="H47" s="1" t="s">
        <v>3065</v>
      </c>
      <c r="I47" s="1" t="s">
        <v>3072</v>
      </c>
      <c r="J47" s="1" t="s">
        <v>3120</v>
      </c>
      <c r="K47" s="1">
        <v>1</v>
      </c>
      <c r="L47" s="1" t="s">
        <v>4275</v>
      </c>
      <c r="M47" s="1" t="s">
        <v>4281</v>
      </c>
      <c r="N47" s="6" t="str">
        <f t="shared" si="0"/>
        <v>Feb</v>
      </c>
      <c r="O47" s="1">
        <v>317.25</v>
      </c>
      <c r="T47" s="4"/>
      <c r="U47" s="1" t="str">
        <f t="shared" si="2"/>
        <v>Normal</v>
      </c>
    </row>
    <row r="48" spans="1:21" x14ac:dyDescent="0.25">
      <c r="A48" s="1" t="s">
        <v>60</v>
      </c>
      <c r="B48" s="4">
        <v>45469</v>
      </c>
      <c r="C48" s="1" t="s">
        <v>1260</v>
      </c>
      <c r="D48" s="1" t="s">
        <v>2403</v>
      </c>
      <c r="E48" s="1">
        <v>4</v>
      </c>
      <c r="F48" s="1">
        <v>550.14</v>
      </c>
      <c r="G48" s="1" t="s">
        <v>2454</v>
      </c>
      <c r="H48" s="1" t="s">
        <v>3065</v>
      </c>
      <c r="I48" s="1" t="s">
        <v>3074</v>
      </c>
      <c r="J48" s="1" t="s">
        <v>3121</v>
      </c>
      <c r="K48" s="1">
        <v>4</v>
      </c>
      <c r="L48" s="1" t="s">
        <v>4276</v>
      </c>
      <c r="M48" s="1" t="s">
        <v>4278</v>
      </c>
      <c r="N48" s="6" t="str">
        <f t="shared" si="0"/>
        <v>Jun</v>
      </c>
      <c r="O48" s="1">
        <v>2200.56</v>
      </c>
      <c r="T48" s="4"/>
      <c r="U48" s="1" t="str">
        <f t="shared" si="2"/>
        <v>Normal</v>
      </c>
    </row>
    <row r="49" spans="1:21" x14ac:dyDescent="0.25">
      <c r="A49" s="1" t="s">
        <v>61</v>
      </c>
      <c r="B49" s="4">
        <v>45126</v>
      </c>
      <c r="C49" s="1" t="s">
        <v>1261</v>
      </c>
      <c r="D49" s="1" t="s">
        <v>2409</v>
      </c>
      <c r="E49" s="1">
        <v>2</v>
      </c>
      <c r="F49" s="1">
        <v>209.94</v>
      </c>
      <c r="G49" s="1" t="s">
        <v>2455</v>
      </c>
      <c r="H49" s="1" t="s">
        <v>3067</v>
      </c>
      <c r="I49" s="1" t="s">
        <v>3072</v>
      </c>
      <c r="J49" s="1" t="s">
        <v>3122</v>
      </c>
      <c r="K49" s="1">
        <v>3</v>
      </c>
      <c r="L49" s="1" t="s">
        <v>4276</v>
      </c>
      <c r="M49" s="1" t="s">
        <v>4280</v>
      </c>
      <c r="N49" s="6" t="str">
        <f t="shared" si="0"/>
        <v>Jul</v>
      </c>
      <c r="O49" s="1">
        <v>419.88</v>
      </c>
      <c r="T49" s="4"/>
      <c r="U49" s="1" t="str">
        <f t="shared" si="2"/>
        <v>Normal</v>
      </c>
    </row>
    <row r="50" spans="1:21" x14ac:dyDescent="0.25">
      <c r="A50" s="1" t="s">
        <v>62</v>
      </c>
      <c r="B50" s="4">
        <v>45164</v>
      </c>
      <c r="C50" s="1" t="s">
        <v>1262</v>
      </c>
      <c r="D50" s="1" t="s">
        <v>2403</v>
      </c>
      <c r="E50" s="1">
        <v>2</v>
      </c>
      <c r="F50" s="1">
        <v>80.77</v>
      </c>
      <c r="G50" s="1" t="s">
        <v>2456</v>
      </c>
      <c r="H50" s="1" t="s">
        <v>3065</v>
      </c>
      <c r="I50" s="1" t="s">
        <v>3070</v>
      </c>
      <c r="J50" s="1" t="s">
        <v>3123</v>
      </c>
      <c r="K50" s="1">
        <v>4</v>
      </c>
      <c r="L50" s="1" t="s">
        <v>4283</v>
      </c>
      <c r="M50" s="1" t="s">
        <v>4282</v>
      </c>
      <c r="N50" s="6" t="str">
        <f t="shared" si="0"/>
        <v>Aug</v>
      </c>
      <c r="O50" s="1">
        <v>161.54</v>
      </c>
      <c r="T50" s="4"/>
      <c r="U50" s="1" t="str">
        <f t="shared" si="2"/>
        <v>Normal</v>
      </c>
    </row>
    <row r="51" spans="1:21" x14ac:dyDescent="0.25">
      <c r="A51" s="1" t="s">
        <v>63</v>
      </c>
      <c r="B51" s="4">
        <v>45206</v>
      </c>
      <c r="C51" s="1" t="s">
        <v>1263</v>
      </c>
      <c r="D51" s="1" t="s">
        <v>2407</v>
      </c>
      <c r="E51" s="1">
        <v>1</v>
      </c>
      <c r="F51" s="1">
        <v>30.44</v>
      </c>
      <c r="G51" s="1" t="s">
        <v>2432</v>
      </c>
      <c r="H51" s="1" t="s">
        <v>3067</v>
      </c>
      <c r="I51" s="1" t="s">
        <v>3070</v>
      </c>
      <c r="J51" s="1" t="s">
        <v>3124</v>
      </c>
      <c r="K51" s="1">
        <v>1</v>
      </c>
      <c r="L51" s="1" t="s">
        <v>4275</v>
      </c>
      <c r="M51" s="1" t="s">
        <v>4280</v>
      </c>
      <c r="N51" s="6" t="str">
        <f t="shared" si="0"/>
        <v>Oct</v>
      </c>
      <c r="O51" s="1">
        <v>30.44</v>
      </c>
      <c r="T51" s="4"/>
      <c r="U51" s="1" t="str">
        <f t="shared" si="2"/>
        <v>Normal</v>
      </c>
    </row>
    <row r="52" spans="1:21" x14ac:dyDescent="0.25">
      <c r="A52" s="1" t="s">
        <v>64</v>
      </c>
      <c r="B52" s="4">
        <v>45138</v>
      </c>
      <c r="C52" s="1" t="s">
        <v>1264</v>
      </c>
      <c r="D52" s="1" t="s">
        <v>2405</v>
      </c>
      <c r="E52" s="1">
        <v>1</v>
      </c>
      <c r="F52" s="1">
        <v>179.22</v>
      </c>
      <c r="G52" s="1" t="s">
        <v>2457</v>
      </c>
      <c r="H52" s="1" t="s">
        <v>3066</v>
      </c>
      <c r="I52" s="1" t="s">
        <v>3071</v>
      </c>
      <c r="J52" s="1" t="s">
        <v>3125</v>
      </c>
      <c r="K52" s="1">
        <v>6</v>
      </c>
      <c r="L52" s="1" t="s">
        <v>4276</v>
      </c>
      <c r="M52" s="1" t="s">
        <v>4278</v>
      </c>
      <c r="N52" s="6" t="str">
        <f t="shared" si="0"/>
        <v>Jul</v>
      </c>
      <c r="O52" s="1">
        <v>179.22</v>
      </c>
      <c r="T52" s="4"/>
      <c r="U52" s="1" t="str">
        <f t="shared" si="2"/>
        <v>Normal</v>
      </c>
    </row>
    <row r="53" spans="1:21" x14ac:dyDescent="0.25">
      <c r="A53" s="1" t="s">
        <v>65</v>
      </c>
      <c r="B53" s="4">
        <v>45656</v>
      </c>
      <c r="C53" s="1" t="s">
        <v>1265</v>
      </c>
      <c r="D53" s="1" t="s">
        <v>2405</v>
      </c>
      <c r="E53" s="1">
        <v>1</v>
      </c>
      <c r="F53" s="1">
        <v>388.33</v>
      </c>
      <c r="G53" s="1" t="s">
        <v>2458</v>
      </c>
      <c r="H53" s="1" t="s">
        <v>3069</v>
      </c>
      <c r="I53" s="1" t="s">
        <v>3072</v>
      </c>
      <c r="J53" s="1" t="s">
        <v>3126</v>
      </c>
      <c r="K53" s="1">
        <v>2</v>
      </c>
      <c r="L53" s="1" t="s">
        <v>4275</v>
      </c>
      <c r="M53" s="1" t="s">
        <v>4281</v>
      </c>
      <c r="N53" s="6" t="str">
        <f t="shared" si="0"/>
        <v>Dec</v>
      </c>
      <c r="O53" s="1">
        <v>388.33</v>
      </c>
      <c r="T53" s="4"/>
      <c r="U53" s="1" t="str">
        <f t="shared" si="2"/>
        <v>Normal</v>
      </c>
    </row>
    <row r="54" spans="1:21" x14ac:dyDescent="0.25">
      <c r="A54" s="1" t="s">
        <v>66</v>
      </c>
      <c r="B54" s="4">
        <v>45543</v>
      </c>
      <c r="C54" s="1" t="s">
        <v>1266</v>
      </c>
      <c r="D54" s="1" t="s">
        <v>2405</v>
      </c>
      <c r="E54" s="1">
        <v>1</v>
      </c>
      <c r="F54" s="1">
        <v>586.44000000000005</v>
      </c>
      <c r="G54" s="1" t="s">
        <v>2459</v>
      </c>
      <c r="H54" s="1" t="s">
        <v>3066</v>
      </c>
      <c r="I54" s="1" t="s">
        <v>3072</v>
      </c>
      <c r="J54" s="1" t="s">
        <v>3127</v>
      </c>
      <c r="K54" s="1">
        <v>5</v>
      </c>
      <c r="L54" s="1" t="s">
        <v>4275</v>
      </c>
      <c r="M54" s="1" t="s">
        <v>4281</v>
      </c>
      <c r="N54" s="6" t="str">
        <f t="shared" si="0"/>
        <v>Sep</v>
      </c>
      <c r="O54" s="1">
        <v>586.44000000000005</v>
      </c>
      <c r="T54" s="4"/>
      <c r="U54" s="1" t="str">
        <f t="shared" si="2"/>
        <v>Normal</v>
      </c>
    </row>
    <row r="55" spans="1:21" x14ac:dyDescent="0.25">
      <c r="A55" s="1" t="s">
        <v>67</v>
      </c>
      <c r="B55" s="4">
        <v>45430</v>
      </c>
      <c r="C55" s="1" t="s">
        <v>1267</v>
      </c>
      <c r="D55" s="1" t="s">
        <v>2404</v>
      </c>
      <c r="E55" s="1">
        <v>4</v>
      </c>
      <c r="F55" s="1">
        <v>488.78</v>
      </c>
      <c r="G55" s="1" t="s">
        <v>2412</v>
      </c>
      <c r="H55" s="1" t="s">
        <v>3066</v>
      </c>
      <c r="I55" s="1" t="s">
        <v>3072</v>
      </c>
      <c r="J55" s="1" t="s">
        <v>3128</v>
      </c>
      <c r="K55" s="1">
        <v>5</v>
      </c>
      <c r="L55" s="1" t="s">
        <v>4276</v>
      </c>
      <c r="M55" s="1" t="s">
        <v>4282</v>
      </c>
      <c r="N55" s="6" t="str">
        <f t="shared" si="0"/>
        <v>May</v>
      </c>
      <c r="O55" s="1">
        <v>1955.12</v>
      </c>
      <c r="T55" s="4"/>
      <c r="U55" s="1" t="str">
        <f t="shared" si="2"/>
        <v>Normal</v>
      </c>
    </row>
    <row r="56" spans="1:21" x14ac:dyDescent="0.25">
      <c r="A56" s="1" t="s">
        <v>68</v>
      </c>
      <c r="B56" s="4">
        <v>45743</v>
      </c>
      <c r="C56" s="1" t="s">
        <v>1268</v>
      </c>
      <c r="D56" s="1" t="s">
        <v>2406</v>
      </c>
      <c r="E56" s="1">
        <v>1</v>
      </c>
      <c r="F56" s="1">
        <v>280.25</v>
      </c>
      <c r="G56" s="1" t="s">
        <v>2460</v>
      </c>
      <c r="H56" s="1" t="s">
        <v>3066</v>
      </c>
      <c r="I56" s="1" t="s">
        <v>3074</v>
      </c>
      <c r="J56" s="1" t="s">
        <v>3129</v>
      </c>
      <c r="K56" s="1">
        <v>5</v>
      </c>
      <c r="L56" s="1" t="s">
        <v>4277</v>
      </c>
      <c r="M56" s="1" t="s">
        <v>4280</v>
      </c>
      <c r="N56" s="6" t="str">
        <f t="shared" si="0"/>
        <v>Mar</v>
      </c>
      <c r="O56" s="1">
        <v>280.25</v>
      </c>
      <c r="T56" s="4"/>
      <c r="U56" s="1" t="str">
        <f t="shared" si="2"/>
        <v>Normal</v>
      </c>
    </row>
    <row r="57" spans="1:21" x14ac:dyDescent="0.25">
      <c r="A57" s="1" t="s">
        <v>69</v>
      </c>
      <c r="B57" s="4">
        <v>45832</v>
      </c>
      <c r="C57" s="1" t="s">
        <v>1269</v>
      </c>
      <c r="D57" s="1" t="s">
        <v>2407</v>
      </c>
      <c r="E57" s="1">
        <v>3</v>
      </c>
      <c r="F57" s="1">
        <v>344.4</v>
      </c>
      <c r="G57" s="1" t="s">
        <v>2461</v>
      </c>
      <c r="H57" s="1" t="s">
        <v>3066</v>
      </c>
      <c r="I57" s="1" t="s">
        <v>3071</v>
      </c>
      <c r="J57" s="1" t="s">
        <v>3130</v>
      </c>
      <c r="K57" s="1">
        <v>3</v>
      </c>
      <c r="L57" s="1" t="s">
        <v>4283</v>
      </c>
      <c r="M57" s="1" t="s">
        <v>4281</v>
      </c>
      <c r="N57" s="6" t="str">
        <f t="shared" si="0"/>
        <v>Jun</v>
      </c>
      <c r="O57" s="1">
        <v>1033.2</v>
      </c>
      <c r="T57" s="4"/>
      <c r="U57" s="1" t="str">
        <f t="shared" si="2"/>
        <v>Normal</v>
      </c>
    </row>
    <row r="58" spans="1:21" x14ac:dyDescent="0.25">
      <c r="A58" s="1" t="s">
        <v>70</v>
      </c>
      <c r="B58" s="4">
        <v>45067</v>
      </c>
      <c r="C58" s="1" t="s">
        <v>1270</v>
      </c>
      <c r="D58" s="1" t="s">
        <v>2405</v>
      </c>
      <c r="E58" s="1">
        <v>3</v>
      </c>
      <c r="F58" s="1">
        <v>479.21</v>
      </c>
      <c r="G58" s="1" t="s">
        <v>2462</v>
      </c>
      <c r="H58" s="1" t="s">
        <v>3069</v>
      </c>
      <c r="I58" s="1" t="s">
        <v>3071</v>
      </c>
      <c r="J58" s="1" t="s">
        <v>3131</v>
      </c>
      <c r="K58" s="1">
        <v>5</v>
      </c>
      <c r="L58" s="1" t="s">
        <v>4277</v>
      </c>
      <c r="M58" s="1" t="s">
        <v>4279</v>
      </c>
      <c r="N58" s="6" t="str">
        <f t="shared" si="0"/>
        <v>May</v>
      </c>
      <c r="O58" s="1">
        <v>1437.63</v>
      </c>
      <c r="T58" s="4"/>
      <c r="U58" s="1" t="str">
        <f t="shared" si="2"/>
        <v>Normal</v>
      </c>
    </row>
    <row r="59" spans="1:21" x14ac:dyDescent="0.25">
      <c r="A59" s="1" t="s">
        <v>71</v>
      </c>
      <c r="B59" s="4">
        <v>44948</v>
      </c>
      <c r="C59" s="1" t="s">
        <v>1271</v>
      </c>
      <c r="D59" s="1" t="s">
        <v>2407</v>
      </c>
      <c r="E59" s="1">
        <v>5</v>
      </c>
      <c r="F59" s="1">
        <v>314.27</v>
      </c>
      <c r="G59" s="1" t="s">
        <v>2463</v>
      </c>
      <c r="H59" s="1" t="s">
        <v>3069</v>
      </c>
      <c r="I59" s="1" t="s">
        <v>3072</v>
      </c>
      <c r="J59" s="1" t="s">
        <v>3132</v>
      </c>
      <c r="K59" s="1">
        <v>6</v>
      </c>
      <c r="L59" s="1" t="s">
        <v>4275</v>
      </c>
      <c r="M59" s="1" t="s">
        <v>4278</v>
      </c>
      <c r="N59" s="6" t="str">
        <f t="shared" si="0"/>
        <v>Jan</v>
      </c>
      <c r="O59" s="1">
        <v>1571.35</v>
      </c>
      <c r="T59" s="4"/>
      <c r="U59" s="1" t="str">
        <f t="shared" si="2"/>
        <v>Normal</v>
      </c>
    </row>
    <row r="60" spans="1:21" x14ac:dyDescent="0.25">
      <c r="A60" s="1" t="s">
        <v>72</v>
      </c>
      <c r="B60" s="4">
        <v>44941</v>
      </c>
      <c r="C60" s="1" t="s">
        <v>1272</v>
      </c>
      <c r="D60" s="1" t="s">
        <v>2404</v>
      </c>
      <c r="E60" s="1">
        <v>4</v>
      </c>
      <c r="F60" s="1">
        <v>474.69</v>
      </c>
      <c r="G60" s="1" t="s">
        <v>2464</v>
      </c>
      <c r="H60" s="1" t="s">
        <v>3068</v>
      </c>
      <c r="I60" s="1" t="s">
        <v>3071</v>
      </c>
      <c r="J60" s="1" t="s">
        <v>3133</v>
      </c>
      <c r="K60" s="1">
        <v>6</v>
      </c>
      <c r="L60" s="1" t="s">
        <v>4275</v>
      </c>
      <c r="M60" s="1" t="s">
        <v>4282</v>
      </c>
      <c r="N60" s="6" t="str">
        <f t="shared" si="0"/>
        <v>Jan</v>
      </c>
      <c r="O60" s="1">
        <v>1898.76</v>
      </c>
      <c r="T60" s="4"/>
      <c r="U60" s="1" t="str">
        <f t="shared" si="2"/>
        <v>Normal</v>
      </c>
    </row>
    <row r="61" spans="1:21" x14ac:dyDescent="0.25">
      <c r="A61" s="1" t="s">
        <v>73</v>
      </c>
      <c r="B61" s="4">
        <v>45546</v>
      </c>
      <c r="C61" s="1" t="s">
        <v>1273</v>
      </c>
      <c r="D61" s="1" t="s">
        <v>2406</v>
      </c>
      <c r="E61" s="1">
        <v>4</v>
      </c>
      <c r="F61" s="1">
        <v>593.27</v>
      </c>
      <c r="G61" s="1" t="s">
        <v>2465</v>
      </c>
      <c r="H61" s="1" t="s">
        <v>3066</v>
      </c>
      <c r="I61" s="1" t="s">
        <v>3070</v>
      </c>
      <c r="J61" s="1" t="s">
        <v>3134</v>
      </c>
      <c r="K61" s="1">
        <v>5</v>
      </c>
      <c r="L61" s="1" t="s">
        <v>4283</v>
      </c>
      <c r="M61" s="1" t="s">
        <v>4281</v>
      </c>
      <c r="N61" s="6" t="str">
        <f t="shared" si="0"/>
        <v>Sep</v>
      </c>
      <c r="O61" s="1">
        <v>2373.08</v>
      </c>
      <c r="T61" s="4"/>
      <c r="U61" s="1" t="str">
        <f t="shared" si="2"/>
        <v>Normal</v>
      </c>
    </row>
    <row r="62" spans="1:21" x14ac:dyDescent="0.25">
      <c r="A62" s="1" t="s">
        <v>74</v>
      </c>
      <c r="B62" s="4">
        <v>45525</v>
      </c>
      <c r="C62" s="1" t="s">
        <v>1274</v>
      </c>
      <c r="D62" s="1" t="s">
        <v>2409</v>
      </c>
      <c r="E62" s="1">
        <v>1</v>
      </c>
      <c r="F62" s="1">
        <v>417.1</v>
      </c>
      <c r="G62" s="1" t="s">
        <v>2466</v>
      </c>
      <c r="H62" s="1" t="s">
        <v>3065</v>
      </c>
      <c r="I62" s="1" t="s">
        <v>3072</v>
      </c>
      <c r="J62" s="1" t="s">
        <v>3135</v>
      </c>
      <c r="K62" s="1">
        <v>3</v>
      </c>
      <c r="L62" s="1" t="s">
        <v>4276</v>
      </c>
      <c r="M62" s="1" t="s">
        <v>4279</v>
      </c>
      <c r="N62" s="6" t="str">
        <f t="shared" si="0"/>
        <v>Aug</v>
      </c>
      <c r="O62" s="1">
        <v>417.1</v>
      </c>
      <c r="T62" s="4"/>
      <c r="U62" s="1" t="str">
        <f t="shared" si="2"/>
        <v>Normal</v>
      </c>
    </row>
    <row r="63" spans="1:21" x14ac:dyDescent="0.25">
      <c r="A63" s="1" t="s">
        <v>75</v>
      </c>
      <c r="B63" s="4">
        <v>45375</v>
      </c>
      <c r="C63" s="1" t="s">
        <v>1275</v>
      </c>
      <c r="D63" s="1" t="s">
        <v>2409</v>
      </c>
      <c r="E63" s="1">
        <v>4</v>
      </c>
      <c r="F63" s="1">
        <v>122.2</v>
      </c>
      <c r="G63" s="1" t="s">
        <v>2467</v>
      </c>
      <c r="H63" s="1" t="s">
        <v>3069</v>
      </c>
      <c r="I63" s="1" t="s">
        <v>3073</v>
      </c>
      <c r="J63" s="1" t="s">
        <v>3136</v>
      </c>
      <c r="K63" s="1">
        <v>7</v>
      </c>
      <c r="L63" s="1" t="s">
        <v>4276</v>
      </c>
      <c r="M63" s="1" t="s">
        <v>4281</v>
      </c>
      <c r="N63" s="6" t="str">
        <f t="shared" si="0"/>
        <v>Mar</v>
      </c>
      <c r="O63" s="1">
        <v>488.8</v>
      </c>
      <c r="T63" s="4"/>
      <c r="U63" s="1" t="str">
        <f t="shared" si="2"/>
        <v>Normal</v>
      </c>
    </row>
    <row r="64" spans="1:21" x14ac:dyDescent="0.25">
      <c r="A64" s="1" t="s">
        <v>76</v>
      </c>
      <c r="B64" s="4">
        <v>45160</v>
      </c>
      <c r="C64" s="1" t="s">
        <v>1276</v>
      </c>
      <c r="D64" s="1" t="s">
        <v>2409</v>
      </c>
      <c r="E64" s="1">
        <v>2</v>
      </c>
      <c r="F64" s="1">
        <v>43.15</v>
      </c>
      <c r="G64" s="1" t="s">
        <v>2468</v>
      </c>
      <c r="H64" s="1" t="s">
        <v>3065</v>
      </c>
      <c r="I64" s="1" t="s">
        <v>3074</v>
      </c>
      <c r="J64" s="1" t="s">
        <v>3137</v>
      </c>
      <c r="K64" s="1">
        <v>3</v>
      </c>
      <c r="L64" s="1" t="s">
        <v>4277</v>
      </c>
      <c r="M64" s="1" t="s">
        <v>4280</v>
      </c>
      <c r="N64" s="6" t="str">
        <f t="shared" si="0"/>
        <v>Aug</v>
      </c>
      <c r="O64" s="1">
        <v>86.3</v>
      </c>
      <c r="T64" s="4"/>
      <c r="U64" s="1" t="str">
        <f t="shared" si="2"/>
        <v>Normal</v>
      </c>
    </row>
    <row r="65" spans="1:24" x14ac:dyDescent="0.25">
      <c r="A65" s="1" t="s">
        <v>77</v>
      </c>
      <c r="B65" s="4">
        <v>45690</v>
      </c>
      <c r="C65" s="1" t="s">
        <v>1277</v>
      </c>
      <c r="D65" s="1" t="s">
        <v>2406</v>
      </c>
      <c r="E65" s="1">
        <v>1</v>
      </c>
      <c r="F65" s="1">
        <v>564.86</v>
      </c>
      <c r="G65" s="1" t="s">
        <v>2469</v>
      </c>
      <c r="H65" s="1" t="s">
        <v>3065</v>
      </c>
      <c r="I65" s="1" t="s">
        <v>3070</v>
      </c>
      <c r="J65" s="1" t="s">
        <v>3138</v>
      </c>
      <c r="K65" s="1">
        <v>6</v>
      </c>
      <c r="L65" s="1" t="s">
        <v>4277</v>
      </c>
      <c r="M65" s="1" t="s">
        <v>4279</v>
      </c>
      <c r="N65" s="6" t="str">
        <f t="shared" si="0"/>
        <v>Feb</v>
      </c>
      <c r="O65" s="1">
        <v>564.86</v>
      </c>
      <c r="T65" s="4"/>
      <c r="U65" s="1" t="str">
        <f t="shared" si="2"/>
        <v>Normal</v>
      </c>
    </row>
    <row r="66" spans="1:24" x14ac:dyDescent="0.25">
      <c r="A66" s="1" t="s">
        <v>78</v>
      </c>
      <c r="B66" s="4">
        <v>45833</v>
      </c>
      <c r="C66" s="1" t="s">
        <v>1278</v>
      </c>
      <c r="D66" s="1" t="s">
        <v>2407</v>
      </c>
      <c r="E66" s="1">
        <v>3</v>
      </c>
      <c r="F66" s="1">
        <v>130.61000000000001</v>
      </c>
      <c r="G66" s="1" t="s">
        <v>2470</v>
      </c>
      <c r="H66" s="1" t="s">
        <v>3065</v>
      </c>
      <c r="I66" s="1" t="s">
        <v>3071</v>
      </c>
      <c r="J66" s="1" t="s">
        <v>3139</v>
      </c>
      <c r="K66" s="1">
        <v>4</v>
      </c>
      <c r="L66" s="1" t="s">
        <v>4276</v>
      </c>
      <c r="M66" s="1" t="s">
        <v>4281</v>
      </c>
      <c r="N66" s="6" t="str">
        <f t="shared" ref="N66:N129" si="3">TEXT(B66,"MMM")</f>
        <v>Jun</v>
      </c>
      <c r="O66" s="1">
        <v>391.83</v>
      </c>
      <c r="T66" s="4"/>
      <c r="U66" s="1" t="str">
        <f t="shared" si="2"/>
        <v>Normal</v>
      </c>
    </row>
    <row r="67" spans="1:24" x14ac:dyDescent="0.25">
      <c r="A67" s="1" t="s">
        <v>79</v>
      </c>
      <c r="B67" s="4">
        <v>45290</v>
      </c>
      <c r="C67" s="1" t="s">
        <v>1279</v>
      </c>
      <c r="D67" s="1" t="s">
        <v>2403</v>
      </c>
      <c r="E67" s="1">
        <v>5</v>
      </c>
      <c r="F67" s="1">
        <v>81.7</v>
      </c>
      <c r="G67" s="1" t="s">
        <v>2471</v>
      </c>
      <c r="H67" s="1" t="s">
        <v>3067</v>
      </c>
      <c r="I67" s="1" t="s">
        <v>3073</v>
      </c>
      <c r="J67" s="1" t="s">
        <v>3140</v>
      </c>
      <c r="K67" s="1">
        <v>6</v>
      </c>
      <c r="L67" s="1" t="s">
        <v>4283</v>
      </c>
      <c r="M67" s="1" t="s">
        <v>4278</v>
      </c>
      <c r="N67" s="6" t="str">
        <f t="shared" si="3"/>
        <v>Dec</v>
      </c>
      <c r="O67" s="1">
        <v>408.5</v>
      </c>
      <c r="T67" s="4"/>
      <c r="U67" s="1" t="str">
        <f t="shared" ref="U67:U130" si="4">IF(O67&gt;$S$2,"Outlier","Normal")</f>
        <v>Normal</v>
      </c>
    </row>
    <row r="68" spans="1:24" x14ac:dyDescent="0.25">
      <c r="A68" s="1" t="s">
        <v>80</v>
      </c>
      <c r="B68" s="4">
        <v>45611</v>
      </c>
      <c r="C68" s="1" t="s">
        <v>1280</v>
      </c>
      <c r="D68" s="1" t="s">
        <v>2406</v>
      </c>
      <c r="E68" s="1">
        <v>5</v>
      </c>
      <c r="F68" s="1">
        <v>127.18</v>
      </c>
      <c r="G68" s="1" t="s">
        <v>2472</v>
      </c>
      <c r="H68" s="1" t="s">
        <v>3069</v>
      </c>
      <c r="I68" s="1" t="s">
        <v>3071</v>
      </c>
      <c r="J68" s="1" t="s">
        <v>3141</v>
      </c>
      <c r="K68" s="1">
        <v>9</v>
      </c>
      <c r="L68" s="1" t="s">
        <v>4275</v>
      </c>
      <c r="M68" s="1" t="s">
        <v>4279</v>
      </c>
      <c r="N68" s="6" t="str">
        <f t="shared" si="3"/>
        <v>Nov</v>
      </c>
      <c r="O68" s="1">
        <v>635.90000000000009</v>
      </c>
      <c r="T68" s="4"/>
      <c r="U68" s="1" t="str">
        <f t="shared" si="4"/>
        <v>Normal</v>
      </c>
    </row>
    <row r="69" spans="1:24" x14ac:dyDescent="0.25">
      <c r="A69" s="1" t="s">
        <v>81</v>
      </c>
      <c r="B69" s="4">
        <v>45635</v>
      </c>
      <c r="C69" s="1" t="s">
        <v>1281</v>
      </c>
      <c r="D69" s="1" t="s">
        <v>2407</v>
      </c>
      <c r="E69" s="1">
        <v>4</v>
      </c>
      <c r="F69" s="1">
        <v>12.1</v>
      </c>
      <c r="G69" s="1" t="s">
        <v>2473</v>
      </c>
      <c r="H69" s="1" t="s">
        <v>3065</v>
      </c>
      <c r="I69" s="1" t="s">
        <v>3071</v>
      </c>
      <c r="J69" s="1" t="s">
        <v>3142</v>
      </c>
      <c r="K69" s="1">
        <v>8</v>
      </c>
      <c r="L69" s="1" t="s">
        <v>4283</v>
      </c>
      <c r="M69" s="1" t="s">
        <v>4282</v>
      </c>
      <c r="N69" s="6" t="str">
        <f t="shared" si="3"/>
        <v>Dec</v>
      </c>
      <c r="O69" s="1">
        <v>48.4</v>
      </c>
      <c r="T69" s="4"/>
      <c r="U69" s="1" t="str">
        <f t="shared" si="4"/>
        <v>Normal</v>
      </c>
    </row>
    <row r="70" spans="1:24" x14ac:dyDescent="0.25">
      <c r="A70" s="1" t="s">
        <v>82</v>
      </c>
      <c r="B70" s="4">
        <v>45271</v>
      </c>
      <c r="C70" s="1" t="s">
        <v>1282</v>
      </c>
      <c r="D70" s="1" t="s">
        <v>2406</v>
      </c>
      <c r="E70" s="1">
        <v>3</v>
      </c>
      <c r="F70" s="1">
        <v>490.92</v>
      </c>
      <c r="G70" s="1" t="s">
        <v>2435</v>
      </c>
      <c r="H70" s="1" t="s">
        <v>3067</v>
      </c>
      <c r="I70" s="1" t="s">
        <v>3074</v>
      </c>
      <c r="J70" s="1" t="s">
        <v>3143</v>
      </c>
      <c r="K70" s="1">
        <v>5</v>
      </c>
      <c r="L70" s="1" t="s">
        <v>4276</v>
      </c>
      <c r="M70" s="1" t="s">
        <v>4280</v>
      </c>
      <c r="N70" s="6" t="str">
        <f t="shared" si="3"/>
        <v>Dec</v>
      </c>
      <c r="O70" s="1">
        <v>1472.76</v>
      </c>
      <c r="T70" s="4"/>
      <c r="U70" s="1" t="str">
        <f t="shared" si="4"/>
        <v>Normal</v>
      </c>
    </row>
    <row r="71" spans="1:24" x14ac:dyDescent="0.25">
      <c r="A71" s="1" t="s">
        <v>83</v>
      </c>
      <c r="B71" s="4">
        <v>45057</v>
      </c>
      <c r="C71" s="1" t="s">
        <v>1283</v>
      </c>
      <c r="D71" s="1" t="s">
        <v>2403</v>
      </c>
      <c r="E71" s="1">
        <v>3</v>
      </c>
      <c r="F71" s="1">
        <v>478.65</v>
      </c>
      <c r="G71" s="1" t="s">
        <v>2474</v>
      </c>
      <c r="H71" s="1" t="s">
        <v>3066</v>
      </c>
      <c r="I71" s="1" t="s">
        <v>3070</v>
      </c>
      <c r="J71" s="1" t="s">
        <v>3144</v>
      </c>
      <c r="K71" s="1">
        <v>4</v>
      </c>
      <c r="L71" s="1" t="s">
        <v>4283</v>
      </c>
      <c r="M71" s="1" t="s">
        <v>4279</v>
      </c>
      <c r="N71" s="6" t="str">
        <f t="shared" si="3"/>
        <v>May</v>
      </c>
      <c r="O71" s="1">
        <v>1435.95</v>
      </c>
      <c r="T71" s="4"/>
      <c r="U71" s="1" t="str">
        <f t="shared" si="4"/>
        <v>Normal</v>
      </c>
    </row>
    <row r="72" spans="1:24" x14ac:dyDescent="0.25">
      <c r="A72" s="1" t="s">
        <v>84</v>
      </c>
      <c r="B72" s="4">
        <v>45072</v>
      </c>
      <c r="C72" s="1" t="s">
        <v>1284</v>
      </c>
      <c r="D72" s="1" t="s">
        <v>2409</v>
      </c>
      <c r="E72" s="1">
        <v>1</v>
      </c>
      <c r="F72" s="1">
        <v>629.21</v>
      </c>
      <c r="G72" s="1" t="s">
        <v>2475</v>
      </c>
      <c r="H72" s="1" t="s">
        <v>3068</v>
      </c>
      <c r="I72" s="1" t="s">
        <v>3074</v>
      </c>
      <c r="J72" s="1" t="s">
        <v>3145</v>
      </c>
      <c r="K72" s="1">
        <v>2</v>
      </c>
      <c r="L72" s="1" t="s">
        <v>4276</v>
      </c>
      <c r="M72" s="1" t="s">
        <v>4278</v>
      </c>
      <c r="N72" s="6" t="str">
        <f t="shared" si="3"/>
        <v>May</v>
      </c>
      <c r="O72" s="1">
        <v>629.21</v>
      </c>
      <c r="T72" s="4"/>
      <c r="U72" s="1" t="str">
        <f t="shared" si="4"/>
        <v>Normal</v>
      </c>
    </row>
    <row r="73" spans="1:24" x14ac:dyDescent="0.25">
      <c r="A73" s="1" t="s">
        <v>85</v>
      </c>
      <c r="B73" s="4">
        <v>45818</v>
      </c>
      <c r="C73" s="1" t="s">
        <v>1285</v>
      </c>
      <c r="D73" s="1" t="s">
        <v>2403</v>
      </c>
      <c r="E73" s="1">
        <v>3</v>
      </c>
      <c r="F73" s="1">
        <v>434.45</v>
      </c>
      <c r="G73" s="1" t="s">
        <v>2476</v>
      </c>
      <c r="H73" s="1" t="s">
        <v>3067</v>
      </c>
      <c r="I73" s="1" t="s">
        <v>3074</v>
      </c>
      <c r="J73" s="1" t="s">
        <v>3146</v>
      </c>
      <c r="K73" s="1">
        <v>4</v>
      </c>
      <c r="L73" s="1" t="s">
        <v>4283</v>
      </c>
      <c r="M73" s="1" t="s">
        <v>4279</v>
      </c>
      <c r="N73" s="6" t="str">
        <f t="shared" si="3"/>
        <v>Jun</v>
      </c>
      <c r="O73" s="1">
        <v>1303.3499999999999</v>
      </c>
      <c r="T73" s="4"/>
      <c r="U73" s="1" t="str">
        <f t="shared" si="4"/>
        <v>Normal</v>
      </c>
    </row>
    <row r="74" spans="1:24" x14ac:dyDescent="0.25">
      <c r="A74" s="1" t="s">
        <v>86</v>
      </c>
      <c r="B74" s="4">
        <v>45648</v>
      </c>
      <c r="C74" s="1" t="s">
        <v>1286</v>
      </c>
      <c r="D74" s="1" t="s">
        <v>2405</v>
      </c>
      <c r="E74" s="1">
        <v>4</v>
      </c>
      <c r="F74" s="1">
        <v>589.44000000000005</v>
      </c>
      <c r="G74" s="1" t="s">
        <v>2425</v>
      </c>
      <c r="H74" s="1" t="s">
        <v>3068</v>
      </c>
      <c r="I74" s="1" t="s">
        <v>3072</v>
      </c>
      <c r="J74" s="1" t="s">
        <v>3147</v>
      </c>
      <c r="K74" s="1">
        <v>5</v>
      </c>
      <c r="L74" s="1" t="s">
        <v>4283</v>
      </c>
      <c r="M74" s="1" t="s">
        <v>4281</v>
      </c>
      <c r="N74" s="6" t="str">
        <f t="shared" si="3"/>
        <v>Dec</v>
      </c>
      <c r="O74" s="1">
        <v>2357.7600000000002</v>
      </c>
      <c r="T74" s="4"/>
      <c r="U74" s="1" t="str">
        <f t="shared" si="4"/>
        <v>Normal</v>
      </c>
    </row>
    <row r="75" spans="1:24" x14ac:dyDescent="0.25">
      <c r="A75" s="1" t="s">
        <v>87</v>
      </c>
      <c r="B75" s="4">
        <v>45049</v>
      </c>
      <c r="C75" s="1" t="s">
        <v>1287</v>
      </c>
      <c r="D75" s="1" t="s">
        <v>2403</v>
      </c>
      <c r="E75" s="1">
        <v>4</v>
      </c>
      <c r="F75" s="1">
        <v>433.45</v>
      </c>
      <c r="G75" s="1" t="s">
        <v>2477</v>
      </c>
      <c r="H75" s="1" t="s">
        <v>3068</v>
      </c>
      <c r="I75" s="1" t="s">
        <v>3071</v>
      </c>
      <c r="J75" s="1" t="s">
        <v>3148</v>
      </c>
      <c r="K75" s="1">
        <v>4</v>
      </c>
      <c r="L75" s="1" t="s">
        <v>4283</v>
      </c>
      <c r="M75" s="1" t="s">
        <v>4281</v>
      </c>
      <c r="N75" s="6" t="str">
        <f t="shared" si="3"/>
        <v>May</v>
      </c>
      <c r="O75" s="1">
        <v>1733.8</v>
      </c>
      <c r="T75" s="4"/>
      <c r="U75" s="1" t="str">
        <f t="shared" si="4"/>
        <v>Normal</v>
      </c>
    </row>
    <row r="76" spans="1:24" x14ac:dyDescent="0.25">
      <c r="A76" s="1" t="s">
        <v>88</v>
      </c>
      <c r="B76" s="4">
        <v>45101</v>
      </c>
      <c r="C76" s="1" t="s">
        <v>1288</v>
      </c>
      <c r="D76" s="1" t="s">
        <v>2404</v>
      </c>
      <c r="E76" s="1">
        <v>5</v>
      </c>
      <c r="F76" s="1">
        <v>90.87</v>
      </c>
      <c r="G76" s="1" t="s">
        <v>2478</v>
      </c>
      <c r="H76" s="1" t="s">
        <v>3069</v>
      </c>
      <c r="I76" s="1" t="s">
        <v>3074</v>
      </c>
      <c r="J76" s="1" t="s">
        <v>3149</v>
      </c>
      <c r="K76" s="1">
        <v>5</v>
      </c>
      <c r="L76" s="1" t="s">
        <v>4283</v>
      </c>
      <c r="M76" s="1" t="s">
        <v>4278</v>
      </c>
      <c r="N76" s="6" t="str">
        <f t="shared" si="3"/>
        <v>Jun</v>
      </c>
      <c r="O76" s="1">
        <v>454.35</v>
      </c>
      <c r="T76" s="4"/>
      <c r="U76" s="1" t="str">
        <f t="shared" si="4"/>
        <v>Normal</v>
      </c>
    </row>
    <row r="77" spans="1:24" x14ac:dyDescent="0.25">
      <c r="A77" s="1" t="s">
        <v>89</v>
      </c>
      <c r="B77" s="4">
        <v>45195</v>
      </c>
      <c r="C77" s="1" t="s">
        <v>1289</v>
      </c>
      <c r="D77" s="1" t="s">
        <v>2405</v>
      </c>
      <c r="E77" s="1">
        <v>3</v>
      </c>
      <c r="F77" s="1">
        <v>398.17</v>
      </c>
      <c r="G77" s="1" t="s">
        <v>2479</v>
      </c>
      <c r="H77" s="1" t="s">
        <v>3065</v>
      </c>
      <c r="I77" s="1" t="s">
        <v>3073</v>
      </c>
      <c r="J77" s="1" t="s">
        <v>3150</v>
      </c>
      <c r="K77" s="1">
        <v>5</v>
      </c>
      <c r="L77" s="1" t="s">
        <v>4275</v>
      </c>
      <c r="M77" s="1" t="s">
        <v>4280</v>
      </c>
      <c r="N77" s="6" t="str">
        <f t="shared" si="3"/>
        <v>Sep</v>
      </c>
      <c r="O77" s="1">
        <v>1194.51</v>
      </c>
      <c r="T77" s="4"/>
      <c r="U77" s="1" t="str">
        <f t="shared" si="4"/>
        <v>Normal</v>
      </c>
    </row>
    <row r="78" spans="1:24" x14ac:dyDescent="0.25">
      <c r="A78" s="1" t="s">
        <v>90</v>
      </c>
      <c r="B78" s="4">
        <v>45382</v>
      </c>
      <c r="C78" s="1" t="s">
        <v>1290</v>
      </c>
      <c r="D78" s="1" t="s">
        <v>2408</v>
      </c>
      <c r="E78" s="1">
        <v>4</v>
      </c>
      <c r="F78" s="1">
        <v>382.88</v>
      </c>
      <c r="G78" s="1" t="s">
        <v>2480</v>
      </c>
      <c r="H78" s="1" t="s">
        <v>3069</v>
      </c>
      <c r="I78" s="1" t="s">
        <v>3071</v>
      </c>
      <c r="J78" s="1" t="s">
        <v>3151</v>
      </c>
      <c r="K78" s="1">
        <v>6</v>
      </c>
      <c r="L78" s="1" t="s">
        <v>4277</v>
      </c>
      <c r="M78" s="1" t="s">
        <v>4280</v>
      </c>
      <c r="N78" s="6" t="str">
        <f t="shared" si="3"/>
        <v>Mar</v>
      </c>
      <c r="O78" s="1">
        <v>1531.52</v>
      </c>
      <c r="T78" s="4"/>
      <c r="U78" s="1" t="str">
        <f t="shared" si="4"/>
        <v>Normal</v>
      </c>
    </row>
    <row r="79" spans="1:24" x14ac:dyDescent="0.25">
      <c r="A79" s="1" t="s">
        <v>91</v>
      </c>
      <c r="B79" s="4">
        <v>45436</v>
      </c>
      <c r="C79" s="1" t="s">
        <v>1291</v>
      </c>
      <c r="D79" s="1" t="s">
        <v>2404</v>
      </c>
      <c r="E79" s="1">
        <v>1</v>
      </c>
      <c r="F79" s="1">
        <v>583.17999999999995</v>
      </c>
      <c r="G79" s="1" t="s">
        <v>2481</v>
      </c>
      <c r="H79" s="1" t="s">
        <v>3067</v>
      </c>
      <c r="I79" s="1" t="s">
        <v>3072</v>
      </c>
      <c r="J79" s="1" t="s">
        <v>3152</v>
      </c>
      <c r="K79" s="1">
        <v>5</v>
      </c>
      <c r="L79" s="1" t="s">
        <v>4283</v>
      </c>
      <c r="M79" s="1" t="s">
        <v>4282</v>
      </c>
      <c r="N79" s="6" t="str">
        <f t="shared" si="3"/>
        <v>May</v>
      </c>
      <c r="O79" s="1">
        <v>583.17999999999995</v>
      </c>
      <c r="T79" s="4"/>
      <c r="U79" s="1" t="str">
        <f t="shared" si="4"/>
        <v>Normal</v>
      </c>
    </row>
    <row r="80" spans="1:24" x14ac:dyDescent="0.25">
      <c r="A80" s="1" t="s">
        <v>92</v>
      </c>
      <c r="B80" s="4">
        <v>45510</v>
      </c>
      <c r="C80" s="1" t="s">
        <v>1292</v>
      </c>
      <c r="D80" s="1" t="s">
        <v>2407</v>
      </c>
      <c r="E80" s="1">
        <v>4</v>
      </c>
      <c r="F80" s="1">
        <v>175.36</v>
      </c>
      <c r="G80" s="1" t="s">
        <v>2482</v>
      </c>
      <c r="H80" s="1" t="s">
        <v>3065</v>
      </c>
      <c r="I80" s="1" t="s">
        <v>3073</v>
      </c>
      <c r="J80" s="1" t="s">
        <v>3153</v>
      </c>
      <c r="K80" s="1">
        <v>4</v>
      </c>
      <c r="L80" s="1" t="s">
        <v>4276</v>
      </c>
      <c r="M80" s="1" t="s">
        <v>4278</v>
      </c>
      <c r="N80" s="6" t="str">
        <f t="shared" si="3"/>
        <v>Aug</v>
      </c>
      <c r="O80" s="1">
        <v>701.44</v>
      </c>
      <c r="T80" s="4"/>
      <c r="U80" s="1" t="str">
        <f t="shared" si="4"/>
        <v>Normal</v>
      </c>
      <c r="X80" s="1">
        <f>COUNTIF(Table1[OrderStatus],"Delivered")</f>
        <v>231</v>
      </c>
    </row>
    <row r="81" spans="1:21" x14ac:dyDescent="0.25">
      <c r="A81" s="1" t="s">
        <v>93</v>
      </c>
      <c r="B81" s="4">
        <v>45726</v>
      </c>
      <c r="C81" s="1" t="s">
        <v>1293</v>
      </c>
      <c r="D81" s="1" t="s">
        <v>2405</v>
      </c>
      <c r="E81" s="1">
        <v>2</v>
      </c>
      <c r="F81" s="1">
        <v>311.91000000000003</v>
      </c>
      <c r="G81" s="1" t="s">
        <v>2483</v>
      </c>
      <c r="H81" s="1" t="s">
        <v>3066</v>
      </c>
      <c r="I81" s="1" t="s">
        <v>3070</v>
      </c>
      <c r="J81" s="1" t="s">
        <v>3154</v>
      </c>
      <c r="K81" s="1">
        <v>2</v>
      </c>
      <c r="L81" s="1" t="s">
        <v>4283</v>
      </c>
      <c r="M81" s="1" t="s">
        <v>4281</v>
      </c>
      <c r="N81" s="6" t="str">
        <f t="shared" si="3"/>
        <v>Mar</v>
      </c>
      <c r="O81" s="1">
        <v>623.82000000000005</v>
      </c>
      <c r="T81" s="4"/>
      <c r="U81" s="1" t="str">
        <f t="shared" si="4"/>
        <v>Normal</v>
      </c>
    </row>
    <row r="82" spans="1:21" x14ac:dyDescent="0.25">
      <c r="A82" s="1" t="s">
        <v>94</v>
      </c>
      <c r="B82" s="4">
        <v>45104</v>
      </c>
      <c r="C82" s="1" t="s">
        <v>1294</v>
      </c>
      <c r="D82" s="1" t="s">
        <v>2404</v>
      </c>
      <c r="E82" s="1">
        <v>3</v>
      </c>
      <c r="F82" s="1">
        <v>589.55999999999995</v>
      </c>
      <c r="G82" s="1" t="s">
        <v>2484</v>
      </c>
      <c r="H82" s="1" t="s">
        <v>3066</v>
      </c>
      <c r="I82" s="1" t="s">
        <v>3072</v>
      </c>
      <c r="J82" s="1" t="s">
        <v>3155</v>
      </c>
      <c r="K82" s="1">
        <v>6</v>
      </c>
      <c r="L82" s="1" t="s">
        <v>4283</v>
      </c>
      <c r="M82" s="1" t="s">
        <v>4281</v>
      </c>
      <c r="N82" s="6" t="str">
        <f t="shared" si="3"/>
        <v>Jun</v>
      </c>
      <c r="O82" s="1">
        <v>1768.68</v>
      </c>
      <c r="T82" s="4"/>
      <c r="U82" s="1" t="str">
        <f t="shared" si="4"/>
        <v>Normal</v>
      </c>
    </row>
    <row r="83" spans="1:21" x14ac:dyDescent="0.25">
      <c r="A83" s="1" t="s">
        <v>95</v>
      </c>
      <c r="B83" s="4">
        <v>45085</v>
      </c>
      <c r="C83" s="1" t="s">
        <v>1295</v>
      </c>
      <c r="D83" s="1" t="s">
        <v>2403</v>
      </c>
      <c r="E83" s="1">
        <v>2</v>
      </c>
      <c r="F83" s="1">
        <v>394.3</v>
      </c>
      <c r="G83" s="1" t="s">
        <v>2485</v>
      </c>
      <c r="H83" s="1" t="s">
        <v>3069</v>
      </c>
      <c r="I83" s="1" t="s">
        <v>3070</v>
      </c>
      <c r="J83" s="1" t="s">
        <v>3156</v>
      </c>
      <c r="K83" s="1">
        <v>6</v>
      </c>
      <c r="L83" s="1" t="s">
        <v>4276</v>
      </c>
      <c r="M83" s="1" t="s">
        <v>4280</v>
      </c>
      <c r="N83" s="6" t="str">
        <f t="shared" si="3"/>
        <v>Jun</v>
      </c>
      <c r="O83" s="1">
        <v>788.6</v>
      </c>
      <c r="T83" s="4"/>
      <c r="U83" s="1" t="str">
        <f t="shared" si="4"/>
        <v>Normal</v>
      </c>
    </row>
    <row r="84" spans="1:21" x14ac:dyDescent="0.25">
      <c r="A84" s="1" t="s">
        <v>96</v>
      </c>
      <c r="B84" s="4">
        <v>45296</v>
      </c>
      <c r="C84" s="1" t="s">
        <v>1296</v>
      </c>
      <c r="D84" s="1" t="s">
        <v>2405</v>
      </c>
      <c r="E84" s="1">
        <v>4</v>
      </c>
      <c r="F84" s="1">
        <v>565.20000000000005</v>
      </c>
      <c r="G84" s="1" t="s">
        <v>2486</v>
      </c>
      <c r="H84" s="1" t="s">
        <v>3065</v>
      </c>
      <c r="I84" s="1" t="s">
        <v>3070</v>
      </c>
      <c r="J84" s="1" t="s">
        <v>3157</v>
      </c>
      <c r="K84" s="1">
        <v>9</v>
      </c>
      <c r="L84" s="1" t="s">
        <v>4275</v>
      </c>
      <c r="M84" s="1" t="s">
        <v>4282</v>
      </c>
      <c r="N84" s="6" t="str">
        <f t="shared" si="3"/>
        <v>Jan</v>
      </c>
      <c r="O84" s="1">
        <v>2260.8000000000002</v>
      </c>
      <c r="T84" s="4"/>
      <c r="U84" s="1" t="str">
        <f t="shared" si="4"/>
        <v>Normal</v>
      </c>
    </row>
    <row r="85" spans="1:21" x14ac:dyDescent="0.25">
      <c r="A85" s="1" t="s">
        <v>97</v>
      </c>
      <c r="B85" s="4">
        <v>45160</v>
      </c>
      <c r="C85" s="1" t="s">
        <v>1297</v>
      </c>
      <c r="D85" s="1" t="s">
        <v>2408</v>
      </c>
      <c r="E85" s="1">
        <v>4</v>
      </c>
      <c r="F85" s="1">
        <v>540.41</v>
      </c>
      <c r="G85" s="1" t="s">
        <v>2487</v>
      </c>
      <c r="H85" s="1" t="s">
        <v>3067</v>
      </c>
      <c r="I85" s="1" t="s">
        <v>3071</v>
      </c>
      <c r="J85" s="1" t="s">
        <v>3158</v>
      </c>
      <c r="K85" s="1">
        <v>6</v>
      </c>
      <c r="L85" s="1" t="s">
        <v>4283</v>
      </c>
      <c r="M85" s="1" t="s">
        <v>4279</v>
      </c>
      <c r="N85" s="6" t="str">
        <f t="shared" si="3"/>
        <v>Aug</v>
      </c>
      <c r="O85" s="1">
        <v>2161.64</v>
      </c>
      <c r="T85" s="4"/>
      <c r="U85" s="1" t="str">
        <f t="shared" si="4"/>
        <v>Normal</v>
      </c>
    </row>
    <row r="86" spans="1:21" x14ac:dyDescent="0.25">
      <c r="A86" s="1" t="s">
        <v>98</v>
      </c>
      <c r="B86" s="4">
        <v>45166</v>
      </c>
      <c r="C86" s="1" t="s">
        <v>1298</v>
      </c>
      <c r="D86" s="1" t="s">
        <v>2403</v>
      </c>
      <c r="E86" s="1">
        <v>2</v>
      </c>
      <c r="F86" s="1">
        <v>165.49</v>
      </c>
      <c r="G86" s="1" t="s">
        <v>2488</v>
      </c>
      <c r="H86" s="1" t="s">
        <v>3066</v>
      </c>
      <c r="I86" s="1" t="s">
        <v>3070</v>
      </c>
      <c r="J86" s="1" t="s">
        <v>3159</v>
      </c>
      <c r="K86" s="1">
        <v>4</v>
      </c>
      <c r="L86" s="1" t="s">
        <v>4277</v>
      </c>
      <c r="M86" s="1" t="s">
        <v>4278</v>
      </c>
      <c r="N86" s="6" t="str">
        <f t="shared" si="3"/>
        <v>Aug</v>
      </c>
      <c r="O86" s="1">
        <v>330.98</v>
      </c>
      <c r="T86" s="4"/>
      <c r="U86" s="1" t="str">
        <f t="shared" si="4"/>
        <v>Normal</v>
      </c>
    </row>
    <row r="87" spans="1:21" x14ac:dyDescent="0.25">
      <c r="A87" s="1" t="s">
        <v>99</v>
      </c>
      <c r="B87" s="4">
        <v>45544</v>
      </c>
      <c r="C87" s="1" t="s">
        <v>1299</v>
      </c>
      <c r="D87" s="1" t="s">
        <v>2405</v>
      </c>
      <c r="E87" s="1">
        <v>3</v>
      </c>
      <c r="F87" s="1">
        <v>146.72999999999999</v>
      </c>
      <c r="G87" s="1" t="s">
        <v>2489</v>
      </c>
      <c r="H87" s="1" t="s">
        <v>3069</v>
      </c>
      <c r="I87" s="1" t="s">
        <v>3073</v>
      </c>
      <c r="J87" s="1" t="s">
        <v>3160</v>
      </c>
      <c r="K87" s="1">
        <v>8</v>
      </c>
      <c r="L87" s="1" t="s">
        <v>4276</v>
      </c>
      <c r="M87" s="1" t="s">
        <v>4280</v>
      </c>
      <c r="N87" s="6" t="str">
        <f t="shared" si="3"/>
        <v>Sep</v>
      </c>
      <c r="O87" s="1">
        <v>440.18999999999988</v>
      </c>
      <c r="T87" s="4"/>
      <c r="U87" s="1" t="str">
        <f t="shared" si="4"/>
        <v>Normal</v>
      </c>
    </row>
    <row r="88" spans="1:21" x14ac:dyDescent="0.25">
      <c r="A88" s="1" t="s">
        <v>100</v>
      </c>
      <c r="B88" s="4">
        <v>45462</v>
      </c>
      <c r="C88" s="1" t="s">
        <v>1300</v>
      </c>
      <c r="D88" s="1" t="s">
        <v>2407</v>
      </c>
      <c r="E88" s="1">
        <v>5</v>
      </c>
      <c r="F88" s="1">
        <v>643.03</v>
      </c>
      <c r="G88" s="1" t="s">
        <v>2490</v>
      </c>
      <c r="H88" s="1" t="s">
        <v>3066</v>
      </c>
      <c r="I88" s="1" t="s">
        <v>3071</v>
      </c>
      <c r="J88" s="1" t="s">
        <v>3161</v>
      </c>
      <c r="K88" s="1">
        <v>5</v>
      </c>
      <c r="L88" s="1" t="s">
        <v>4276</v>
      </c>
      <c r="M88" s="1" t="s">
        <v>4279</v>
      </c>
      <c r="N88" s="6" t="str">
        <f t="shared" si="3"/>
        <v>Jun</v>
      </c>
      <c r="O88" s="1">
        <v>3215.15</v>
      </c>
      <c r="T88" s="4"/>
      <c r="U88" s="1" t="str">
        <f t="shared" si="4"/>
        <v>Normal</v>
      </c>
    </row>
    <row r="89" spans="1:21" x14ac:dyDescent="0.25">
      <c r="A89" s="1" t="s">
        <v>101</v>
      </c>
      <c r="B89" s="4">
        <v>45575</v>
      </c>
      <c r="C89" s="1" t="s">
        <v>1301</v>
      </c>
      <c r="D89" s="1" t="s">
        <v>2405</v>
      </c>
      <c r="E89" s="1">
        <v>3</v>
      </c>
      <c r="F89" s="1">
        <v>225.11</v>
      </c>
      <c r="G89" s="1" t="s">
        <v>2491</v>
      </c>
      <c r="H89" s="1" t="s">
        <v>3069</v>
      </c>
      <c r="I89" s="1" t="s">
        <v>3070</v>
      </c>
      <c r="J89" s="1" t="s">
        <v>3162</v>
      </c>
      <c r="K89" s="1">
        <v>4</v>
      </c>
      <c r="L89" s="1" t="s">
        <v>4275</v>
      </c>
      <c r="M89" s="1" t="s">
        <v>4281</v>
      </c>
      <c r="N89" s="6" t="str">
        <f t="shared" si="3"/>
        <v>Oct</v>
      </c>
      <c r="O89" s="1">
        <v>675.33</v>
      </c>
      <c r="T89" s="4"/>
      <c r="U89" s="1" t="str">
        <f t="shared" si="4"/>
        <v>Normal</v>
      </c>
    </row>
    <row r="90" spans="1:21" x14ac:dyDescent="0.25">
      <c r="A90" s="1" t="s">
        <v>102</v>
      </c>
      <c r="B90" s="4">
        <v>45813</v>
      </c>
      <c r="C90" s="1" t="s">
        <v>1302</v>
      </c>
      <c r="D90" s="1" t="s">
        <v>2409</v>
      </c>
      <c r="E90" s="1">
        <v>3</v>
      </c>
      <c r="F90" s="1">
        <v>114.81</v>
      </c>
      <c r="G90" s="1" t="s">
        <v>2492</v>
      </c>
      <c r="H90" s="1" t="s">
        <v>3068</v>
      </c>
      <c r="I90" s="1" t="s">
        <v>3071</v>
      </c>
      <c r="J90" s="1" t="s">
        <v>3163</v>
      </c>
      <c r="K90" s="1">
        <v>7</v>
      </c>
      <c r="L90" s="1" t="s">
        <v>4283</v>
      </c>
      <c r="M90" s="1" t="s">
        <v>4282</v>
      </c>
      <c r="N90" s="6" t="str">
        <f t="shared" si="3"/>
        <v>Jun</v>
      </c>
      <c r="O90" s="1">
        <v>344.43</v>
      </c>
      <c r="T90" s="4"/>
      <c r="U90" s="1" t="str">
        <f t="shared" si="4"/>
        <v>Normal</v>
      </c>
    </row>
    <row r="91" spans="1:21" x14ac:dyDescent="0.25">
      <c r="A91" s="1" t="s">
        <v>103</v>
      </c>
      <c r="B91" s="4">
        <v>45713</v>
      </c>
      <c r="C91" s="1" t="s">
        <v>1303</v>
      </c>
      <c r="D91" s="1" t="s">
        <v>2407</v>
      </c>
      <c r="E91" s="1">
        <v>5</v>
      </c>
      <c r="F91" s="1">
        <v>455.33</v>
      </c>
      <c r="G91" s="1" t="s">
        <v>2493</v>
      </c>
      <c r="H91" s="1" t="s">
        <v>3067</v>
      </c>
      <c r="I91" s="1" t="s">
        <v>3071</v>
      </c>
      <c r="J91" s="1" t="s">
        <v>3164</v>
      </c>
      <c r="K91" s="1">
        <v>8</v>
      </c>
      <c r="L91" s="1" t="s">
        <v>4276</v>
      </c>
      <c r="M91" s="1" t="s">
        <v>4282</v>
      </c>
      <c r="N91" s="6" t="str">
        <f t="shared" si="3"/>
        <v>Feb</v>
      </c>
      <c r="O91" s="1">
        <v>2276.65</v>
      </c>
      <c r="T91" s="4"/>
      <c r="U91" s="1" t="str">
        <f t="shared" si="4"/>
        <v>Normal</v>
      </c>
    </row>
    <row r="92" spans="1:21" x14ac:dyDescent="0.25">
      <c r="A92" s="1" t="s">
        <v>104</v>
      </c>
      <c r="B92" s="4">
        <v>45187</v>
      </c>
      <c r="C92" s="1" t="s">
        <v>1304</v>
      </c>
      <c r="D92" s="1" t="s">
        <v>2406</v>
      </c>
      <c r="E92" s="1">
        <v>4</v>
      </c>
      <c r="F92" s="1">
        <v>182.08</v>
      </c>
      <c r="G92" s="1" t="s">
        <v>2494</v>
      </c>
      <c r="H92" s="1" t="s">
        <v>3068</v>
      </c>
      <c r="I92" s="1" t="s">
        <v>3073</v>
      </c>
      <c r="J92" s="1" t="s">
        <v>3165</v>
      </c>
      <c r="K92" s="1">
        <v>4</v>
      </c>
      <c r="L92" s="1" t="s">
        <v>4275</v>
      </c>
      <c r="M92" s="1" t="s">
        <v>4280</v>
      </c>
      <c r="N92" s="6" t="str">
        <f t="shared" si="3"/>
        <v>Sep</v>
      </c>
      <c r="O92" s="1">
        <v>728.32</v>
      </c>
      <c r="T92" s="4"/>
      <c r="U92" s="1" t="str">
        <f t="shared" si="4"/>
        <v>Normal</v>
      </c>
    </row>
    <row r="93" spans="1:21" x14ac:dyDescent="0.25">
      <c r="A93" s="1" t="s">
        <v>105</v>
      </c>
      <c r="B93" s="4">
        <v>45000</v>
      </c>
      <c r="C93" s="1" t="s">
        <v>1305</v>
      </c>
      <c r="D93" s="1" t="s">
        <v>2408</v>
      </c>
      <c r="E93" s="1">
        <v>5</v>
      </c>
      <c r="F93" s="1">
        <v>492.75</v>
      </c>
      <c r="G93" s="1" t="s">
        <v>2495</v>
      </c>
      <c r="H93" s="1" t="s">
        <v>3069</v>
      </c>
      <c r="I93" s="1" t="s">
        <v>3070</v>
      </c>
      <c r="J93" s="1" t="s">
        <v>3166</v>
      </c>
      <c r="K93" s="1">
        <v>6</v>
      </c>
      <c r="L93" s="1" t="s">
        <v>4277</v>
      </c>
      <c r="M93" s="1" t="s">
        <v>4279</v>
      </c>
      <c r="N93" s="6" t="str">
        <f t="shared" si="3"/>
        <v>Mar</v>
      </c>
      <c r="O93" s="1">
        <v>2463.75</v>
      </c>
      <c r="T93" s="4"/>
      <c r="U93" s="1" t="str">
        <f t="shared" si="4"/>
        <v>Normal</v>
      </c>
    </row>
    <row r="94" spans="1:21" x14ac:dyDescent="0.25">
      <c r="A94" s="1" t="s">
        <v>106</v>
      </c>
      <c r="B94" s="4">
        <v>45453</v>
      </c>
      <c r="C94" s="1" t="s">
        <v>1306</v>
      </c>
      <c r="D94" s="1" t="s">
        <v>2407</v>
      </c>
      <c r="E94" s="1">
        <v>4</v>
      </c>
      <c r="F94" s="1">
        <v>48.61</v>
      </c>
      <c r="G94" s="1" t="s">
        <v>2496</v>
      </c>
      <c r="H94" s="1" t="s">
        <v>3066</v>
      </c>
      <c r="I94" s="1" t="s">
        <v>3070</v>
      </c>
      <c r="J94" s="1" t="s">
        <v>3167</v>
      </c>
      <c r="K94" s="1">
        <v>7</v>
      </c>
      <c r="L94" s="1" t="s">
        <v>4276</v>
      </c>
      <c r="M94" s="1" t="s">
        <v>4281</v>
      </c>
      <c r="N94" s="6" t="str">
        <f t="shared" si="3"/>
        <v>Jun</v>
      </c>
      <c r="O94" s="1">
        <v>194.44</v>
      </c>
      <c r="T94" s="4"/>
      <c r="U94" s="1" t="str">
        <f t="shared" si="4"/>
        <v>Normal</v>
      </c>
    </row>
    <row r="95" spans="1:21" x14ac:dyDescent="0.25">
      <c r="A95" s="1" t="s">
        <v>107</v>
      </c>
      <c r="B95" s="4">
        <v>44940</v>
      </c>
      <c r="C95" s="1" t="s">
        <v>1307</v>
      </c>
      <c r="D95" s="1" t="s">
        <v>2409</v>
      </c>
      <c r="E95" s="1">
        <v>4</v>
      </c>
      <c r="F95" s="1">
        <v>431.01</v>
      </c>
      <c r="G95" s="1" t="s">
        <v>2497</v>
      </c>
      <c r="H95" s="1" t="s">
        <v>3067</v>
      </c>
      <c r="I95" s="1" t="s">
        <v>3072</v>
      </c>
      <c r="J95" s="1" t="s">
        <v>3168</v>
      </c>
      <c r="K95" s="1">
        <v>7</v>
      </c>
      <c r="L95" s="1" t="s">
        <v>4283</v>
      </c>
      <c r="M95" s="1" t="s">
        <v>4279</v>
      </c>
      <c r="N95" s="6" t="str">
        <f t="shared" si="3"/>
        <v>Jan</v>
      </c>
      <c r="O95" s="1">
        <v>1724.04</v>
      </c>
      <c r="T95" s="4"/>
      <c r="U95" s="1" t="str">
        <f t="shared" si="4"/>
        <v>Normal</v>
      </c>
    </row>
    <row r="96" spans="1:21" x14ac:dyDescent="0.25">
      <c r="A96" s="1" t="s">
        <v>108</v>
      </c>
      <c r="B96" s="4">
        <v>44968</v>
      </c>
      <c r="C96" s="1" t="s">
        <v>1308</v>
      </c>
      <c r="D96" s="1" t="s">
        <v>2406</v>
      </c>
      <c r="E96" s="1">
        <v>1</v>
      </c>
      <c r="F96" s="1">
        <v>531.17999999999995</v>
      </c>
      <c r="G96" s="1" t="s">
        <v>2498</v>
      </c>
      <c r="H96" s="1" t="s">
        <v>3068</v>
      </c>
      <c r="I96" s="1" t="s">
        <v>3072</v>
      </c>
      <c r="J96" s="1" t="s">
        <v>3169</v>
      </c>
      <c r="K96" s="1">
        <v>6</v>
      </c>
      <c r="L96" s="1" t="s">
        <v>4277</v>
      </c>
      <c r="M96" s="1" t="s">
        <v>4278</v>
      </c>
      <c r="N96" s="6" t="str">
        <f t="shared" si="3"/>
        <v>Feb</v>
      </c>
      <c r="O96" s="1">
        <v>531.17999999999995</v>
      </c>
      <c r="T96" s="4"/>
      <c r="U96" s="1" t="str">
        <f t="shared" si="4"/>
        <v>Normal</v>
      </c>
    </row>
    <row r="97" spans="1:21" x14ac:dyDescent="0.25">
      <c r="A97" s="1" t="s">
        <v>109</v>
      </c>
      <c r="B97" s="4">
        <v>45009</v>
      </c>
      <c r="C97" s="1" t="s">
        <v>1309</v>
      </c>
      <c r="D97" s="1" t="s">
        <v>2407</v>
      </c>
      <c r="E97" s="1">
        <v>4</v>
      </c>
      <c r="F97" s="1">
        <v>117.51</v>
      </c>
      <c r="G97" s="1" t="s">
        <v>2499</v>
      </c>
      <c r="H97" s="1" t="s">
        <v>3065</v>
      </c>
      <c r="I97" s="1" t="s">
        <v>3072</v>
      </c>
      <c r="J97" s="1" t="s">
        <v>3170</v>
      </c>
      <c r="K97" s="1">
        <v>7</v>
      </c>
      <c r="L97" s="1" t="s">
        <v>4283</v>
      </c>
      <c r="M97" s="1" t="s">
        <v>4279</v>
      </c>
      <c r="N97" s="6" t="str">
        <f t="shared" si="3"/>
        <v>Mar</v>
      </c>
      <c r="O97" s="1">
        <v>470.04</v>
      </c>
      <c r="T97" s="4"/>
      <c r="U97" s="1" t="str">
        <f t="shared" si="4"/>
        <v>Normal</v>
      </c>
    </row>
    <row r="98" spans="1:21" x14ac:dyDescent="0.25">
      <c r="A98" s="1" t="s">
        <v>110</v>
      </c>
      <c r="B98" s="4">
        <v>45444</v>
      </c>
      <c r="C98" s="1" t="s">
        <v>1310</v>
      </c>
      <c r="D98" s="1" t="s">
        <v>2404</v>
      </c>
      <c r="E98" s="1">
        <v>2</v>
      </c>
      <c r="F98" s="1">
        <v>232.83</v>
      </c>
      <c r="G98" s="1" t="s">
        <v>2483</v>
      </c>
      <c r="H98" s="1" t="s">
        <v>3068</v>
      </c>
      <c r="I98" s="1" t="s">
        <v>3073</v>
      </c>
      <c r="J98" s="1" t="s">
        <v>3171</v>
      </c>
      <c r="K98" s="1">
        <v>7</v>
      </c>
      <c r="L98" s="1" t="s">
        <v>4283</v>
      </c>
      <c r="M98" s="1" t="s">
        <v>4278</v>
      </c>
      <c r="N98" s="6" t="str">
        <f t="shared" si="3"/>
        <v>Jun</v>
      </c>
      <c r="O98" s="1">
        <v>465.66</v>
      </c>
      <c r="T98" s="4"/>
      <c r="U98" s="1" t="str">
        <f t="shared" si="4"/>
        <v>Normal</v>
      </c>
    </row>
    <row r="99" spans="1:21" x14ac:dyDescent="0.25">
      <c r="A99" s="1" t="s">
        <v>111</v>
      </c>
      <c r="B99" s="4">
        <v>45678</v>
      </c>
      <c r="C99" s="1" t="s">
        <v>1311</v>
      </c>
      <c r="D99" s="1" t="s">
        <v>2405</v>
      </c>
      <c r="E99" s="1">
        <v>5</v>
      </c>
      <c r="F99" s="1">
        <v>619.52</v>
      </c>
      <c r="G99" s="1" t="s">
        <v>2500</v>
      </c>
      <c r="H99" s="1" t="s">
        <v>3065</v>
      </c>
      <c r="I99" s="1" t="s">
        <v>3074</v>
      </c>
      <c r="J99" s="1" t="s">
        <v>3172</v>
      </c>
      <c r="K99" s="1">
        <v>9</v>
      </c>
      <c r="L99" s="1" t="s">
        <v>4283</v>
      </c>
      <c r="M99" s="1" t="s">
        <v>4280</v>
      </c>
      <c r="N99" s="6" t="str">
        <f t="shared" si="3"/>
        <v>Jan</v>
      </c>
      <c r="O99" s="1">
        <v>3097.6</v>
      </c>
      <c r="T99" s="4"/>
      <c r="U99" s="1" t="str">
        <f t="shared" si="4"/>
        <v>Normal</v>
      </c>
    </row>
    <row r="100" spans="1:21" x14ac:dyDescent="0.25">
      <c r="A100" s="1" t="s">
        <v>112</v>
      </c>
      <c r="B100" s="4">
        <v>44940</v>
      </c>
      <c r="C100" s="1" t="s">
        <v>1312</v>
      </c>
      <c r="D100" s="1" t="s">
        <v>2407</v>
      </c>
      <c r="E100" s="1">
        <v>2</v>
      </c>
      <c r="F100" s="1">
        <v>228.54</v>
      </c>
      <c r="G100" s="1" t="s">
        <v>2501</v>
      </c>
      <c r="H100" s="1" t="s">
        <v>3065</v>
      </c>
      <c r="I100" s="1" t="s">
        <v>3074</v>
      </c>
      <c r="J100" s="1" t="s">
        <v>3173</v>
      </c>
      <c r="K100" s="1">
        <v>3</v>
      </c>
      <c r="L100" s="1" t="s">
        <v>4283</v>
      </c>
      <c r="M100" s="1" t="s">
        <v>4280</v>
      </c>
      <c r="N100" s="6" t="str">
        <f t="shared" si="3"/>
        <v>Jan</v>
      </c>
      <c r="O100" s="1">
        <v>457.08</v>
      </c>
      <c r="T100" s="4"/>
      <c r="U100" s="1" t="str">
        <f t="shared" si="4"/>
        <v>Normal</v>
      </c>
    </row>
    <row r="101" spans="1:21" x14ac:dyDescent="0.25">
      <c r="A101" s="1" t="s">
        <v>113</v>
      </c>
      <c r="B101" s="4">
        <v>45759</v>
      </c>
      <c r="C101" s="1" t="s">
        <v>1313</v>
      </c>
      <c r="D101" s="1" t="s">
        <v>2407</v>
      </c>
      <c r="E101" s="1">
        <v>1</v>
      </c>
      <c r="F101" s="1">
        <v>201.58</v>
      </c>
      <c r="G101" s="1" t="s">
        <v>2502</v>
      </c>
      <c r="H101" s="1" t="s">
        <v>3065</v>
      </c>
      <c r="I101" s="1" t="s">
        <v>3071</v>
      </c>
      <c r="J101" s="1" t="s">
        <v>3174</v>
      </c>
      <c r="K101" s="1">
        <v>2</v>
      </c>
      <c r="L101" s="1" t="s">
        <v>4277</v>
      </c>
      <c r="M101" s="1" t="s">
        <v>4280</v>
      </c>
      <c r="N101" s="6" t="str">
        <f t="shared" si="3"/>
        <v>Apr</v>
      </c>
      <c r="O101" s="1">
        <v>201.58</v>
      </c>
      <c r="T101" s="4"/>
      <c r="U101" s="1" t="str">
        <f t="shared" si="4"/>
        <v>Normal</v>
      </c>
    </row>
    <row r="102" spans="1:21" x14ac:dyDescent="0.25">
      <c r="A102" s="1" t="s">
        <v>114</v>
      </c>
      <c r="B102" s="4">
        <v>44974</v>
      </c>
      <c r="C102" s="1" t="s">
        <v>1314</v>
      </c>
      <c r="D102" s="1" t="s">
        <v>2404</v>
      </c>
      <c r="E102" s="1">
        <v>3</v>
      </c>
      <c r="F102" s="1">
        <v>664.79</v>
      </c>
      <c r="G102" s="1" t="s">
        <v>2503</v>
      </c>
      <c r="H102" s="1" t="s">
        <v>3066</v>
      </c>
      <c r="I102" s="1" t="s">
        <v>3073</v>
      </c>
      <c r="J102" s="1" t="s">
        <v>3175</v>
      </c>
      <c r="K102" s="1">
        <v>6</v>
      </c>
      <c r="L102" s="1" t="s">
        <v>4283</v>
      </c>
      <c r="M102" s="1" t="s">
        <v>4281</v>
      </c>
      <c r="N102" s="6" t="str">
        <f t="shared" si="3"/>
        <v>Feb</v>
      </c>
      <c r="O102" s="1">
        <v>1994.37</v>
      </c>
      <c r="T102" s="4"/>
      <c r="U102" s="1" t="str">
        <f t="shared" si="4"/>
        <v>Normal</v>
      </c>
    </row>
    <row r="103" spans="1:21" x14ac:dyDescent="0.25">
      <c r="A103" s="1" t="s">
        <v>115</v>
      </c>
      <c r="B103" s="4">
        <v>45255</v>
      </c>
      <c r="C103" s="1" t="s">
        <v>1315</v>
      </c>
      <c r="D103" s="1" t="s">
        <v>2407</v>
      </c>
      <c r="E103" s="1">
        <v>1</v>
      </c>
      <c r="F103" s="1">
        <v>381.02</v>
      </c>
      <c r="G103" s="1" t="s">
        <v>2504</v>
      </c>
      <c r="H103" s="1" t="s">
        <v>3069</v>
      </c>
      <c r="I103" s="1" t="s">
        <v>3070</v>
      </c>
      <c r="J103" s="1" t="s">
        <v>3176</v>
      </c>
      <c r="K103" s="1">
        <v>6</v>
      </c>
      <c r="L103" s="1" t="s">
        <v>4283</v>
      </c>
      <c r="M103" s="1" t="s">
        <v>4282</v>
      </c>
      <c r="N103" s="6" t="str">
        <f t="shared" si="3"/>
        <v>Nov</v>
      </c>
      <c r="O103" s="1">
        <v>381.02</v>
      </c>
      <c r="T103" s="4"/>
      <c r="U103" s="1" t="str">
        <f t="shared" si="4"/>
        <v>Normal</v>
      </c>
    </row>
    <row r="104" spans="1:21" x14ac:dyDescent="0.25">
      <c r="A104" s="1" t="s">
        <v>116</v>
      </c>
      <c r="B104" s="4">
        <v>44993</v>
      </c>
      <c r="C104" s="1" t="s">
        <v>1316</v>
      </c>
      <c r="D104" s="1" t="s">
        <v>2408</v>
      </c>
      <c r="E104" s="1">
        <v>2</v>
      </c>
      <c r="F104" s="1">
        <v>70.34</v>
      </c>
      <c r="G104" s="1" t="s">
        <v>2505</v>
      </c>
      <c r="H104" s="1" t="s">
        <v>3068</v>
      </c>
      <c r="I104" s="1" t="s">
        <v>3071</v>
      </c>
      <c r="J104" s="1" t="s">
        <v>3177</v>
      </c>
      <c r="K104" s="1">
        <v>3</v>
      </c>
      <c r="L104" s="1" t="s">
        <v>4276</v>
      </c>
      <c r="M104" s="1" t="s">
        <v>4280</v>
      </c>
      <c r="N104" s="6" t="str">
        <f t="shared" si="3"/>
        <v>Mar</v>
      </c>
      <c r="O104" s="1">
        <v>140.68</v>
      </c>
      <c r="T104" s="4"/>
      <c r="U104" s="1" t="str">
        <f t="shared" si="4"/>
        <v>Normal</v>
      </c>
    </row>
    <row r="105" spans="1:21" x14ac:dyDescent="0.25">
      <c r="A105" s="1" t="s">
        <v>117</v>
      </c>
      <c r="B105" s="4">
        <v>45682</v>
      </c>
      <c r="C105" s="1" t="s">
        <v>1317</v>
      </c>
      <c r="D105" s="1" t="s">
        <v>2404</v>
      </c>
      <c r="E105" s="1">
        <v>4</v>
      </c>
      <c r="F105" s="1">
        <v>218.43</v>
      </c>
      <c r="G105" s="1" t="s">
        <v>2506</v>
      </c>
      <c r="H105" s="1" t="s">
        <v>3067</v>
      </c>
      <c r="I105" s="1" t="s">
        <v>3071</v>
      </c>
      <c r="J105" s="1" t="s">
        <v>3178</v>
      </c>
      <c r="K105" s="1">
        <v>9</v>
      </c>
      <c r="L105" s="1" t="s">
        <v>4275</v>
      </c>
      <c r="M105" s="1" t="s">
        <v>4280</v>
      </c>
      <c r="N105" s="6" t="str">
        <f t="shared" si="3"/>
        <v>Jan</v>
      </c>
      <c r="O105" s="1">
        <v>873.72</v>
      </c>
      <c r="T105" s="4"/>
      <c r="U105" s="1" t="str">
        <f t="shared" si="4"/>
        <v>Normal</v>
      </c>
    </row>
    <row r="106" spans="1:21" x14ac:dyDescent="0.25">
      <c r="A106" s="1" t="s">
        <v>118</v>
      </c>
      <c r="B106" s="4">
        <v>45503</v>
      </c>
      <c r="C106" s="1" t="s">
        <v>1318</v>
      </c>
      <c r="D106" s="1" t="s">
        <v>2404</v>
      </c>
      <c r="E106" s="1">
        <v>1</v>
      </c>
      <c r="F106" s="1">
        <v>582.04</v>
      </c>
      <c r="G106" s="1" t="s">
        <v>2507</v>
      </c>
      <c r="H106" s="1" t="s">
        <v>3068</v>
      </c>
      <c r="I106" s="1" t="s">
        <v>3073</v>
      </c>
      <c r="J106" s="1" t="s">
        <v>3179</v>
      </c>
      <c r="K106" s="1">
        <v>1</v>
      </c>
      <c r="L106" s="1" t="s">
        <v>4276</v>
      </c>
      <c r="M106" s="1" t="s">
        <v>4280</v>
      </c>
      <c r="N106" s="6" t="str">
        <f t="shared" si="3"/>
        <v>Jul</v>
      </c>
      <c r="O106" s="1">
        <v>582.04</v>
      </c>
      <c r="T106" s="4"/>
      <c r="U106" s="1" t="str">
        <f t="shared" si="4"/>
        <v>Normal</v>
      </c>
    </row>
    <row r="107" spans="1:21" x14ac:dyDescent="0.25">
      <c r="A107" s="1" t="s">
        <v>119</v>
      </c>
      <c r="B107" s="4">
        <v>45589</v>
      </c>
      <c r="C107" s="1" t="s">
        <v>1319</v>
      </c>
      <c r="D107" s="1" t="s">
        <v>2407</v>
      </c>
      <c r="E107" s="1">
        <v>3</v>
      </c>
      <c r="F107" s="1">
        <v>185.4</v>
      </c>
      <c r="G107" s="1" t="s">
        <v>2508</v>
      </c>
      <c r="H107" s="1" t="s">
        <v>3068</v>
      </c>
      <c r="I107" s="1" t="s">
        <v>3071</v>
      </c>
      <c r="J107" s="1" t="s">
        <v>3180</v>
      </c>
      <c r="K107" s="1">
        <v>7</v>
      </c>
      <c r="L107" s="1" t="s">
        <v>4283</v>
      </c>
      <c r="M107" s="1" t="s">
        <v>4281</v>
      </c>
      <c r="N107" s="6" t="str">
        <f t="shared" si="3"/>
        <v>Oct</v>
      </c>
      <c r="O107" s="1">
        <v>556.20000000000005</v>
      </c>
      <c r="T107" s="4"/>
      <c r="U107" s="1" t="str">
        <f t="shared" si="4"/>
        <v>Normal</v>
      </c>
    </row>
    <row r="108" spans="1:21" x14ac:dyDescent="0.25">
      <c r="A108" s="1" t="s">
        <v>120</v>
      </c>
      <c r="B108" s="4">
        <v>45177</v>
      </c>
      <c r="C108" s="1" t="s">
        <v>1320</v>
      </c>
      <c r="D108" s="1" t="s">
        <v>2409</v>
      </c>
      <c r="E108" s="1">
        <v>3</v>
      </c>
      <c r="F108" s="1">
        <v>465.05</v>
      </c>
      <c r="G108" s="1" t="s">
        <v>2509</v>
      </c>
      <c r="H108" s="1" t="s">
        <v>3067</v>
      </c>
      <c r="I108" s="1" t="s">
        <v>3071</v>
      </c>
      <c r="J108" s="1" t="s">
        <v>3181</v>
      </c>
      <c r="K108" s="1">
        <v>3</v>
      </c>
      <c r="L108" s="1" t="s">
        <v>4275</v>
      </c>
      <c r="M108" s="1" t="s">
        <v>4280</v>
      </c>
      <c r="N108" s="6" t="str">
        <f t="shared" si="3"/>
        <v>Sep</v>
      </c>
      <c r="O108" s="1">
        <v>1395.15</v>
      </c>
      <c r="T108" s="4"/>
      <c r="U108" s="1" t="str">
        <f t="shared" si="4"/>
        <v>Normal</v>
      </c>
    </row>
    <row r="109" spans="1:21" x14ac:dyDescent="0.25">
      <c r="A109" s="1" t="s">
        <v>121</v>
      </c>
      <c r="B109" s="4">
        <v>45012</v>
      </c>
      <c r="C109" s="1" t="s">
        <v>1321</v>
      </c>
      <c r="D109" s="1" t="s">
        <v>2407</v>
      </c>
      <c r="E109" s="1">
        <v>5</v>
      </c>
      <c r="F109" s="1">
        <v>670.75</v>
      </c>
      <c r="G109" s="1" t="s">
        <v>2510</v>
      </c>
      <c r="H109" s="1" t="s">
        <v>3068</v>
      </c>
      <c r="I109" s="1" t="s">
        <v>3070</v>
      </c>
      <c r="J109" s="1" t="s">
        <v>3182</v>
      </c>
      <c r="K109" s="1">
        <v>8</v>
      </c>
      <c r="L109" s="1" t="s">
        <v>4276</v>
      </c>
      <c r="M109" s="1" t="s">
        <v>4278</v>
      </c>
      <c r="N109" s="6" t="str">
        <f t="shared" si="3"/>
        <v>Mar</v>
      </c>
      <c r="O109" s="1">
        <v>3353.75</v>
      </c>
      <c r="T109" s="4"/>
      <c r="U109" s="1" t="str">
        <f t="shared" si="4"/>
        <v>Outlier</v>
      </c>
    </row>
    <row r="110" spans="1:21" x14ac:dyDescent="0.25">
      <c r="A110" s="1" t="s">
        <v>122</v>
      </c>
      <c r="B110" s="4">
        <v>45654</v>
      </c>
      <c r="C110" s="1" t="s">
        <v>1322</v>
      </c>
      <c r="D110" s="1" t="s">
        <v>2408</v>
      </c>
      <c r="E110" s="1">
        <v>5</v>
      </c>
      <c r="F110" s="1">
        <v>48.38</v>
      </c>
      <c r="G110" s="1" t="s">
        <v>2511</v>
      </c>
      <c r="H110" s="1" t="s">
        <v>3068</v>
      </c>
      <c r="I110" s="1" t="s">
        <v>3073</v>
      </c>
      <c r="J110" s="1" t="s">
        <v>3183</v>
      </c>
      <c r="K110" s="1">
        <v>9</v>
      </c>
      <c r="L110" s="1" t="s">
        <v>4277</v>
      </c>
      <c r="M110" s="1" t="s">
        <v>4280</v>
      </c>
      <c r="N110" s="6" t="str">
        <f t="shared" si="3"/>
        <v>Dec</v>
      </c>
      <c r="O110" s="1">
        <v>241.9</v>
      </c>
      <c r="T110" s="4"/>
      <c r="U110" s="1" t="str">
        <f t="shared" si="4"/>
        <v>Normal</v>
      </c>
    </row>
    <row r="111" spans="1:21" x14ac:dyDescent="0.25">
      <c r="A111" s="1" t="s">
        <v>123</v>
      </c>
      <c r="B111" s="4">
        <v>45186</v>
      </c>
      <c r="C111" s="1" t="s">
        <v>1323</v>
      </c>
      <c r="D111" s="1" t="s">
        <v>2409</v>
      </c>
      <c r="E111" s="1">
        <v>3</v>
      </c>
      <c r="F111" s="1">
        <v>592.87</v>
      </c>
      <c r="G111" s="1" t="s">
        <v>2512</v>
      </c>
      <c r="H111" s="1" t="s">
        <v>3068</v>
      </c>
      <c r="I111" s="1" t="s">
        <v>3070</v>
      </c>
      <c r="J111" s="1" t="s">
        <v>3184</v>
      </c>
      <c r="K111" s="1">
        <v>3</v>
      </c>
      <c r="L111" s="1" t="s">
        <v>4276</v>
      </c>
      <c r="M111" s="1" t="s">
        <v>4279</v>
      </c>
      <c r="N111" s="6" t="str">
        <f t="shared" si="3"/>
        <v>Sep</v>
      </c>
      <c r="O111" s="1">
        <v>1778.61</v>
      </c>
      <c r="T111" s="4"/>
      <c r="U111" s="1" t="str">
        <f t="shared" si="4"/>
        <v>Normal</v>
      </c>
    </row>
    <row r="112" spans="1:21" x14ac:dyDescent="0.25">
      <c r="A112" s="1" t="s">
        <v>124</v>
      </c>
      <c r="B112" s="4">
        <v>45403</v>
      </c>
      <c r="C112" s="1" t="s">
        <v>1324</v>
      </c>
      <c r="D112" s="1" t="s">
        <v>2405</v>
      </c>
      <c r="E112" s="1">
        <v>1</v>
      </c>
      <c r="F112" s="1">
        <v>220.77</v>
      </c>
      <c r="G112" s="1" t="s">
        <v>2513</v>
      </c>
      <c r="H112" s="1" t="s">
        <v>3068</v>
      </c>
      <c r="I112" s="1" t="s">
        <v>3074</v>
      </c>
      <c r="J112" s="1" t="s">
        <v>3185</v>
      </c>
      <c r="K112" s="1">
        <v>5</v>
      </c>
      <c r="L112" s="1" t="s">
        <v>4276</v>
      </c>
      <c r="M112" s="1" t="s">
        <v>4278</v>
      </c>
      <c r="N112" s="6" t="str">
        <f t="shared" si="3"/>
        <v>Apr</v>
      </c>
      <c r="O112" s="1">
        <v>220.77</v>
      </c>
      <c r="T112" s="4"/>
      <c r="U112" s="1" t="str">
        <f t="shared" si="4"/>
        <v>Normal</v>
      </c>
    </row>
    <row r="113" spans="1:21" x14ac:dyDescent="0.25">
      <c r="A113" s="1" t="s">
        <v>125</v>
      </c>
      <c r="B113" s="4">
        <v>45784</v>
      </c>
      <c r="C113" s="1" t="s">
        <v>1325</v>
      </c>
      <c r="D113" s="1" t="s">
        <v>2409</v>
      </c>
      <c r="E113" s="1">
        <v>3</v>
      </c>
      <c r="F113" s="1">
        <v>309.22000000000003</v>
      </c>
      <c r="G113" s="1" t="s">
        <v>2514</v>
      </c>
      <c r="H113" s="1" t="s">
        <v>3066</v>
      </c>
      <c r="I113" s="1" t="s">
        <v>3071</v>
      </c>
      <c r="J113" s="1" t="s">
        <v>3186</v>
      </c>
      <c r="K113" s="1">
        <v>7</v>
      </c>
      <c r="L113" s="1" t="s">
        <v>4276</v>
      </c>
      <c r="M113" s="1" t="s">
        <v>4282</v>
      </c>
      <c r="N113" s="6" t="str">
        <f t="shared" si="3"/>
        <v>May</v>
      </c>
      <c r="O113" s="1">
        <v>927.66000000000008</v>
      </c>
      <c r="T113" s="4"/>
      <c r="U113" s="1" t="str">
        <f t="shared" si="4"/>
        <v>Normal</v>
      </c>
    </row>
    <row r="114" spans="1:21" x14ac:dyDescent="0.25">
      <c r="A114" s="1" t="s">
        <v>126</v>
      </c>
      <c r="B114" s="4">
        <v>44927</v>
      </c>
      <c r="C114" s="1" t="s">
        <v>1326</v>
      </c>
      <c r="D114" s="1" t="s">
        <v>2403</v>
      </c>
      <c r="E114" s="1">
        <v>1</v>
      </c>
      <c r="F114" s="1">
        <v>410.6</v>
      </c>
      <c r="G114" s="1" t="s">
        <v>2515</v>
      </c>
      <c r="H114" s="1" t="s">
        <v>3066</v>
      </c>
      <c r="I114" s="1" t="s">
        <v>3071</v>
      </c>
      <c r="J114" s="1" t="s">
        <v>3187</v>
      </c>
      <c r="K114" s="1">
        <v>2</v>
      </c>
      <c r="L114" s="1" t="s">
        <v>4277</v>
      </c>
      <c r="M114" s="1" t="s">
        <v>4279</v>
      </c>
      <c r="N114" s="6" t="str">
        <f t="shared" si="3"/>
        <v>Jan</v>
      </c>
      <c r="O114" s="1">
        <v>410.6</v>
      </c>
      <c r="T114" s="4"/>
      <c r="U114" s="1" t="str">
        <f t="shared" si="4"/>
        <v>Normal</v>
      </c>
    </row>
    <row r="115" spans="1:21" x14ac:dyDescent="0.25">
      <c r="A115" s="1" t="s">
        <v>127</v>
      </c>
      <c r="B115" s="4">
        <v>45308</v>
      </c>
      <c r="C115" s="1" t="s">
        <v>1327</v>
      </c>
      <c r="D115" s="1" t="s">
        <v>2408</v>
      </c>
      <c r="E115" s="1">
        <v>5</v>
      </c>
      <c r="F115" s="1">
        <v>190.08</v>
      </c>
      <c r="G115" s="1" t="s">
        <v>2516</v>
      </c>
      <c r="H115" s="1" t="s">
        <v>3069</v>
      </c>
      <c r="I115" s="1" t="s">
        <v>3070</v>
      </c>
      <c r="J115" s="1" t="s">
        <v>3188</v>
      </c>
      <c r="K115" s="1">
        <v>9</v>
      </c>
      <c r="L115" s="1" t="s">
        <v>4276</v>
      </c>
      <c r="M115" s="1" t="s">
        <v>4278</v>
      </c>
      <c r="N115" s="6" t="str">
        <f t="shared" si="3"/>
        <v>Jan</v>
      </c>
      <c r="O115" s="1">
        <v>950.40000000000009</v>
      </c>
      <c r="T115" s="4"/>
      <c r="U115" s="1" t="str">
        <f t="shared" si="4"/>
        <v>Normal</v>
      </c>
    </row>
    <row r="116" spans="1:21" x14ac:dyDescent="0.25">
      <c r="A116" s="1" t="s">
        <v>128</v>
      </c>
      <c r="B116" s="4">
        <v>45684</v>
      </c>
      <c r="C116" s="1" t="s">
        <v>1328</v>
      </c>
      <c r="D116" s="1" t="s">
        <v>2403</v>
      </c>
      <c r="E116" s="1">
        <v>5</v>
      </c>
      <c r="F116" s="1">
        <v>498.48</v>
      </c>
      <c r="G116" s="1" t="s">
        <v>2517</v>
      </c>
      <c r="H116" s="1" t="s">
        <v>3066</v>
      </c>
      <c r="I116" s="1" t="s">
        <v>3074</v>
      </c>
      <c r="J116" s="1" t="s">
        <v>3189</v>
      </c>
      <c r="K116" s="1">
        <v>8</v>
      </c>
      <c r="L116" s="1" t="s">
        <v>4275</v>
      </c>
      <c r="M116" s="1" t="s">
        <v>4282</v>
      </c>
      <c r="N116" s="6" t="str">
        <f t="shared" si="3"/>
        <v>Jan</v>
      </c>
      <c r="O116" s="1">
        <v>2492.4</v>
      </c>
      <c r="T116" s="4"/>
      <c r="U116" s="1" t="str">
        <f t="shared" si="4"/>
        <v>Normal</v>
      </c>
    </row>
    <row r="117" spans="1:21" x14ac:dyDescent="0.25">
      <c r="A117" s="1" t="s">
        <v>129</v>
      </c>
      <c r="B117" s="4">
        <v>45257</v>
      </c>
      <c r="C117" s="1" t="s">
        <v>1329</v>
      </c>
      <c r="D117" s="1" t="s">
        <v>2404</v>
      </c>
      <c r="E117" s="1">
        <v>5</v>
      </c>
      <c r="F117" s="1">
        <v>374.99</v>
      </c>
      <c r="G117" s="1" t="s">
        <v>2518</v>
      </c>
      <c r="H117" s="1" t="s">
        <v>3066</v>
      </c>
      <c r="I117" s="1" t="s">
        <v>3070</v>
      </c>
      <c r="J117" s="1" t="s">
        <v>3190</v>
      </c>
      <c r="K117" s="1">
        <v>9</v>
      </c>
      <c r="L117" s="1" t="s">
        <v>4275</v>
      </c>
      <c r="M117" s="1" t="s">
        <v>4281</v>
      </c>
      <c r="N117" s="6" t="str">
        <f t="shared" si="3"/>
        <v>Nov</v>
      </c>
      <c r="O117" s="1">
        <v>1874.95</v>
      </c>
      <c r="T117" s="4"/>
      <c r="U117" s="1" t="str">
        <f t="shared" si="4"/>
        <v>Normal</v>
      </c>
    </row>
    <row r="118" spans="1:21" x14ac:dyDescent="0.25">
      <c r="A118" s="1" t="s">
        <v>130</v>
      </c>
      <c r="B118" s="4">
        <v>45004</v>
      </c>
      <c r="C118" s="1" t="s">
        <v>1330</v>
      </c>
      <c r="D118" s="1" t="s">
        <v>2407</v>
      </c>
      <c r="E118" s="1">
        <v>4</v>
      </c>
      <c r="F118" s="1">
        <v>291.35000000000002</v>
      </c>
      <c r="G118" s="1" t="s">
        <v>2519</v>
      </c>
      <c r="H118" s="1" t="s">
        <v>3067</v>
      </c>
      <c r="I118" s="1" t="s">
        <v>3071</v>
      </c>
      <c r="J118" s="1" t="s">
        <v>3191</v>
      </c>
      <c r="K118" s="1">
        <v>6</v>
      </c>
      <c r="L118" s="1" t="s">
        <v>4277</v>
      </c>
      <c r="M118" s="1" t="s">
        <v>4281</v>
      </c>
      <c r="N118" s="6" t="str">
        <f t="shared" si="3"/>
        <v>Mar</v>
      </c>
      <c r="O118" s="1">
        <v>1165.4000000000001</v>
      </c>
      <c r="T118" s="4"/>
      <c r="U118" s="1" t="str">
        <f t="shared" si="4"/>
        <v>Normal</v>
      </c>
    </row>
    <row r="119" spans="1:21" x14ac:dyDescent="0.25">
      <c r="A119" s="1" t="s">
        <v>131</v>
      </c>
      <c r="B119" s="4">
        <v>44993</v>
      </c>
      <c r="C119" s="1" t="s">
        <v>1331</v>
      </c>
      <c r="D119" s="1" t="s">
        <v>2405</v>
      </c>
      <c r="E119" s="1">
        <v>1</v>
      </c>
      <c r="F119" s="1">
        <v>535.5</v>
      </c>
      <c r="G119" s="1" t="s">
        <v>2520</v>
      </c>
      <c r="H119" s="1" t="s">
        <v>3068</v>
      </c>
      <c r="I119" s="1" t="s">
        <v>3071</v>
      </c>
      <c r="J119" s="1" t="s">
        <v>3192</v>
      </c>
      <c r="K119" s="1">
        <v>5</v>
      </c>
      <c r="L119" s="1" t="s">
        <v>4277</v>
      </c>
      <c r="M119" s="1" t="s">
        <v>4279</v>
      </c>
      <c r="N119" s="6" t="str">
        <f t="shared" si="3"/>
        <v>Mar</v>
      </c>
      <c r="O119" s="1">
        <v>535.5</v>
      </c>
      <c r="T119" s="4"/>
      <c r="U119" s="1" t="str">
        <f t="shared" si="4"/>
        <v>Normal</v>
      </c>
    </row>
    <row r="120" spans="1:21" x14ac:dyDescent="0.25">
      <c r="A120" s="1" t="s">
        <v>132</v>
      </c>
      <c r="B120" s="4">
        <v>45208</v>
      </c>
      <c r="C120" s="1" t="s">
        <v>1332</v>
      </c>
      <c r="D120" s="1" t="s">
        <v>2407</v>
      </c>
      <c r="E120" s="1">
        <v>5</v>
      </c>
      <c r="F120" s="1">
        <v>502.71</v>
      </c>
      <c r="G120" s="1" t="s">
        <v>2521</v>
      </c>
      <c r="H120" s="1" t="s">
        <v>3068</v>
      </c>
      <c r="I120" s="1" t="s">
        <v>3070</v>
      </c>
      <c r="J120" s="1" t="s">
        <v>3193</v>
      </c>
      <c r="K120" s="1">
        <v>7</v>
      </c>
      <c r="L120" s="1" t="s">
        <v>4276</v>
      </c>
      <c r="M120" s="1" t="s">
        <v>4282</v>
      </c>
      <c r="N120" s="6" t="str">
        <f t="shared" si="3"/>
        <v>Oct</v>
      </c>
      <c r="O120" s="1">
        <v>2513.5500000000002</v>
      </c>
      <c r="T120" s="4"/>
      <c r="U120" s="1" t="str">
        <f t="shared" si="4"/>
        <v>Normal</v>
      </c>
    </row>
    <row r="121" spans="1:21" x14ac:dyDescent="0.25">
      <c r="A121" s="1" t="s">
        <v>133</v>
      </c>
      <c r="B121" s="4">
        <v>45819</v>
      </c>
      <c r="C121" s="1" t="s">
        <v>1333</v>
      </c>
      <c r="D121" s="1" t="s">
        <v>2409</v>
      </c>
      <c r="E121" s="1">
        <v>2</v>
      </c>
      <c r="F121" s="1">
        <v>534.66999999999996</v>
      </c>
      <c r="G121" s="1" t="s">
        <v>2522</v>
      </c>
      <c r="H121" s="1" t="s">
        <v>3065</v>
      </c>
      <c r="I121" s="1" t="s">
        <v>3070</v>
      </c>
      <c r="J121" s="1" t="s">
        <v>3194</v>
      </c>
      <c r="K121" s="1">
        <v>7</v>
      </c>
      <c r="L121" s="1" t="s">
        <v>4276</v>
      </c>
      <c r="M121" s="1" t="s">
        <v>4279</v>
      </c>
      <c r="N121" s="6" t="str">
        <f t="shared" si="3"/>
        <v>Jun</v>
      </c>
      <c r="O121" s="1">
        <v>1069.3399999999999</v>
      </c>
      <c r="T121" s="4"/>
      <c r="U121" s="1" t="str">
        <f t="shared" si="4"/>
        <v>Normal</v>
      </c>
    </row>
    <row r="122" spans="1:21" x14ac:dyDescent="0.25">
      <c r="A122" s="1" t="s">
        <v>134</v>
      </c>
      <c r="B122" s="4">
        <v>45027</v>
      </c>
      <c r="C122" s="1" t="s">
        <v>1334</v>
      </c>
      <c r="D122" s="1" t="s">
        <v>2405</v>
      </c>
      <c r="E122" s="1">
        <v>4</v>
      </c>
      <c r="F122" s="1">
        <v>629.34</v>
      </c>
      <c r="G122" s="1" t="s">
        <v>2416</v>
      </c>
      <c r="H122" s="1" t="s">
        <v>3069</v>
      </c>
      <c r="I122" s="1" t="s">
        <v>3071</v>
      </c>
      <c r="J122" s="1" t="s">
        <v>3195</v>
      </c>
      <c r="K122" s="1">
        <v>4</v>
      </c>
      <c r="L122" s="1" t="s">
        <v>4277</v>
      </c>
      <c r="M122" s="1" t="s">
        <v>4278</v>
      </c>
      <c r="N122" s="6" t="str">
        <f t="shared" si="3"/>
        <v>Apr</v>
      </c>
      <c r="O122" s="1">
        <v>2517.36</v>
      </c>
      <c r="T122" s="4"/>
      <c r="U122" s="1" t="str">
        <f t="shared" si="4"/>
        <v>Normal</v>
      </c>
    </row>
    <row r="123" spans="1:21" x14ac:dyDescent="0.25">
      <c r="A123" s="1" t="s">
        <v>135</v>
      </c>
      <c r="B123" s="4">
        <v>45260</v>
      </c>
      <c r="C123" s="1" t="s">
        <v>1335</v>
      </c>
      <c r="D123" s="1" t="s">
        <v>2409</v>
      </c>
      <c r="E123" s="1">
        <v>1</v>
      </c>
      <c r="F123" s="1">
        <v>410.78</v>
      </c>
      <c r="G123" s="1" t="s">
        <v>2523</v>
      </c>
      <c r="H123" s="1" t="s">
        <v>3069</v>
      </c>
      <c r="I123" s="1" t="s">
        <v>3071</v>
      </c>
      <c r="J123" s="1" t="s">
        <v>3196</v>
      </c>
      <c r="K123" s="1">
        <v>1</v>
      </c>
      <c r="L123" s="1" t="s">
        <v>4276</v>
      </c>
      <c r="M123" s="1" t="s">
        <v>4278</v>
      </c>
      <c r="N123" s="6" t="str">
        <f t="shared" si="3"/>
        <v>Nov</v>
      </c>
      <c r="O123" s="1">
        <v>410.78</v>
      </c>
      <c r="T123" s="4"/>
      <c r="U123" s="1" t="str">
        <f t="shared" si="4"/>
        <v>Normal</v>
      </c>
    </row>
    <row r="124" spans="1:21" x14ac:dyDescent="0.25">
      <c r="A124" s="1" t="s">
        <v>136</v>
      </c>
      <c r="B124" s="4">
        <v>45397</v>
      </c>
      <c r="C124" s="1" t="s">
        <v>1336</v>
      </c>
      <c r="D124" s="1" t="s">
        <v>2408</v>
      </c>
      <c r="E124" s="1">
        <v>2</v>
      </c>
      <c r="F124" s="1">
        <v>533.02</v>
      </c>
      <c r="G124" s="1" t="s">
        <v>2524</v>
      </c>
      <c r="H124" s="1" t="s">
        <v>3068</v>
      </c>
      <c r="I124" s="1" t="s">
        <v>3070</v>
      </c>
      <c r="J124" s="1" t="s">
        <v>3197</v>
      </c>
      <c r="K124" s="1">
        <v>2</v>
      </c>
      <c r="L124" s="1" t="s">
        <v>4283</v>
      </c>
      <c r="M124" s="1" t="s">
        <v>4281</v>
      </c>
      <c r="N124" s="6" t="str">
        <f t="shared" si="3"/>
        <v>Apr</v>
      </c>
      <c r="O124" s="1">
        <v>1066.04</v>
      </c>
      <c r="T124" s="4"/>
      <c r="U124" s="1" t="str">
        <f t="shared" si="4"/>
        <v>Normal</v>
      </c>
    </row>
    <row r="125" spans="1:21" x14ac:dyDescent="0.25">
      <c r="A125" s="1" t="s">
        <v>137</v>
      </c>
      <c r="B125" s="4">
        <v>45113</v>
      </c>
      <c r="C125" s="1" t="s">
        <v>1337</v>
      </c>
      <c r="D125" s="1" t="s">
        <v>2409</v>
      </c>
      <c r="E125" s="1">
        <v>3</v>
      </c>
      <c r="F125" s="1">
        <v>278.04000000000002</v>
      </c>
      <c r="G125" s="1" t="s">
        <v>2525</v>
      </c>
      <c r="H125" s="1" t="s">
        <v>3066</v>
      </c>
      <c r="I125" s="1" t="s">
        <v>3073</v>
      </c>
      <c r="J125" s="1" t="s">
        <v>3198</v>
      </c>
      <c r="K125" s="1">
        <v>5</v>
      </c>
      <c r="L125" s="1" t="s">
        <v>4283</v>
      </c>
      <c r="M125" s="1" t="s">
        <v>4278</v>
      </c>
      <c r="N125" s="6" t="str">
        <f t="shared" si="3"/>
        <v>Jul</v>
      </c>
      <c r="O125" s="1">
        <v>834.12000000000012</v>
      </c>
      <c r="T125" s="4"/>
      <c r="U125" s="1" t="str">
        <f t="shared" si="4"/>
        <v>Normal</v>
      </c>
    </row>
    <row r="126" spans="1:21" x14ac:dyDescent="0.25">
      <c r="A126" s="1" t="s">
        <v>138</v>
      </c>
      <c r="B126" s="4">
        <v>45501</v>
      </c>
      <c r="C126" s="1" t="s">
        <v>1338</v>
      </c>
      <c r="D126" s="1" t="s">
        <v>2407</v>
      </c>
      <c r="E126" s="1">
        <v>4</v>
      </c>
      <c r="F126" s="1">
        <v>283.79000000000002</v>
      </c>
      <c r="G126" s="1" t="s">
        <v>2526</v>
      </c>
      <c r="H126" s="1" t="s">
        <v>3066</v>
      </c>
      <c r="I126" s="1" t="s">
        <v>3074</v>
      </c>
      <c r="J126" s="1" t="s">
        <v>3199</v>
      </c>
      <c r="K126" s="1">
        <v>8</v>
      </c>
      <c r="L126" s="1" t="s">
        <v>4283</v>
      </c>
      <c r="M126" s="1" t="s">
        <v>4282</v>
      </c>
      <c r="N126" s="6" t="str">
        <f t="shared" si="3"/>
        <v>Jul</v>
      </c>
      <c r="O126" s="1">
        <v>1135.1600000000001</v>
      </c>
      <c r="T126" s="4"/>
      <c r="U126" s="1" t="str">
        <f t="shared" si="4"/>
        <v>Normal</v>
      </c>
    </row>
    <row r="127" spans="1:21" x14ac:dyDescent="0.25">
      <c r="A127" s="1" t="s">
        <v>139</v>
      </c>
      <c r="B127" s="4">
        <v>45602</v>
      </c>
      <c r="C127" s="1" t="s">
        <v>1339</v>
      </c>
      <c r="D127" s="1" t="s">
        <v>2404</v>
      </c>
      <c r="E127" s="1">
        <v>2</v>
      </c>
      <c r="F127" s="1">
        <v>512.65</v>
      </c>
      <c r="G127" s="1" t="s">
        <v>2527</v>
      </c>
      <c r="H127" s="1" t="s">
        <v>3067</v>
      </c>
      <c r="I127" s="1" t="s">
        <v>3070</v>
      </c>
      <c r="J127" s="1" t="s">
        <v>3200</v>
      </c>
      <c r="K127" s="1">
        <v>5</v>
      </c>
      <c r="L127" s="1" t="s">
        <v>4275</v>
      </c>
      <c r="M127" s="1" t="s">
        <v>4280</v>
      </c>
      <c r="N127" s="6" t="str">
        <f t="shared" si="3"/>
        <v>Nov</v>
      </c>
      <c r="O127" s="1">
        <v>1025.3</v>
      </c>
      <c r="T127" s="4"/>
      <c r="U127" s="1" t="str">
        <f t="shared" si="4"/>
        <v>Normal</v>
      </c>
    </row>
    <row r="128" spans="1:21" x14ac:dyDescent="0.25">
      <c r="A128" s="1" t="s">
        <v>140</v>
      </c>
      <c r="B128" s="4">
        <v>45780</v>
      </c>
      <c r="C128" s="1" t="s">
        <v>1340</v>
      </c>
      <c r="D128" s="1" t="s">
        <v>2409</v>
      </c>
      <c r="E128" s="1">
        <v>4</v>
      </c>
      <c r="F128" s="1">
        <v>275.5</v>
      </c>
      <c r="G128" s="1" t="s">
        <v>2528</v>
      </c>
      <c r="H128" s="1" t="s">
        <v>3068</v>
      </c>
      <c r="I128" s="1" t="s">
        <v>3070</v>
      </c>
      <c r="J128" s="1" t="s">
        <v>3201</v>
      </c>
      <c r="K128" s="1">
        <v>8</v>
      </c>
      <c r="L128" s="1" t="s">
        <v>4276</v>
      </c>
      <c r="M128" s="1" t="s">
        <v>4282</v>
      </c>
      <c r="N128" s="6" t="str">
        <f t="shared" si="3"/>
        <v>May</v>
      </c>
      <c r="O128" s="1">
        <v>1102</v>
      </c>
      <c r="T128" s="4"/>
      <c r="U128" s="1" t="str">
        <f t="shared" si="4"/>
        <v>Normal</v>
      </c>
    </row>
    <row r="129" spans="1:21" x14ac:dyDescent="0.25">
      <c r="A129" s="1" t="s">
        <v>141</v>
      </c>
      <c r="B129" s="4">
        <v>45148</v>
      </c>
      <c r="C129" s="1" t="s">
        <v>1341</v>
      </c>
      <c r="D129" s="1" t="s">
        <v>2409</v>
      </c>
      <c r="E129" s="1">
        <v>3</v>
      </c>
      <c r="F129" s="1">
        <v>469.32</v>
      </c>
      <c r="G129" s="1" t="s">
        <v>2529</v>
      </c>
      <c r="H129" s="1" t="s">
        <v>3065</v>
      </c>
      <c r="I129" s="1" t="s">
        <v>3070</v>
      </c>
      <c r="J129" s="1" t="s">
        <v>3202</v>
      </c>
      <c r="K129" s="1">
        <v>3</v>
      </c>
      <c r="L129" s="1" t="s">
        <v>4283</v>
      </c>
      <c r="M129" s="1" t="s">
        <v>4282</v>
      </c>
      <c r="N129" s="6" t="str">
        <f t="shared" si="3"/>
        <v>Aug</v>
      </c>
      <c r="O129" s="1">
        <v>1407.96</v>
      </c>
      <c r="T129" s="4"/>
      <c r="U129" s="1" t="str">
        <f t="shared" si="4"/>
        <v>Normal</v>
      </c>
    </row>
    <row r="130" spans="1:21" x14ac:dyDescent="0.25">
      <c r="A130" s="1" t="s">
        <v>142</v>
      </c>
      <c r="B130" s="4">
        <v>44974</v>
      </c>
      <c r="C130" s="1" t="s">
        <v>1342</v>
      </c>
      <c r="D130" s="1" t="s">
        <v>2405</v>
      </c>
      <c r="E130" s="1">
        <v>4</v>
      </c>
      <c r="F130" s="1">
        <v>21.07</v>
      </c>
      <c r="G130" s="1" t="s">
        <v>2530</v>
      </c>
      <c r="H130" s="1" t="s">
        <v>3068</v>
      </c>
      <c r="I130" s="1" t="s">
        <v>3073</v>
      </c>
      <c r="J130" s="1" t="s">
        <v>3203</v>
      </c>
      <c r="K130" s="1">
        <v>4</v>
      </c>
      <c r="L130" s="1" t="s">
        <v>4276</v>
      </c>
      <c r="M130" s="1" t="s">
        <v>4282</v>
      </c>
      <c r="N130" s="6" t="str">
        <f t="shared" ref="N130:N193" si="5">TEXT(B130,"MMM")</f>
        <v>Feb</v>
      </c>
      <c r="O130" s="1">
        <v>84.28</v>
      </c>
      <c r="T130" s="4"/>
      <c r="U130" s="1" t="str">
        <f t="shared" si="4"/>
        <v>Normal</v>
      </c>
    </row>
    <row r="131" spans="1:21" x14ac:dyDescent="0.25">
      <c r="A131" s="1" t="s">
        <v>143</v>
      </c>
      <c r="B131" s="4">
        <v>45226</v>
      </c>
      <c r="C131" s="1" t="s">
        <v>1343</v>
      </c>
      <c r="D131" s="1" t="s">
        <v>2408</v>
      </c>
      <c r="E131" s="1">
        <v>4</v>
      </c>
      <c r="F131" s="1">
        <v>263.93</v>
      </c>
      <c r="G131" s="1" t="s">
        <v>2531</v>
      </c>
      <c r="H131" s="1" t="s">
        <v>3065</v>
      </c>
      <c r="I131" s="1" t="s">
        <v>3070</v>
      </c>
      <c r="J131" s="1" t="s">
        <v>3204</v>
      </c>
      <c r="K131" s="1">
        <v>4</v>
      </c>
      <c r="L131" s="1" t="s">
        <v>4276</v>
      </c>
      <c r="M131" s="1" t="s">
        <v>4281</v>
      </c>
      <c r="N131" s="6" t="str">
        <f t="shared" si="5"/>
        <v>Oct</v>
      </c>
      <c r="O131" s="1">
        <v>1055.72</v>
      </c>
      <c r="T131" s="4"/>
      <c r="U131" s="1" t="str">
        <f t="shared" ref="U131:U194" si="6">IF(O131&gt;$S$2,"Outlier","Normal")</f>
        <v>Normal</v>
      </c>
    </row>
    <row r="132" spans="1:21" x14ac:dyDescent="0.25">
      <c r="A132" s="1" t="s">
        <v>144</v>
      </c>
      <c r="B132" s="4">
        <v>45679</v>
      </c>
      <c r="C132" s="1" t="s">
        <v>1344</v>
      </c>
      <c r="D132" s="1" t="s">
        <v>2409</v>
      </c>
      <c r="E132" s="1">
        <v>3</v>
      </c>
      <c r="F132" s="1">
        <v>501.3</v>
      </c>
      <c r="G132" s="1" t="s">
        <v>2532</v>
      </c>
      <c r="H132" s="1" t="s">
        <v>3066</v>
      </c>
      <c r="I132" s="1" t="s">
        <v>3071</v>
      </c>
      <c r="J132" s="1" t="s">
        <v>3205</v>
      </c>
      <c r="K132" s="1">
        <v>3</v>
      </c>
      <c r="L132" s="1" t="s">
        <v>4277</v>
      </c>
      <c r="M132" s="1" t="s">
        <v>4281</v>
      </c>
      <c r="N132" s="6" t="str">
        <f t="shared" si="5"/>
        <v>Jan</v>
      </c>
      <c r="O132" s="1">
        <v>1503.9</v>
      </c>
      <c r="T132" s="4"/>
      <c r="U132" s="1" t="str">
        <f t="shared" si="6"/>
        <v>Normal</v>
      </c>
    </row>
    <row r="133" spans="1:21" x14ac:dyDescent="0.25">
      <c r="A133" s="1" t="s">
        <v>145</v>
      </c>
      <c r="B133" s="4">
        <v>44934</v>
      </c>
      <c r="C133" s="1" t="s">
        <v>1345</v>
      </c>
      <c r="D133" s="1" t="s">
        <v>2405</v>
      </c>
      <c r="E133" s="1">
        <v>1</v>
      </c>
      <c r="F133" s="1">
        <v>84.8</v>
      </c>
      <c r="G133" s="1" t="s">
        <v>2533</v>
      </c>
      <c r="H133" s="1" t="s">
        <v>3068</v>
      </c>
      <c r="I133" s="1" t="s">
        <v>3074</v>
      </c>
      <c r="J133" s="1" t="s">
        <v>3206</v>
      </c>
      <c r="K133" s="1">
        <v>5</v>
      </c>
      <c r="L133" s="1" t="s">
        <v>4283</v>
      </c>
      <c r="M133" s="1" t="s">
        <v>4278</v>
      </c>
      <c r="N133" s="6" t="str">
        <f t="shared" si="5"/>
        <v>Jan</v>
      </c>
      <c r="O133" s="1">
        <v>84.8</v>
      </c>
      <c r="T133" s="4"/>
      <c r="U133" s="1" t="str">
        <f t="shared" si="6"/>
        <v>Normal</v>
      </c>
    </row>
    <row r="134" spans="1:21" x14ac:dyDescent="0.25">
      <c r="A134" s="1" t="s">
        <v>146</v>
      </c>
      <c r="B134" s="4">
        <v>45013</v>
      </c>
      <c r="C134" s="1" t="s">
        <v>1346</v>
      </c>
      <c r="D134" s="1" t="s">
        <v>2405</v>
      </c>
      <c r="E134" s="1">
        <v>4</v>
      </c>
      <c r="F134" s="1">
        <v>450.75</v>
      </c>
      <c r="G134" s="1" t="s">
        <v>2534</v>
      </c>
      <c r="H134" s="1" t="s">
        <v>3067</v>
      </c>
      <c r="I134" s="1" t="s">
        <v>3070</v>
      </c>
      <c r="J134" s="1" t="s">
        <v>3207</v>
      </c>
      <c r="K134" s="1">
        <v>6</v>
      </c>
      <c r="L134" s="1" t="s">
        <v>4277</v>
      </c>
      <c r="M134" s="1" t="s">
        <v>4280</v>
      </c>
      <c r="N134" s="6" t="str">
        <f t="shared" si="5"/>
        <v>Mar</v>
      </c>
      <c r="O134" s="1">
        <v>1803</v>
      </c>
      <c r="T134" s="4"/>
      <c r="U134" s="1" t="str">
        <f t="shared" si="6"/>
        <v>Normal</v>
      </c>
    </row>
    <row r="135" spans="1:21" x14ac:dyDescent="0.25">
      <c r="A135" s="1" t="s">
        <v>147</v>
      </c>
      <c r="B135" s="4">
        <v>45828</v>
      </c>
      <c r="C135" s="1" t="s">
        <v>1347</v>
      </c>
      <c r="D135" s="1" t="s">
        <v>2406</v>
      </c>
      <c r="E135" s="1">
        <v>4</v>
      </c>
      <c r="F135" s="1">
        <v>302.05</v>
      </c>
      <c r="G135" s="1" t="s">
        <v>2535</v>
      </c>
      <c r="H135" s="1" t="s">
        <v>3065</v>
      </c>
      <c r="I135" s="1" t="s">
        <v>3071</v>
      </c>
      <c r="J135" s="1" t="s">
        <v>3208</v>
      </c>
      <c r="K135" s="1">
        <v>6</v>
      </c>
      <c r="L135" s="1" t="s">
        <v>4275</v>
      </c>
      <c r="M135" s="1" t="s">
        <v>4282</v>
      </c>
      <c r="N135" s="6" t="str">
        <f t="shared" si="5"/>
        <v>Jun</v>
      </c>
      <c r="O135" s="1">
        <v>1208.2</v>
      </c>
      <c r="T135" s="4"/>
      <c r="U135" s="1" t="str">
        <f t="shared" si="6"/>
        <v>Normal</v>
      </c>
    </row>
    <row r="136" spans="1:21" x14ac:dyDescent="0.25">
      <c r="A136" s="1" t="s">
        <v>148</v>
      </c>
      <c r="B136" s="4">
        <v>45831</v>
      </c>
      <c r="C136" s="1" t="s">
        <v>1348</v>
      </c>
      <c r="D136" s="1" t="s">
        <v>2408</v>
      </c>
      <c r="E136" s="1">
        <v>2</v>
      </c>
      <c r="F136" s="1">
        <v>199.7</v>
      </c>
      <c r="G136" s="1" t="s">
        <v>2534</v>
      </c>
      <c r="H136" s="1" t="s">
        <v>3069</v>
      </c>
      <c r="I136" s="1" t="s">
        <v>3074</v>
      </c>
      <c r="J136" s="1" t="s">
        <v>3209</v>
      </c>
      <c r="K136" s="1">
        <v>4</v>
      </c>
      <c r="L136" s="1" t="s">
        <v>4283</v>
      </c>
      <c r="M136" s="1" t="s">
        <v>4280</v>
      </c>
      <c r="N136" s="6" t="str">
        <f t="shared" si="5"/>
        <v>Jun</v>
      </c>
      <c r="O136" s="1">
        <v>399.4</v>
      </c>
      <c r="T136" s="4"/>
      <c r="U136" s="1" t="str">
        <f t="shared" si="6"/>
        <v>Normal</v>
      </c>
    </row>
    <row r="137" spans="1:21" x14ac:dyDescent="0.25">
      <c r="A137" s="1" t="s">
        <v>149</v>
      </c>
      <c r="B137" s="4">
        <v>45142</v>
      </c>
      <c r="C137" s="1" t="s">
        <v>1349</v>
      </c>
      <c r="D137" s="1" t="s">
        <v>2407</v>
      </c>
      <c r="E137" s="1">
        <v>2</v>
      </c>
      <c r="F137" s="1">
        <v>68.81</v>
      </c>
      <c r="G137" s="1" t="s">
        <v>2536</v>
      </c>
      <c r="H137" s="1" t="s">
        <v>3068</v>
      </c>
      <c r="I137" s="1" t="s">
        <v>3070</v>
      </c>
      <c r="J137" s="1" t="s">
        <v>3210</v>
      </c>
      <c r="K137" s="1">
        <v>5</v>
      </c>
      <c r="L137" s="1" t="s">
        <v>4275</v>
      </c>
      <c r="M137" s="1" t="s">
        <v>4279</v>
      </c>
      <c r="N137" s="6" t="str">
        <f t="shared" si="5"/>
        <v>Aug</v>
      </c>
      <c r="O137" s="1">
        <v>137.62</v>
      </c>
      <c r="T137" s="4"/>
      <c r="U137" s="1" t="str">
        <f t="shared" si="6"/>
        <v>Normal</v>
      </c>
    </row>
    <row r="138" spans="1:21" x14ac:dyDescent="0.25">
      <c r="A138" s="1" t="s">
        <v>150</v>
      </c>
      <c r="B138" s="4">
        <v>45409</v>
      </c>
      <c r="C138" s="1" t="s">
        <v>1350</v>
      </c>
      <c r="D138" s="1" t="s">
        <v>2408</v>
      </c>
      <c r="E138" s="1">
        <v>1</v>
      </c>
      <c r="F138" s="1">
        <v>44.35</v>
      </c>
      <c r="G138" s="1" t="s">
        <v>2537</v>
      </c>
      <c r="H138" s="1" t="s">
        <v>3068</v>
      </c>
      <c r="I138" s="1" t="s">
        <v>3071</v>
      </c>
      <c r="J138" s="1" t="s">
        <v>3211</v>
      </c>
      <c r="K138" s="1">
        <v>1</v>
      </c>
      <c r="L138" s="1" t="s">
        <v>4275</v>
      </c>
      <c r="M138" s="1" t="s">
        <v>4278</v>
      </c>
      <c r="N138" s="6" t="str">
        <f t="shared" si="5"/>
        <v>Apr</v>
      </c>
      <c r="O138" s="1">
        <v>44.35</v>
      </c>
      <c r="T138" s="4"/>
      <c r="U138" s="1" t="str">
        <f t="shared" si="6"/>
        <v>Normal</v>
      </c>
    </row>
    <row r="139" spans="1:21" x14ac:dyDescent="0.25">
      <c r="A139" s="1" t="s">
        <v>151</v>
      </c>
      <c r="B139" s="4">
        <v>45622</v>
      </c>
      <c r="C139" s="1" t="s">
        <v>1351</v>
      </c>
      <c r="D139" s="1" t="s">
        <v>2403</v>
      </c>
      <c r="E139" s="1">
        <v>2</v>
      </c>
      <c r="F139" s="1">
        <v>250.98</v>
      </c>
      <c r="G139" s="1" t="s">
        <v>2538</v>
      </c>
      <c r="H139" s="1" t="s">
        <v>3067</v>
      </c>
      <c r="I139" s="1" t="s">
        <v>3073</v>
      </c>
      <c r="J139" s="1" t="s">
        <v>3212</v>
      </c>
      <c r="K139" s="1">
        <v>5</v>
      </c>
      <c r="L139" s="1" t="s">
        <v>4283</v>
      </c>
      <c r="M139" s="1" t="s">
        <v>4282</v>
      </c>
      <c r="N139" s="6" t="str">
        <f t="shared" si="5"/>
        <v>Nov</v>
      </c>
      <c r="O139" s="1">
        <v>501.96</v>
      </c>
      <c r="T139" s="4"/>
      <c r="U139" s="1" t="str">
        <f t="shared" si="6"/>
        <v>Normal</v>
      </c>
    </row>
    <row r="140" spans="1:21" x14ac:dyDescent="0.25">
      <c r="A140" s="1" t="s">
        <v>152</v>
      </c>
      <c r="B140" s="4">
        <v>45281</v>
      </c>
      <c r="C140" s="1" t="s">
        <v>1352</v>
      </c>
      <c r="D140" s="1" t="s">
        <v>2405</v>
      </c>
      <c r="E140" s="1">
        <v>1</v>
      </c>
      <c r="F140" s="1">
        <v>298.06</v>
      </c>
      <c r="G140" s="1" t="s">
        <v>2539</v>
      </c>
      <c r="H140" s="1" t="s">
        <v>3065</v>
      </c>
      <c r="I140" s="1" t="s">
        <v>3074</v>
      </c>
      <c r="J140" s="1" t="s">
        <v>3213</v>
      </c>
      <c r="K140" s="1">
        <v>3</v>
      </c>
      <c r="L140" s="1" t="s">
        <v>4277</v>
      </c>
      <c r="M140" s="1" t="s">
        <v>4282</v>
      </c>
      <c r="N140" s="6" t="str">
        <f t="shared" si="5"/>
        <v>Dec</v>
      </c>
      <c r="O140" s="1">
        <v>298.06</v>
      </c>
      <c r="T140" s="4"/>
      <c r="U140" s="1" t="str">
        <f t="shared" si="6"/>
        <v>Normal</v>
      </c>
    </row>
    <row r="141" spans="1:21" x14ac:dyDescent="0.25">
      <c r="A141" s="1" t="s">
        <v>153</v>
      </c>
      <c r="B141" s="4">
        <v>45026</v>
      </c>
      <c r="C141" s="1" t="s">
        <v>1353</v>
      </c>
      <c r="D141" s="1" t="s">
        <v>2404</v>
      </c>
      <c r="E141" s="1">
        <v>1</v>
      </c>
      <c r="F141" s="1">
        <v>583.9</v>
      </c>
      <c r="G141" s="1" t="s">
        <v>2540</v>
      </c>
      <c r="H141" s="1" t="s">
        <v>3069</v>
      </c>
      <c r="I141" s="1" t="s">
        <v>3072</v>
      </c>
      <c r="J141" s="1" t="s">
        <v>3214</v>
      </c>
      <c r="K141" s="1">
        <v>1</v>
      </c>
      <c r="L141" s="1" t="s">
        <v>4283</v>
      </c>
      <c r="M141" s="1" t="s">
        <v>4280</v>
      </c>
      <c r="N141" s="6" t="str">
        <f t="shared" si="5"/>
        <v>Apr</v>
      </c>
      <c r="O141" s="1">
        <v>583.9</v>
      </c>
      <c r="T141" s="4"/>
      <c r="U141" s="1" t="str">
        <f t="shared" si="6"/>
        <v>Normal</v>
      </c>
    </row>
    <row r="142" spans="1:21" x14ac:dyDescent="0.25">
      <c r="A142" s="1" t="s">
        <v>154</v>
      </c>
      <c r="B142" s="4">
        <v>45808</v>
      </c>
      <c r="C142" s="1" t="s">
        <v>1354</v>
      </c>
      <c r="D142" s="1" t="s">
        <v>2406</v>
      </c>
      <c r="E142" s="1">
        <v>3</v>
      </c>
      <c r="F142" s="1">
        <v>528.14</v>
      </c>
      <c r="G142" s="1" t="s">
        <v>2513</v>
      </c>
      <c r="H142" s="1" t="s">
        <v>3066</v>
      </c>
      <c r="I142" s="1" t="s">
        <v>3073</v>
      </c>
      <c r="J142" s="1" t="s">
        <v>3215</v>
      </c>
      <c r="K142" s="1">
        <v>3</v>
      </c>
      <c r="L142" s="1" t="s">
        <v>4276</v>
      </c>
      <c r="M142" s="1" t="s">
        <v>4280</v>
      </c>
      <c r="N142" s="6" t="str">
        <f t="shared" si="5"/>
        <v>May</v>
      </c>
      <c r="O142" s="1">
        <v>1584.42</v>
      </c>
      <c r="T142" s="4"/>
      <c r="U142" s="1" t="str">
        <f t="shared" si="6"/>
        <v>Normal</v>
      </c>
    </row>
    <row r="143" spans="1:21" x14ac:dyDescent="0.25">
      <c r="A143" s="1" t="s">
        <v>155</v>
      </c>
      <c r="B143" s="4">
        <v>45248</v>
      </c>
      <c r="C143" s="1" t="s">
        <v>1355</v>
      </c>
      <c r="D143" s="1" t="s">
        <v>2407</v>
      </c>
      <c r="E143" s="1">
        <v>3</v>
      </c>
      <c r="F143" s="1">
        <v>684.14</v>
      </c>
      <c r="G143" s="1" t="s">
        <v>2541</v>
      </c>
      <c r="H143" s="1" t="s">
        <v>3069</v>
      </c>
      <c r="I143" s="1" t="s">
        <v>3071</v>
      </c>
      <c r="J143" s="1" t="s">
        <v>3216</v>
      </c>
      <c r="K143" s="1">
        <v>3</v>
      </c>
      <c r="L143" s="1" t="s">
        <v>4277</v>
      </c>
      <c r="M143" s="1" t="s">
        <v>4278</v>
      </c>
      <c r="N143" s="6" t="str">
        <f t="shared" si="5"/>
        <v>Nov</v>
      </c>
      <c r="O143" s="1">
        <v>2052.42</v>
      </c>
      <c r="T143" s="4"/>
      <c r="U143" s="1" t="str">
        <f t="shared" si="6"/>
        <v>Normal</v>
      </c>
    </row>
    <row r="144" spans="1:21" x14ac:dyDescent="0.25">
      <c r="A144" s="1" t="s">
        <v>156</v>
      </c>
      <c r="B144" s="4">
        <v>45175</v>
      </c>
      <c r="C144" s="1" t="s">
        <v>1356</v>
      </c>
      <c r="D144" s="1" t="s">
        <v>2409</v>
      </c>
      <c r="E144" s="1">
        <v>5</v>
      </c>
      <c r="F144" s="1">
        <v>272.77</v>
      </c>
      <c r="G144" s="1" t="s">
        <v>2542</v>
      </c>
      <c r="H144" s="1" t="s">
        <v>3069</v>
      </c>
      <c r="I144" s="1" t="s">
        <v>3074</v>
      </c>
      <c r="J144" s="1" t="s">
        <v>3217</v>
      </c>
      <c r="K144" s="1">
        <v>7</v>
      </c>
      <c r="L144" s="1" t="s">
        <v>4277</v>
      </c>
      <c r="M144" s="1" t="s">
        <v>4280</v>
      </c>
      <c r="N144" s="6" t="str">
        <f t="shared" si="5"/>
        <v>Sep</v>
      </c>
      <c r="O144" s="1">
        <v>1363.85</v>
      </c>
      <c r="T144" s="4"/>
      <c r="U144" s="1" t="str">
        <f t="shared" si="6"/>
        <v>Normal</v>
      </c>
    </row>
    <row r="145" spans="1:21" x14ac:dyDescent="0.25">
      <c r="A145" s="1" t="s">
        <v>157</v>
      </c>
      <c r="B145" s="4">
        <v>45456</v>
      </c>
      <c r="C145" s="1" t="s">
        <v>1357</v>
      </c>
      <c r="D145" s="1" t="s">
        <v>2406</v>
      </c>
      <c r="E145" s="1">
        <v>4</v>
      </c>
      <c r="F145" s="1">
        <v>400.07</v>
      </c>
      <c r="G145" s="1" t="s">
        <v>2543</v>
      </c>
      <c r="H145" s="1" t="s">
        <v>3066</v>
      </c>
      <c r="I145" s="1" t="s">
        <v>3070</v>
      </c>
      <c r="J145" s="1" t="s">
        <v>3218</v>
      </c>
      <c r="K145" s="1">
        <v>5</v>
      </c>
      <c r="L145" s="1" t="s">
        <v>4283</v>
      </c>
      <c r="M145" s="1" t="s">
        <v>4279</v>
      </c>
      <c r="N145" s="6" t="str">
        <f t="shared" si="5"/>
        <v>Jun</v>
      </c>
      <c r="O145" s="1">
        <v>1600.28</v>
      </c>
      <c r="T145" s="4"/>
      <c r="U145" s="1" t="str">
        <f t="shared" si="6"/>
        <v>Normal</v>
      </c>
    </row>
    <row r="146" spans="1:21" x14ac:dyDescent="0.25">
      <c r="A146" s="1" t="s">
        <v>158</v>
      </c>
      <c r="B146" s="4">
        <v>45142</v>
      </c>
      <c r="C146" s="1" t="s">
        <v>1358</v>
      </c>
      <c r="D146" s="1" t="s">
        <v>2409</v>
      </c>
      <c r="E146" s="1">
        <v>5</v>
      </c>
      <c r="F146" s="1">
        <v>219.78</v>
      </c>
      <c r="G146" s="1" t="s">
        <v>2440</v>
      </c>
      <c r="H146" s="1" t="s">
        <v>3067</v>
      </c>
      <c r="I146" s="1" t="s">
        <v>3074</v>
      </c>
      <c r="J146" s="1" t="s">
        <v>3219</v>
      </c>
      <c r="K146" s="1">
        <v>8</v>
      </c>
      <c r="L146" s="1" t="s">
        <v>4283</v>
      </c>
      <c r="M146" s="1" t="s">
        <v>4281</v>
      </c>
      <c r="N146" s="6" t="str">
        <f t="shared" si="5"/>
        <v>Aug</v>
      </c>
      <c r="O146" s="1">
        <v>1098.9000000000001</v>
      </c>
      <c r="T146" s="4"/>
      <c r="U146" s="1" t="str">
        <f t="shared" si="6"/>
        <v>Normal</v>
      </c>
    </row>
    <row r="147" spans="1:21" x14ac:dyDescent="0.25">
      <c r="A147" s="1" t="s">
        <v>159</v>
      </c>
      <c r="B147" s="4">
        <v>45353</v>
      </c>
      <c r="C147" s="1" t="s">
        <v>1359</v>
      </c>
      <c r="D147" s="1" t="s">
        <v>2407</v>
      </c>
      <c r="E147" s="1">
        <v>3</v>
      </c>
      <c r="F147" s="1">
        <v>146.91</v>
      </c>
      <c r="G147" s="1" t="s">
        <v>2544</v>
      </c>
      <c r="H147" s="1" t="s">
        <v>3067</v>
      </c>
      <c r="I147" s="1" t="s">
        <v>3073</v>
      </c>
      <c r="J147" s="1" t="s">
        <v>3220</v>
      </c>
      <c r="K147" s="1">
        <v>6</v>
      </c>
      <c r="L147" s="1" t="s">
        <v>4276</v>
      </c>
      <c r="M147" s="1" t="s">
        <v>4282</v>
      </c>
      <c r="N147" s="6" t="str">
        <f t="shared" si="5"/>
        <v>Mar</v>
      </c>
      <c r="O147" s="1">
        <v>440.73</v>
      </c>
      <c r="T147" s="4"/>
      <c r="U147" s="1" t="str">
        <f t="shared" si="6"/>
        <v>Normal</v>
      </c>
    </row>
    <row r="148" spans="1:21" x14ac:dyDescent="0.25">
      <c r="A148" s="1" t="s">
        <v>160</v>
      </c>
      <c r="B148" s="4">
        <v>45777</v>
      </c>
      <c r="C148" s="1" t="s">
        <v>1360</v>
      </c>
      <c r="D148" s="1" t="s">
        <v>2405</v>
      </c>
      <c r="E148" s="1">
        <v>2</v>
      </c>
      <c r="F148" s="1">
        <v>411.49</v>
      </c>
      <c r="G148" s="1" t="s">
        <v>2545</v>
      </c>
      <c r="H148" s="1" t="s">
        <v>3067</v>
      </c>
      <c r="I148" s="1" t="s">
        <v>3072</v>
      </c>
      <c r="J148" s="1" t="s">
        <v>3221</v>
      </c>
      <c r="K148" s="1">
        <v>4</v>
      </c>
      <c r="L148" s="1" t="s">
        <v>4283</v>
      </c>
      <c r="M148" s="1" t="s">
        <v>4278</v>
      </c>
      <c r="N148" s="6" t="str">
        <f t="shared" si="5"/>
        <v>Apr</v>
      </c>
      <c r="O148" s="1">
        <v>822.98</v>
      </c>
      <c r="T148" s="4"/>
      <c r="U148" s="1" t="str">
        <f t="shared" si="6"/>
        <v>Normal</v>
      </c>
    </row>
    <row r="149" spans="1:21" x14ac:dyDescent="0.25">
      <c r="A149" s="1" t="s">
        <v>161</v>
      </c>
      <c r="B149" s="4">
        <v>45783</v>
      </c>
      <c r="C149" s="1" t="s">
        <v>1361</v>
      </c>
      <c r="D149" s="1" t="s">
        <v>2408</v>
      </c>
      <c r="E149" s="1">
        <v>2</v>
      </c>
      <c r="F149" s="1">
        <v>465.18</v>
      </c>
      <c r="G149" s="1" t="s">
        <v>2546</v>
      </c>
      <c r="H149" s="1" t="s">
        <v>3067</v>
      </c>
      <c r="I149" s="1" t="s">
        <v>3071</v>
      </c>
      <c r="J149" s="1" t="s">
        <v>3222</v>
      </c>
      <c r="K149" s="1">
        <v>2</v>
      </c>
      <c r="L149" s="1" t="s">
        <v>4275</v>
      </c>
      <c r="M149" s="1" t="s">
        <v>4282</v>
      </c>
      <c r="N149" s="6" t="str">
        <f t="shared" si="5"/>
        <v>May</v>
      </c>
      <c r="O149" s="1">
        <v>930.36</v>
      </c>
      <c r="T149" s="4"/>
      <c r="U149" s="1" t="str">
        <f t="shared" si="6"/>
        <v>Normal</v>
      </c>
    </row>
    <row r="150" spans="1:21" x14ac:dyDescent="0.25">
      <c r="A150" s="1" t="s">
        <v>162</v>
      </c>
      <c r="B150" s="4">
        <v>45641</v>
      </c>
      <c r="C150" s="1" t="s">
        <v>1362</v>
      </c>
      <c r="D150" s="1" t="s">
        <v>2404</v>
      </c>
      <c r="E150" s="1">
        <v>2</v>
      </c>
      <c r="F150" s="1">
        <v>319.91000000000003</v>
      </c>
      <c r="G150" s="1" t="s">
        <v>2547</v>
      </c>
      <c r="H150" s="1" t="s">
        <v>3067</v>
      </c>
      <c r="I150" s="1" t="s">
        <v>3071</v>
      </c>
      <c r="J150" s="1" t="s">
        <v>3223</v>
      </c>
      <c r="K150" s="1">
        <v>3</v>
      </c>
      <c r="L150" s="1" t="s">
        <v>4277</v>
      </c>
      <c r="M150" s="1" t="s">
        <v>4282</v>
      </c>
      <c r="N150" s="6" t="str">
        <f t="shared" si="5"/>
        <v>Dec</v>
      </c>
      <c r="O150" s="1">
        <v>639.82000000000005</v>
      </c>
      <c r="T150" s="4"/>
      <c r="U150" s="1" t="str">
        <f t="shared" si="6"/>
        <v>Normal</v>
      </c>
    </row>
    <row r="151" spans="1:21" x14ac:dyDescent="0.25">
      <c r="A151" s="1" t="s">
        <v>163</v>
      </c>
      <c r="B151" s="4">
        <v>45287</v>
      </c>
      <c r="C151" s="1" t="s">
        <v>1363</v>
      </c>
      <c r="D151" s="1" t="s">
        <v>2408</v>
      </c>
      <c r="E151" s="1">
        <v>1</v>
      </c>
      <c r="F151" s="1">
        <v>217.56</v>
      </c>
      <c r="G151" s="1" t="s">
        <v>2548</v>
      </c>
      <c r="H151" s="1" t="s">
        <v>3065</v>
      </c>
      <c r="I151" s="1" t="s">
        <v>3073</v>
      </c>
      <c r="J151" s="1" t="s">
        <v>3224</v>
      </c>
      <c r="K151" s="1">
        <v>3</v>
      </c>
      <c r="L151" s="1" t="s">
        <v>4283</v>
      </c>
      <c r="M151" s="1" t="s">
        <v>4281</v>
      </c>
      <c r="N151" s="6" t="str">
        <f t="shared" si="5"/>
        <v>Dec</v>
      </c>
      <c r="O151" s="1">
        <v>217.56</v>
      </c>
      <c r="T151" s="4"/>
      <c r="U151" s="1" t="str">
        <f t="shared" si="6"/>
        <v>Normal</v>
      </c>
    </row>
    <row r="152" spans="1:21" x14ac:dyDescent="0.25">
      <c r="A152" s="1" t="s">
        <v>164</v>
      </c>
      <c r="B152" s="4">
        <v>45273</v>
      </c>
      <c r="C152" s="1" t="s">
        <v>1364</v>
      </c>
      <c r="D152" s="1" t="s">
        <v>2404</v>
      </c>
      <c r="E152" s="1">
        <v>2</v>
      </c>
      <c r="F152" s="1">
        <v>105.57</v>
      </c>
      <c r="G152" s="1" t="s">
        <v>2549</v>
      </c>
      <c r="H152" s="1" t="s">
        <v>3065</v>
      </c>
      <c r="I152" s="1" t="s">
        <v>3072</v>
      </c>
      <c r="J152" s="1" t="s">
        <v>3225</v>
      </c>
      <c r="K152" s="1">
        <v>5</v>
      </c>
      <c r="L152" s="1" t="s">
        <v>4277</v>
      </c>
      <c r="M152" s="1" t="s">
        <v>4282</v>
      </c>
      <c r="N152" s="6" t="str">
        <f t="shared" si="5"/>
        <v>Dec</v>
      </c>
      <c r="O152" s="1">
        <v>211.14</v>
      </c>
      <c r="T152" s="4"/>
      <c r="U152" s="1" t="str">
        <f t="shared" si="6"/>
        <v>Normal</v>
      </c>
    </row>
    <row r="153" spans="1:21" x14ac:dyDescent="0.25">
      <c r="A153" s="1" t="s">
        <v>165</v>
      </c>
      <c r="B153" s="4">
        <v>45261</v>
      </c>
      <c r="C153" s="1" t="s">
        <v>1365</v>
      </c>
      <c r="D153" s="1" t="s">
        <v>2407</v>
      </c>
      <c r="E153" s="1">
        <v>5</v>
      </c>
      <c r="F153" s="1">
        <v>444.76</v>
      </c>
      <c r="G153" s="1" t="s">
        <v>2550</v>
      </c>
      <c r="H153" s="1" t="s">
        <v>3065</v>
      </c>
      <c r="I153" s="1" t="s">
        <v>3072</v>
      </c>
      <c r="J153" s="1" t="s">
        <v>3226</v>
      </c>
      <c r="K153" s="1">
        <v>7</v>
      </c>
      <c r="L153" s="1" t="s">
        <v>4283</v>
      </c>
      <c r="M153" s="1" t="s">
        <v>4280</v>
      </c>
      <c r="N153" s="6" t="str">
        <f t="shared" si="5"/>
        <v>Dec</v>
      </c>
      <c r="O153" s="1">
        <v>2223.8000000000002</v>
      </c>
      <c r="T153" s="4"/>
      <c r="U153" s="1" t="str">
        <f t="shared" si="6"/>
        <v>Normal</v>
      </c>
    </row>
    <row r="154" spans="1:21" x14ac:dyDescent="0.25">
      <c r="A154" s="1" t="s">
        <v>166</v>
      </c>
      <c r="B154" s="4">
        <v>45659</v>
      </c>
      <c r="C154" s="1" t="s">
        <v>1366</v>
      </c>
      <c r="D154" s="1" t="s">
        <v>2406</v>
      </c>
      <c r="E154" s="1">
        <v>2</v>
      </c>
      <c r="F154" s="1">
        <v>399.04</v>
      </c>
      <c r="G154" s="1" t="s">
        <v>2551</v>
      </c>
      <c r="H154" s="1" t="s">
        <v>3069</v>
      </c>
      <c r="I154" s="1" t="s">
        <v>3071</v>
      </c>
      <c r="J154" s="1" t="s">
        <v>3227</v>
      </c>
      <c r="K154" s="1">
        <v>3</v>
      </c>
      <c r="L154" s="1" t="s">
        <v>4276</v>
      </c>
      <c r="M154" s="1" t="s">
        <v>4279</v>
      </c>
      <c r="N154" s="6" t="str">
        <f t="shared" si="5"/>
        <v>Jan</v>
      </c>
      <c r="O154" s="1">
        <v>798.08</v>
      </c>
      <c r="T154" s="4"/>
      <c r="U154" s="1" t="str">
        <f t="shared" si="6"/>
        <v>Normal</v>
      </c>
    </row>
    <row r="155" spans="1:21" x14ac:dyDescent="0.25">
      <c r="A155" s="1" t="s">
        <v>167</v>
      </c>
      <c r="B155" s="4">
        <v>45644</v>
      </c>
      <c r="C155" s="1" t="s">
        <v>1367</v>
      </c>
      <c r="D155" s="1" t="s">
        <v>2406</v>
      </c>
      <c r="E155" s="1">
        <v>4</v>
      </c>
      <c r="F155" s="1">
        <v>534.48</v>
      </c>
      <c r="G155" s="1" t="s">
        <v>2552</v>
      </c>
      <c r="H155" s="1" t="s">
        <v>3066</v>
      </c>
      <c r="I155" s="1" t="s">
        <v>3072</v>
      </c>
      <c r="J155" s="1" t="s">
        <v>3228</v>
      </c>
      <c r="K155" s="1">
        <v>9</v>
      </c>
      <c r="L155" s="1" t="s">
        <v>4277</v>
      </c>
      <c r="M155" s="1" t="s">
        <v>4278</v>
      </c>
      <c r="N155" s="6" t="str">
        <f t="shared" si="5"/>
        <v>Dec</v>
      </c>
      <c r="O155" s="1">
        <v>2137.92</v>
      </c>
      <c r="T155" s="4"/>
      <c r="U155" s="1" t="str">
        <f t="shared" si="6"/>
        <v>Normal</v>
      </c>
    </row>
    <row r="156" spans="1:21" x14ac:dyDescent="0.25">
      <c r="A156" s="1" t="s">
        <v>168</v>
      </c>
      <c r="B156" s="4">
        <v>45127</v>
      </c>
      <c r="C156" s="1" t="s">
        <v>1368</v>
      </c>
      <c r="D156" s="1" t="s">
        <v>2404</v>
      </c>
      <c r="E156" s="1">
        <v>4</v>
      </c>
      <c r="F156" s="1">
        <v>408.21</v>
      </c>
      <c r="G156" s="1" t="s">
        <v>2525</v>
      </c>
      <c r="H156" s="1" t="s">
        <v>3067</v>
      </c>
      <c r="I156" s="1" t="s">
        <v>3074</v>
      </c>
      <c r="J156" s="1" t="s">
        <v>3229</v>
      </c>
      <c r="K156" s="1">
        <v>9</v>
      </c>
      <c r="L156" s="1" t="s">
        <v>4283</v>
      </c>
      <c r="M156" s="1" t="s">
        <v>4278</v>
      </c>
      <c r="N156" s="6" t="str">
        <f t="shared" si="5"/>
        <v>Jul</v>
      </c>
      <c r="O156" s="1">
        <v>1632.84</v>
      </c>
      <c r="T156" s="4"/>
      <c r="U156" s="1" t="str">
        <f t="shared" si="6"/>
        <v>Normal</v>
      </c>
    </row>
    <row r="157" spans="1:21" x14ac:dyDescent="0.25">
      <c r="A157" s="1" t="s">
        <v>169</v>
      </c>
      <c r="B157" s="4">
        <v>44984</v>
      </c>
      <c r="C157" s="1" t="s">
        <v>1369</v>
      </c>
      <c r="D157" s="1" t="s">
        <v>2404</v>
      </c>
      <c r="E157" s="1">
        <v>1</v>
      </c>
      <c r="F157" s="1">
        <v>424.4</v>
      </c>
      <c r="G157" s="1" t="s">
        <v>2457</v>
      </c>
      <c r="H157" s="1" t="s">
        <v>3066</v>
      </c>
      <c r="I157" s="1" t="s">
        <v>3070</v>
      </c>
      <c r="J157" s="1" t="s">
        <v>3230</v>
      </c>
      <c r="K157" s="1">
        <v>6</v>
      </c>
      <c r="L157" s="1" t="s">
        <v>4277</v>
      </c>
      <c r="M157" s="1" t="s">
        <v>4279</v>
      </c>
      <c r="N157" s="6" t="str">
        <f t="shared" si="5"/>
        <v>Feb</v>
      </c>
      <c r="O157" s="1">
        <v>424.4</v>
      </c>
      <c r="T157" s="4"/>
      <c r="U157" s="1" t="str">
        <f t="shared" si="6"/>
        <v>Normal</v>
      </c>
    </row>
    <row r="158" spans="1:21" x14ac:dyDescent="0.25">
      <c r="A158" s="1" t="s">
        <v>170</v>
      </c>
      <c r="B158" s="4">
        <v>45604</v>
      </c>
      <c r="C158" s="1" t="s">
        <v>1370</v>
      </c>
      <c r="D158" s="1" t="s">
        <v>2406</v>
      </c>
      <c r="E158" s="1">
        <v>2</v>
      </c>
      <c r="F158" s="1">
        <v>269.83</v>
      </c>
      <c r="G158" s="1" t="s">
        <v>2553</v>
      </c>
      <c r="H158" s="1" t="s">
        <v>3066</v>
      </c>
      <c r="I158" s="1" t="s">
        <v>3073</v>
      </c>
      <c r="J158" s="1" t="s">
        <v>3231</v>
      </c>
      <c r="K158" s="1">
        <v>4</v>
      </c>
      <c r="L158" s="1" t="s">
        <v>4275</v>
      </c>
      <c r="M158" s="1" t="s">
        <v>4280</v>
      </c>
      <c r="N158" s="6" t="str">
        <f t="shared" si="5"/>
        <v>Nov</v>
      </c>
      <c r="O158" s="1">
        <v>539.66</v>
      </c>
      <c r="T158" s="4"/>
      <c r="U158" s="1" t="str">
        <f t="shared" si="6"/>
        <v>Normal</v>
      </c>
    </row>
    <row r="159" spans="1:21" x14ac:dyDescent="0.25">
      <c r="A159" s="1" t="s">
        <v>171</v>
      </c>
      <c r="B159" s="4">
        <v>45709</v>
      </c>
      <c r="C159" s="1" t="s">
        <v>1371</v>
      </c>
      <c r="D159" s="1" t="s">
        <v>2403</v>
      </c>
      <c r="E159" s="1">
        <v>2</v>
      </c>
      <c r="F159" s="1">
        <v>564.58000000000004</v>
      </c>
      <c r="G159" s="1" t="s">
        <v>2535</v>
      </c>
      <c r="H159" s="1" t="s">
        <v>3066</v>
      </c>
      <c r="I159" s="1" t="s">
        <v>3072</v>
      </c>
      <c r="J159" s="1" t="s">
        <v>3232</v>
      </c>
      <c r="K159" s="1">
        <v>4</v>
      </c>
      <c r="L159" s="1" t="s">
        <v>4277</v>
      </c>
      <c r="M159" s="1" t="s">
        <v>4281</v>
      </c>
      <c r="N159" s="6" t="str">
        <f t="shared" si="5"/>
        <v>Feb</v>
      </c>
      <c r="O159" s="1">
        <v>1129.1600000000001</v>
      </c>
      <c r="T159" s="4"/>
      <c r="U159" s="1" t="str">
        <f t="shared" si="6"/>
        <v>Normal</v>
      </c>
    </row>
    <row r="160" spans="1:21" x14ac:dyDescent="0.25">
      <c r="A160" s="1" t="s">
        <v>172</v>
      </c>
      <c r="B160" s="4">
        <v>45428</v>
      </c>
      <c r="C160" s="1" t="s">
        <v>1372</v>
      </c>
      <c r="D160" s="1" t="s">
        <v>2405</v>
      </c>
      <c r="E160" s="1">
        <v>1</v>
      </c>
      <c r="F160" s="1">
        <v>331.06</v>
      </c>
      <c r="G160" s="1" t="s">
        <v>2554</v>
      </c>
      <c r="H160" s="1" t="s">
        <v>3067</v>
      </c>
      <c r="I160" s="1" t="s">
        <v>3074</v>
      </c>
      <c r="J160" s="1" t="s">
        <v>3233</v>
      </c>
      <c r="K160" s="1">
        <v>5</v>
      </c>
      <c r="L160" s="1" t="s">
        <v>4277</v>
      </c>
      <c r="M160" s="1" t="s">
        <v>4278</v>
      </c>
      <c r="N160" s="6" t="str">
        <f t="shared" si="5"/>
        <v>May</v>
      </c>
      <c r="O160" s="1">
        <v>331.06</v>
      </c>
      <c r="T160" s="4"/>
      <c r="U160" s="1" t="str">
        <f t="shared" si="6"/>
        <v>Normal</v>
      </c>
    </row>
    <row r="161" spans="1:21" x14ac:dyDescent="0.25">
      <c r="A161" s="1" t="s">
        <v>173</v>
      </c>
      <c r="B161" s="4">
        <v>45230</v>
      </c>
      <c r="C161" s="1" t="s">
        <v>1373</v>
      </c>
      <c r="D161" s="1" t="s">
        <v>2407</v>
      </c>
      <c r="E161" s="1">
        <v>1</v>
      </c>
      <c r="F161" s="1">
        <v>299.35000000000002</v>
      </c>
      <c r="G161" s="1" t="s">
        <v>2555</v>
      </c>
      <c r="H161" s="1" t="s">
        <v>3067</v>
      </c>
      <c r="I161" s="1" t="s">
        <v>3071</v>
      </c>
      <c r="J161" s="1" t="s">
        <v>3234</v>
      </c>
      <c r="K161" s="1">
        <v>5</v>
      </c>
      <c r="L161" s="1" t="s">
        <v>4277</v>
      </c>
      <c r="M161" s="1" t="s">
        <v>4280</v>
      </c>
      <c r="N161" s="6" t="str">
        <f t="shared" si="5"/>
        <v>Oct</v>
      </c>
      <c r="O161" s="1">
        <v>299.35000000000002</v>
      </c>
      <c r="T161" s="4"/>
      <c r="U161" s="1" t="str">
        <f t="shared" si="6"/>
        <v>Normal</v>
      </c>
    </row>
    <row r="162" spans="1:21" x14ac:dyDescent="0.25">
      <c r="A162" s="1" t="s">
        <v>174</v>
      </c>
      <c r="B162" s="4">
        <v>44974</v>
      </c>
      <c r="C162" s="1" t="s">
        <v>1374</v>
      </c>
      <c r="D162" s="1" t="s">
        <v>2403</v>
      </c>
      <c r="E162" s="1">
        <v>4</v>
      </c>
      <c r="F162" s="1">
        <v>101.32</v>
      </c>
      <c r="G162" s="1" t="s">
        <v>2556</v>
      </c>
      <c r="H162" s="1" t="s">
        <v>3069</v>
      </c>
      <c r="I162" s="1" t="s">
        <v>3074</v>
      </c>
      <c r="J162" s="1" t="s">
        <v>3235</v>
      </c>
      <c r="K162" s="1">
        <v>7</v>
      </c>
      <c r="L162" s="1" t="s">
        <v>4283</v>
      </c>
      <c r="M162" s="1" t="s">
        <v>4279</v>
      </c>
      <c r="N162" s="6" t="str">
        <f t="shared" si="5"/>
        <v>Feb</v>
      </c>
      <c r="O162" s="1">
        <v>405.28</v>
      </c>
      <c r="T162" s="4"/>
      <c r="U162" s="1" t="str">
        <f t="shared" si="6"/>
        <v>Normal</v>
      </c>
    </row>
    <row r="163" spans="1:21" x14ac:dyDescent="0.25">
      <c r="A163" s="1" t="s">
        <v>175</v>
      </c>
      <c r="B163" s="4">
        <v>45380</v>
      </c>
      <c r="C163" s="1" t="s">
        <v>1375</v>
      </c>
      <c r="D163" s="1" t="s">
        <v>2403</v>
      </c>
      <c r="E163" s="1">
        <v>1</v>
      </c>
      <c r="F163" s="1">
        <v>211.14</v>
      </c>
      <c r="G163" s="1" t="s">
        <v>2532</v>
      </c>
      <c r="H163" s="1" t="s">
        <v>3067</v>
      </c>
      <c r="I163" s="1" t="s">
        <v>3071</v>
      </c>
      <c r="J163" s="1" t="s">
        <v>3236</v>
      </c>
      <c r="K163" s="1">
        <v>1</v>
      </c>
      <c r="L163" s="1" t="s">
        <v>4275</v>
      </c>
      <c r="M163" s="1" t="s">
        <v>4281</v>
      </c>
      <c r="N163" s="6" t="str">
        <f t="shared" si="5"/>
        <v>Mar</v>
      </c>
      <c r="O163" s="1">
        <v>211.14</v>
      </c>
      <c r="T163" s="4"/>
      <c r="U163" s="1" t="str">
        <f t="shared" si="6"/>
        <v>Normal</v>
      </c>
    </row>
    <row r="164" spans="1:21" x14ac:dyDescent="0.25">
      <c r="A164" s="1" t="s">
        <v>176</v>
      </c>
      <c r="B164" s="4">
        <v>45134</v>
      </c>
      <c r="C164" s="1" t="s">
        <v>1376</v>
      </c>
      <c r="D164" s="1" t="s">
        <v>2406</v>
      </c>
      <c r="E164" s="1">
        <v>3</v>
      </c>
      <c r="F164" s="1">
        <v>65.86</v>
      </c>
      <c r="G164" s="1" t="s">
        <v>2479</v>
      </c>
      <c r="H164" s="1" t="s">
        <v>3066</v>
      </c>
      <c r="I164" s="1" t="s">
        <v>3074</v>
      </c>
      <c r="J164" s="1" t="s">
        <v>3237</v>
      </c>
      <c r="K164" s="1">
        <v>8</v>
      </c>
      <c r="L164" s="1" t="s">
        <v>4277</v>
      </c>
      <c r="M164" s="1" t="s">
        <v>4282</v>
      </c>
      <c r="N164" s="6" t="str">
        <f t="shared" si="5"/>
        <v>Jul</v>
      </c>
      <c r="O164" s="1">
        <v>197.58</v>
      </c>
      <c r="T164" s="4"/>
      <c r="U164" s="1" t="str">
        <f t="shared" si="6"/>
        <v>Normal</v>
      </c>
    </row>
    <row r="165" spans="1:21" x14ac:dyDescent="0.25">
      <c r="A165" s="1" t="s">
        <v>177</v>
      </c>
      <c r="B165" s="4">
        <v>45832</v>
      </c>
      <c r="C165" s="1" t="s">
        <v>1377</v>
      </c>
      <c r="D165" s="1" t="s">
        <v>2405</v>
      </c>
      <c r="E165" s="1">
        <v>1</v>
      </c>
      <c r="F165" s="1">
        <v>641.39</v>
      </c>
      <c r="G165" s="1" t="s">
        <v>2557</v>
      </c>
      <c r="H165" s="1" t="s">
        <v>3066</v>
      </c>
      <c r="I165" s="1" t="s">
        <v>3071</v>
      </c>
      <c r="J165" s="1" t="s">
        <v>3238</v>
      </c>
      <c r="K165" s="1">
        <v>1</v>
      </c>
      <c r="L165" s="1" t="s">
        <v>4283</v>
      </c>
      <c r="M165" s="1" t="s">
        <v>4279</v>
      </c>
      <c r="N165" s="6" t="str">
        <f t="shared" si="5"/>
        <v>Jun</v>
      </c>
      <c r="O165" s="1">
        <v>641.39</v>
      </c>
      <c r="T165" s="4"/>
      <c r="U165" s="1" t="str">
        <f t="shared" si="6"/>
        <v>Normal</v>
      </c>
    </row>
    <row r="166" spans="1:21" x14ac:dyDescent="0.25">
      <c r="A166" s="1" t="s">
        <v>178</v>
      </c>
      <c r="B166" s="4">
        <v>45288</v>
      </c>
      <c r="C166" s="1" t="s">
        <v>1378</v>
      </c>
      <c r="D166" s="1" t="s">
        <v>2409</v>
      </c>
      <c r="E166" s="1">
        <v>5</v>
      </c>
      <c r="F166" s="1">
        <v>536.58000000000004</v>
      </c>
      <c r="G166" s="1" t="s">
        <v>2558</v>
      </c>
      <c r="H166" s="1" t="s">
        <v>3068</v>
      </c>
      <c r="I166" s="1" t="s">
        <v>3074</v>
      </c>
      <c r="J166" s="1" t="s">
        <v>3239</v>
      </c>
      <c r="K166" s="1">
        <v>5</v>
      </c>
      <c r="L166" s="1" t="s">
        <v>4275</v>
      </c>
      <c r="M166" s="1" t="s">
        <v>4282</v>
      </c>
      <c r="N166" s="6" t="str">
        <f t="shared" si="5"/>
        <v>Dec</v>
      </c>
      <c r="O166" s="1">
        <v>2682.9</v>
      </c>
      <c r="T166" s="4"/>
      <c r="U166" s="1" t="str">
        <f t="shared" si="6"/>
        <v>Normal</v>
      </c>
    </row>
    <row r="167" spans="1:21" x14ac:dyDescent="0.25">
      <c r="A167" s="1" t="s">
        <v>179</v>
      </c>
      <c r="B167" s="4">
        <v>45549</v>
      </c>
      <c r="C167" s="1" t="s">
        <v>1379</v>
      </c>
      <c r="D167" s="1" t="s">
        <v>2403</v>
      </c>
      <c r="E167" s="1">
        <v>2</v>
      </c>
      <c r="F167" s="1">
        <v>500.29</v>
      </c>
      <c r="G167" s="1" t="s">
        <v>2559</v>
      </c>
      <c r="H167" s="1" t="s">
        <v>3066</v>
      </c>
      <c r="I167" s="1" t="s">
        <v>3072</v>
      </c>
      <c r="J167" s="1" t="s">
        <v>3240</v>
      </c>
      <c r="K167" s="1">
        <v>7</v>
      </c>
      <c r="L167" s="1" t="s">
        <v>4277</v>
      </c>
      <c r="M167" s="1" t="s">
        <v>4282</v>
      </c>
      <c r="N167" s="6" t="str">
        <f t="shared" si="5"/>
        <v>Sep</v>
      </c>
      <c r="O167" s="1">
        <v>1000.58</v>
      </c>
      <c r="T167" s="4"/>
      <c r="U167" s="1" t="str">
        <f t="shared" si="6"/>
        <v>Normal</v>
      </c>
    </row>
    <row r="168" spans="1:21" x14ac:dyDescent="0.25">
      <c r="A168" s="1" t="s">
        <v>180</v>
      </c>
      <c r="B168" s="4">
        <v>45720</v>
      </c>
      <c r="C168" s="1" t="s">
        <v>1380</v>
      </c>
      <c r="D168" s="1" t="s">
        <v>2406</v>
      </c>
      <c r="E168" s="1">
        <v>3</v>
      </c>
      <c r="F168" s="1">
        <v>86.29</v>
      </c>
      <c r="G168" s="1" t="s">
        <v>2461</v>
      </c>
      <c r="H168" s="1" t="s">
        <v>3069</v>
      </c>
      <c r="I168" s="1" t="s">
        <v>3073</v>
      </c>
      <c r="J168" s="1" t="s">
        <v>3241</v>
      </c>
      <c r="K168" s="1">
        <v>6</v>
      </c>
      <c r="L168" s="1" t="s">
        <v>4277</v>
      </c>
      <c r="M168" s="1" t="s">
        <v>4278</v>
      </c>
      <c r="N168" s="6" t="str">
        <f t="shared" si="5"/>
        <v>Mar</v>
      </c>
      <c r="O168" s="1">
        <v>258.87</v>
      </c>
      <c r="T168" s="4"/>
      <c r="U168" s="1" t="str">
        <f t="shared" si="6"/>
        <v>Normal</v>
      </c>
    </row>
    <row r="169" spans="1:21" x14ac:dyDescent="0.25">
      <c r="A169" s="1" t="s">
        <v>181</v>
      </c>
      <c r="B169" s="4">
        <v>45073</v>
      </c>
      <c r="C169" s="1" t="s">
        <v>1381</v>
      </c>
      <c r="D169" s="1" t="s">
        <v>2406</v>
      </c>
      <c r="E169" s="1">
        <v>2</v>
      </c>
      <c r="F169" s="1">
        <v>384.14</v>
      </c>
      <c r="G169" s="1" t="s">
        <v>2560</v>
      </c>
      <c r="H169" s="1" t="s">
        <v>3066</v>
      </c>
      <c r="I169" s="1" t="s">
        <v>3072</v>
      </c>
      <c r="J169" s="1" t="s">
        <v>3242</v>
      </c>
      <c r="K169" s="1">
        <v>2</v>
      </c>
      <c r="L169" s="1" t="s">
        <v>4277</v>
      </c>
      <c r="M169" s="1" t="s">
        <v>4280</v>
      </c>
      <c r="N169" s="6" t="str">
        <f t="shared" si="5"/>
        <v>May</v>
      </c>
      <c r="O169" s="1">
        <v>768.28</v>
      </c>
      <c r="T169" s="4"/>
      <c r="U169" s="1" t="str">
        <f t="shared" si="6"/>
        <v>Normal</v>
      </c>
    </row>
    <row r="170" spans="1:21" x14ac:dyDescent="0.25">
      <c r="A170" s="1" t="s">
        <v>182</v>
      </c>
      <c r="B170" s="4">
        <v>45661</v>
      </c>
      <c r="C170" s="1" t="s">
        <v>1382</v>
      </c>
      <c r="D170" s="1" t="s">
        <v>2407</v>
      </c>
      <c r="E170" s="1">
        <v>1</v>
      </c>
      <c r="F170" s="1">
        <v>594.96</v>
      </c>
      <c r="G170" s="1" t="s">
        <v>2561</v>
      </c>
      <c r="H170" s="1" t="s">
        <v>3069</v>
      </c>
      <c r="I170" s="1" t="s">
        <v>3072</v>
      </c>
      <c r="J170" s="1" t="s">
        <v>3243</v>
      </c>
      <c r="K170" s="1">
        <v>6</v>
      </c>
      <c r="L170" s="1" t="s">
        <v>4283</v>
      </c>
      <c r="M170" s="1" t="s">
        <v>4281</v>
      </c>
      <c r="N170" s="6" t="str">
        <f t="shared" si="5"/>
        <v>Jan</v>
      </c>
      <c r="O170" s="1">
        <v>594.96</v>
      </c>
      <c r="T170" s="4"/>
      <c r="U170" s="1" t="str">
        <f t="shared" si="6"/>
        <v>Normal</v>
      </c>
    </row>
    <row r="171" spans="1:21" x14ac:dyDescent="0.25">
      <c r="A171" s="1" t="s">
        <v>183</v>
      </c>
      <c r="B171" s="4">
        <v>45389</v>
      </c>
      <c r="C171" s="1" t="s">
        <v>1383</v>
      </c>
      <c r="D171" s="1" t="s">
        <v>2407</v>
      </c>
      <c r="E171" s="1">
        <v>1</v>
      </c>
      <c r="F171" s="1">
        <v>427.82</v>
      </c>
      <c r="G171" s="1" t="s">
        <v>2562</v>
      </c>
      <c r="H171" s="1" t="s">
        <v>3066</v>
      </c>
      <c r="I171" s="1" t="s">
        <v>3073</v>
      </c>
      <c r="J171" s="1" t="s">
        <v>3244</v>
      </c>
      <c r="K171" s="1">
        <v>2</v>
      </c>
      <c r="L171" s="1" t="s">
        <v>4277</v>
      </c>
      <c r="M171" s="1" t="s">
        <v>4280</v>
      </c>
      <c r="N171" s="6" t="str">
        <f t="shared" si="5"/>
        <v>Apr</v>
      </c>
      <c r="O171" s="1">
        <v>427.82</v>
      </c>
      <c r="T171" s="4"/>
      <c r="U171" s="1" t="str">
        <f t="shared" si="6"/>
        <v>Normal</v>
      </c>
    </row>
    <row r="172" spans="1:21" x14ac:dyDescent="0.25">
      <c r="A172" s="1" t="s">
        <v>184</v>
      </c>
      <c r="B172" s="4">
        <v>45751</v>
      </c>
      <c r="C172" s="1" t="s">
        <v>1384</v>
      </c>
      <c r="D172" s="1" t="s">
        <v>2409</v>
      </c>
      <c r="E172" s="1">
        <v>4</v>
      </c>
      <c r="F172" s="1">
        <v>662.94</v>
      </c>
      <c r="G172" s="1" t="s">
        <v>2563</v>
      </c>
      <c r="H172" s="1" t="s">
        <v>3069</v>
      </c>
      <c r="I172" s="1" t="s">
        <v>3071</v>
      </c>
      <c r="J172" s="1" t="s">
        <v>3245</v>
      </c>
      <c r="K172" s="1">
        <v>8</v>
      </c>
      <c r="L172" s="1" t="s">
        <v>4275</v>
      </c>
      <c r="M172" s="1" t="s">
        <v>4278</v>
      </c>
      <c r="N172" s="6" t="str">
        <f t="shared" si="5"/>
        <v>Apr</v>
      </c>
      <c r="O172" s="1">
        <v>2651.76</v>
      </c>
      <c r="T172" s="4"/>
      <c r="U172" s="1" t="str">
        <f t="shared" si="6"/>
        <v>Normal</v>
      </c>
    </row>
    <row r="173" spans="1:21" x14ac:dyDescent="0.25">
      <c r="A173" s="1" t="s">
        <v>185</v>
      </c>
      <c r="B173" s="4">
        <v>45153</v>
      </c>
      <c r="C173" s="1" t="s">
        <v>1385</v>
      </c>
      <c r="D173" s="1" t="s">
        <v>2405</v>
      </c>
      <c r="E173" s="1">
        <v>2</v>
      </c>
      <c r="F173" s="1">
        <v>148.22</v>
      </c>
      <c r="G173" s="1" t="s">
        <v>2564</v>
      </c>
      <c r="H173" s="1" t="s">
        <v>3067</v>
      </c>
      <c r="I173" s="1" t="s">
        <v>3073</v>
      </c>
      <c r="J173" s="1" t="s">
        <v>3246</v>
      </c>
      <c r="K173" s="1">
        <v>7</v>
      </c>
      <c r="L173" s="1" t="s">
        <v>4277</v>
      </c>
      <c r="M173" s="1" t="s">
        <v>4278</v>
      </c>
      <c r="N173" s="6" t="str">
        <f t="shared" si="5"/>
        <v>Aug</v>
      </c>
      <c r="O173" s="1">
        <v>296.44</v>
      </c>
      <c r="T173" s="4"/>
      <c r="U173" s="1" t="str">
        <f t="shared" si="6"/>
        <v>Normal</v>
      </c>
    </row>
    <row r="174" spans="1:21" x14ac:dyDescent="0.25">
      <c r="A174" s="1" t="s">
        <v>186</v>
      </c>
      <c r="B174" s="4">
        <v>45753</v>
      </c>
      <c r="C174" s="1" t="s">
        <v>1386</v>
      </c>
      <c r="D174" s="1" t="s">
        <v>2407</v>
      </c>
      <c r="E174" s="1">
        <v>1</v>
      </c>
      <c r="F174" s="1">
        <v>254.12</v>
      </c>
      <c r="G174" s="1" t="s">
        <v>2529</v>
      </c>
      <c r="H174" s="1" t="s">
        <v>3066</v>
      </c>
      <c r="I174" s="1" t="s">
        <v>3073</v>
      </c>
      <c r="J174" s="1" t="s">
        <v>3247</v>
      </c>
      <c r="K174" s="1">
        <v>1</v>
      </c>
      <c r="L174" s="1" t="s">
        <v>4277</v>
      </c>
      <c r="M174" s="1" t="s">
        <v>4280</v>
      </c>
      <c r="N174" s="6" t="str">
        <f t="shared" si="5"/>
        <v>Apr</v>
      </c>
      <c r="O174" s="1">
        <v>254.12</v>
      </c>
      <c r="T174" s="4"/>
      <c r="U174" s="1" t="str">
        <f t="shared" si="6"/>
        <v>Normal</v>
      </c>
    </row>
    <row r="175" spans="1:21" x14ac:dyDescent="0.25">
      <c r="A175" s="1" t="s">
        <v>187</v>
      </c>
      <c r="B175" s="4">
        <v>45375</v>
      </c>
      <c r="C175" s="1" t="s">
        <v>1387</v>
      </c>
      <c r="D175" s="1" t="s">
        <v>2404</v>
      </c>
      <c r="E175" s="1">
        <v>3</v>
      </c>
      <c r="F175" s="1">
        <v>664.46</v>
      </c>
      <c r="G175" s="1" t="s">
        <v>2565</v>
      </c>
      <c r="H175" s="1" t="s">
        <v>3066</v>
      </c>
      <c r="I175" s="1" t="s">
        <v>3073</v>
      </c>
      <c r="J175" s="1" t="s">
        <v>3248</v>
      </c>
      <c r="K175" s="1">
        <v>4</v>
      </c>
      <c r="L175" s="1" t="s">
        <v>4276</v>
      </c>
      <c r="M175" s="1" t="s">
        <v>4282</v>
      </c>
      <c r="N175" s="6" t="str">
        <f t="shared" si="5"/>
        <v>Mar</v>
      </c>
      <c r="O175" s="1">
        <v>1993.38</v>
      </c>
      <c r="T175" s="4"/>
      <c r="U175" s="1" t="str">
        <f t="shared" si="6"/>
        <v>Normal</v>
      </c>
    </row>
    <row r="176" spans="1:21" x14ac:dyDescent="0.25">
      <c r="A176" s="1" t="s">
        <v>188</v>
      </c>
      <c r="B176" s="4">
        <v>45398</v>
      </c>
      <c r="C176" s="1" t="s">
        <v>1388</v>
      </c>
      <c r="D176" s="1" t="s">
        <v>2407</v>
      </c>
      <c r="E176" s="1">
        <v>4</v>
      </c>
      <c r="F176" s="1">
        <v>600.80999999999995</v>
      </c>
      <c r="G176" s="1" t="s">
        <v>2566</v>
      </c>
      <c r="H176" s="1" t="s">
        <v>3065</v>
      </c>
      <c r="I176" s="1" t="s">
        <v>3073</v>
      </c>
      <c r="J176" s="1" t="s">
        <v>3249</v>
      </c>
      <c r="K176" s="1">
        <v>9</v>
      </c>
      <c r="L176" s="1" t="s">
        <v>4275</v>
      </c>
      <c r="M176" s="1" t="s">
        <v>4280</v>
      </c>
      <c r="N176" s="6" t="str">
        <f t="shared" si="5"/>
        <v>Apr</v>
      </c>
      <c r="O176" s="1">
        <v>2403.2399999999998</v>
      </c>
      <c r="T176" s="4"/>
      <c r="U176" s="1" t="str">
        <f t="shared" si="6"/>
        <v>Normal</v>
      </c>
    </row>
    <row r="177" spans="1:21" x14ac:dyDescent="0.25">
      <c r="A177" s="1" t="s">
        <v>189</v>
      </c>
      <c r="B177" s="4">
        <v>45696</v>
      </c>
      <c r="C177" s="1" t="s">
        <v>1389</v>
      </c>
      <c r="D177" s="1" t="s">
        <v>2406</v>
      </c>
      <c r="E177" s="1">
        <v>5</v>
      </c>
      <c r="F177" s="1">
        <v>68.34</v>
      </c>
      <c r="G177" s="1" t="s">
        <v>2567</v>
      </c>
      <c r="H177" s="1" t="s">
        <v>3065</v>
      </c>
      <c r="I177" s="1" t="s">
        <v>3074</v>
      </c>
      <c r="J177" s="1" t="s">
        <v>3250</v>
      </c>
      <c r="K177" s="1">
        <v>6</v>
      </c>
      <c r="L177" s="1" t="s">
        <v>4277</v>
      </c>
      <c r="M177" s="1" t="s">
        <v>4279</v>
      </c>
      <c r="N177" s="6" t="str">
        <f t="shared" si="5"/>
        <v>Feb</v>
      </c>
      <c r="O177" s="1">
        <v>341.7</v>
      </c>
      <c r="T177" s="4"/>
      <c r="U177" s="1" t="str">
        <f t="shared" si="6"/>
        <v>Normal</v>
      </c>
    </row>
    <row r="178" spans="1:21" x14ac:dyDescent="0.25">
      <c r="A178" s="1" t="s">
        <v>190</v>
      </c>
      <c r="B178" s="4">
        <v>45836</v>
      </c>
      <c r="C178" s="1" t="s">
        <v>1390</v>
      </c>
      <c r="D178" s="1" t="s">
        <v>2405</v>
      </c>
      <c r="E178" s="1">
        <v>4</v>
      </c>
      <c r="F178" s="1">
        <v>430.83</v>
      </c>
      <c r="G178" s="1" t="s">
        <v>2568</v>
      </c>
      <c r="H178" s="1" t="s">
        <v>3068</v>
      </c>
      <c r="I178" s="1" t="s">
        <v>3074</v>
      </c>
      <c r="J178" s="1" t="s">
        <v>3251</v>
      </c>
      <c r="K178" s="1">
        <v>8</v>
      </c>
      <c r="L178" s="1" t="s">
        <v>4277</v>
      </c>
      <c r="M178" s="1" t="s">
        <v>4279</v>
      </c>
      <c r="N178" s="6" t="str">
        <f t="shared" si="5"/>
        <v>Jun</v>
      </c>
      <c r="O178" s="1">
        <v>1723.32</v>
      </c>
      <c r="T178" s="4"/>
      <c r="U178" s="1" t="str">
        <f t="shared" si="6"/>
        <v>Normal</v>
      </c>
    </row>
    <row r="179" spans="1:21" x14ac:dyDescent="0.25">
      <c r="A179" s="1" t="s">
        <v>191</v>
      </c>
      <c r="B179" s="4">
        <v>45143</v>
      </c>
      <c r="C179" s="1" t="s">
        <v>1391</v>
      </c>
      <c r="D179" s="1" t="s">
        <v>2406</v>
      </c>
      <c r="E179" s="1">
        <v>5</v>
      </c>
      <c r="F179" s="1">
        <v>431.69</v>
      </c>
      <c r="G179" s="1" t="s">
        <v>2569</v>
      </c>
      <c r="H179" s="1" t="s">
        <v>3067</v>
      </c>
      <c r="I179" s="1" t="s">
        <v>3074</v>
      </c>
      <c r="J179" s="1" t="s">
        <v>3252</v>
      </c>
      <c r="K179" s="1">
        <v>10</v>
      </c>
      <c r="L179" s="1" t="s">
        <v>4283</v>
      </c>
      <c r="M179" s="1" t="s">
        <v>4281</v>
      </c>
      <c r="N179" s="6" t="str">
        <f t="shared" si="5"/>
        <v>Aug</v>
      </c>
      <c r="O179" s="1">
        <v>2158.4499999999998</v>
      </c>
      <c r="T179" s="4"/>
      <c r="U179" s="1" t="str">
        <f t="shared" si="6"/>
        <v>Normal</v>
      </c>
    </row>
    <row r="180" spans="1:21" x14ac:dyDescent="0.25">
      <c r="A180" s="1" t="s">
        <v>192</v>
      </c>
      <c r="B180" s="4">
        <v>45393</v>
      </c>
      <c r="C180" s="1" t="s">
        <v>1392</v>
      </c>
      <c r="D180" s="1" t="s">
        <v>2406</v>
      </c>
      <c r="E180" s="1">
        <v>4</v>
      </c>
      <c r="F180" s="1">
        <v>512.05999999999995</v>
      </c>
      <c r="G180" s="1" t="s">
        <v>2570</v>
      </c>
      <c r="H180" s="1" t="s">
        <v>3066</v>
      </c>
      <c r="I180" s="1" t="s">
        <v>3073</v>
      </c>
      <c r="J180" s="1" t="s">
        <v>3253</v>
      </c>
      <c r="K180" s="1">
        <v>5</v>
      </c>
      <c r="L180" s="1" t="s">
        <v>4275</v>
      </c>
      <c r="M180" s="1" t="s">
        <v>4282</v>
      </c>
      <c r="N180" s="6" t="str">
        <f t="shared" si="5"/>
        <v>Apr</v>
      </c>
      <c r="O180" s="1">
        <v>2048.2399999999998</v>
      </c>
      <c r="T180" s="4"/>
      <c r="U180" s="1" t="str">
        <f t="shared" si="6"/>
        <v>Normal</v>
      </c>
    </row>
    <row r="181" spans="1:21" x14ac:dyDescent="0.25">
      <c r="A181" s="1" t="s">
        <v>193</v>
      </c>
      <c r="B181" s="4">
        <v>45620</v>
      </c>
      <c r="C181" s="1" t="s">
        <v>1393</v>
      </c>
      <c r="D181" s="1" t="s">
        <v>2408</v>
      </c>
      <c r="E181" s="1">
        <v>3</v>
      </c>
      <c r="F181" s="1">
        <v>539.91</v>
      </c>
      <c r="G181" s="1" t="s">
        <v>2571</v>
      </c>
      <c r="H181" s="1" t="s">
        <v>3067</v>
      </c>
      <c r="I181" s="1" t="s">
        <v>3073</v>
      </c>
      <c r="J181" s="1" t="s">
        <v>3254</v>
      </c>
      <c r="K181" s="1">
        <v>8</v>
      </c>
      <c r="L181" s="1" t="s">
        <v>4283</v>
      </c>
      <c r="M181" s="1" t="s">
        <v>4280</v>
      </c>
      <c r="N181" s="6" t="str">
        <f t="shared" si="5"/>
        <v>Nov</v>
      </c>
      <c r="O181" s="1">
        <v>1619.73</v>
      </c>
      <c r="T181" s="4"/>
      <c r="U181" s="1" t="str">
        <f t="shared" si="6"/>
        <v>Normal</v>
      </c>
    </row>
    <row r="182" spans="1:21" x14ac:dyDescent="0.25">
      <c r="A182" s="1" t="s">
        <v>194</v>
      </c>
      <c r="B182" s="4">
        <v>45003</v>
      </c>
      <c r="C182" s="1" t="s">
        <v>1394</v>
      </c>
      <c r="D182" s="1" t="s">
        <v>2405</v>
      </c>
      <c r="E182" s="1">
        <v>5</v>
      </c>
      <c r="F182" s="1">
        <v>316.07</v>
      </c>
      <c r="G182" s="1" t="s">
        <v>2572</v>
      </c>
      <c r="H182" s="1" t="s">
        <v>3069</v>
      </c>
      <c r="I182" s="1" t="s">
        <v>3072</v>
      </c>
      <c r="J182" s="1" t="s">
        <v>3255</v>
      </c>
      <c r="K182" s="1">
        <v>10</v>
      </c>
      <c r="L182" s="1" t="s">
        <v>4283</v>
      </c>
      <c r="M182" s="1" t="s">
        <v>4282</v>
      </c>
      <c r="N182" s="6" t="str">
        <f t="shared" si="5"/>
        <v>Mar</v>
      </c>
      <c r="O182" s="1">
        <v>1580.35</v>
      </c>
      <c r="T182" s="4"/>
      <c r="U182" s="1" t="str">
        <f t="shared" si="6"/>
        <v>Normal</v>
      </c>
    </row>
    <row r="183" spans="1:21" x14ac:dyDescent="0.25">
      <c r="A183" s="1" t="s">
        <v>195</v>
      </c>
      <c r="B183" s="4">
        <v>45535</v>
      </c>
      <c r="C183" s="1" t="s">
        <v>1395</v>
      </c>
      <c r="D183" s="1" t="s">
        <v>2407</v>
      </c>
      <c r="E183" s="1">
        <v>5</v>
      </c>
      <c r="F183" s="1">
        <v>404.39</v>
      </c>
      <c r="G183" s="1" t="s">
        <v>2573</v>
      </c>
      <c r="H183" s="1" t="s">
        <v>3066</v>
      </c>
      <c r="I183" s="1" t="s">
        <v>3070</v>
      </c>
      <c r="J183" s="1" t="s">
        <v>3256</v>
      </c>
      <c r="K183" s="1">
        <v>10</v>
      </c>
      <c r="L183" s="1" t="s">
        <v>4283</v>
      </c>
      <c r="M183" s="1" t="s">
        <v>4279</v>
      </c>
      <c r="N183" s="6" t="str">
        <f t="shared" si="5"/>
        <v>Aug</v>
      </c>
      <c r="O183" s="1">
        <v>2021.95</v>
      </c>
      <c r="T183" s="4"/>
      <c r="U183" s="1" t="str">
        <f t="shared" si="6"/>
        <v>Normal</v>
      </c>
    </row>
    <row r="184" spans="1:21" x14ac:dyDescent="0.25">
      <c r="A184" s="1" t="s">
        <v>196</v>
      </c>
      <c r="B184" s="4">
        <v>45735</v>
      </c>
      <c r="C184" s="1" t="s">
        <v>1396</v>
      </c>
      <c r="D184" s="1" t="s">
        <v>2409</v>
      </c>
      <c r="E184" s="1">
        <v>1</v>
      </c>
      <c r="F184" s="1">
        <v>600.54</v>
      </c>
      <c r="G184" s="1" t="s">
        <v>2574</v>
      </c>
      <c r="H184" s="1" t="s">
        <v>3065</v>
      </c>
      <c r="I184" s="1" t="s">
        <v>3074</v>
      </c>
      <c r="J184" s="1" t="s">
        <v>3257</v>
      </c>
      <c r="K184" s="1">
        <v>4</v>
      </c>
      <c r="L184" s="1" t="s">
        <v>4277</v>
      </c>
      <c r="M184" s="1" t="s">
        <v>4282</v>
      </c>
      <c r="N184" s="6" t="str">
        <f t="shared" si="5"/>
        <v>Mar</v>
      </c>
      <c r="O184" s="1">
        <v>600.54</v>
      </c>
      <c r="T184" s="4"/>
      <c r="U184" s="1" t="str">
        <f t="shared" si="6"/>
        <v>Normal</v>
      </c>
    </row>
    <row r="185" spans="1:21" x14ac:dyDescent="0.25">
      <c r="A185" s="1" t="s">
        <v>197</v>
      </c>
      <c r="B185" s="4">
        <v>45400</v>
      </c>
      <c r="C185" s="1" t="s">
        <v>1397</v>
      </c>
      <c r="D185" s="1" t="s">
        <v>2403</v>
      </c>
      <c r="E185" s="1">
        <v>5</v>
      </c>
      <c r="F185" s="1">
        <v>186.28</v>
      </c>
      <c r="G185" s="1" t="s">
        <v>2575</v>
      </c>
      <c r="H185" s="1" t="s">
        <v>3065</v>
      </c>
      <c r="I185" s="1" t="s">
        <v>3073</v>
      </c>
      <c r="J185" s="1" t="s">
        <v>3258</v>
      </c>
      <c r="K185" s="1">
        <v>8</v>
      </c>
      <c r="L185" s="1" t="s">
        <v>4275</v>
      </c>
      <c r="M185" s="1" t="s">
        <v>4280</v>
      </c>
      <c r="N185" s="6" t="str">
        <f t="shared" si="5"/>
        <v>Apr</v>
      </c>
      <c r="O185" s="1">
        <v>931.4</v>
      </c>
      <c r="T185" s="4"/>
      <c r="U185" s="1" t="str">
        <f t="shared" si="6"/>
        <v>Normal</v>
      </c>
    </row>
    <row r="186" spans="1:21" x14ac:dyDescent="0.25">
      <c r="A186" s="1" t="s">
        <v>198</v>
      </c>
      <c r="B186" s="4">
        <v>45386</v>
      </c>
      <c r="C186" s="1" t="s">
        <v>1398</v>
      </c>
      <c r="D186" s="1" t="s">
        <v>2405</v>
      </c>
      <c r="E186" s="1">
        <v>4</v>
      </c>
      <c r="F186" s="1">
        <v>214.54</v>
      </c>
      <c r="G186" s="1" t="s">
        <v>2576</v>
      </c>
      <c r="H186" s="1" t="s">
        <v>3068</v>
      </c>
      <c r="I186" s="1" t="s">
        <v>3071</v>
      </c>
      <c r="J186" s="1" t="s">
        <v>3259</v>
      </c>
      <c r="K186" s="1">
        <v>7</v>
      </c>
      <c r="L186" s="1" t="s">
        <v>4283</v>
      </c>
      <c r="M186" s="1" t="s">
        <v>4279</v>
      </c>
      <c r="N186" s="6" t="str">
        <f t="shared" si="5"/>
        <v>Apr</v>
      </c>
      <c r="O186" s="1">
        <v>858.16</v>
      </c>
      <c r="T186" s="4"/>
      <c r="U186" s="1" t="str">
        <f t="shared" si="6"/>
        <v>Normal</v>
      </c>
    </row>
    <row r="187" spans="1:21" x14ac:dyDescent="0.25">
      <c r="A187" s="1" t="s">
        <v>199</v>
      </c>
      <c r="B187" s="4">
        <v>45690</v>
      </c>
      <c r="C187" s="1" t="s">
        <v>1399</v>
      </c>
      <c r="D187" s="1" t="s">
        <v>2408</v>
      </c>
      <c r="E187" s="1">
        <v>1</v>
      </c>
      <c r="F187" s="1">
        <v>210.7</v>
      </c>
      <c r="G187" s="1" t="s">
        <v>2577</v>
      </c>
      <c r="H187" s="1" t="s">
        <v>3066</v>
      </c>
      <c r="I187" s="1" t="s">
        <v>3070</v>
      </c>
      <c r="J187" s="1" t="s">
        <v>3260</v>
      </c>
      <c r="K187" s="1">
        <v>2</v>
      </c>
      <c r="L187" s="1" t="s">
        <v>4277</v>
      </c>
      <c r="M187" s="1" t="s">
        <v>4279</v>
      </c>
      <c r="N187" s="6" t="str">
        <f t="shared" si="5"/>
        <v>Feb</v>
      </c>
      <c r="O187" s="1">
        <v>210.7</v>
      </c>
      <c r="T187" s="4"/>
      <c r="U187" s="1" t="str">
        <f t="shared" si="6"/>
        <v>Normal</v>
      </c>
    </row>
    <row r="188" spans="1:21" x14ac:dyDescent="0.25">
      <c r="A188" s="1" t="s">
        <v>200</v>
      </c>
      <c r="B188" s="4">
        <v>45267</v>
      </c>
      <c r="C188" s="1" t="s">
        <v>1400</v>
      </c>
      <c r="D188" s="1" t="s">
        <v>2404</v>
      </c>
      <c r="E188" s="1">
        <v>2</v>
      </c>
      <c r="F188" s="1">
        <v>133.55000000000001</v>
      </c>
      <c r="G188" s="1" t="s">
        <v>2578</v>
      </c>
      <c r="H188" s="1" t="s">
        <v>3069</v>
      </c>
      <c r="I188" s="1" t="s">
        <v>3074</v>
      </c>
      <c r="J188" s="1" t="s">
        <v>3261</v>
      </c>
      <c r="K188" s="1">
        <v>7</v>
      </c>
      <c r="L188" s="1" t="s">
        <v>4276</v>
      </c>
      <c r="M188" s="1" t="s">
        <v>4281</v>
      </c>
      <c r="N188" s="6" t="str">
        <f t="shared" si="5"/>
        <v>Dec</v>
      </c>
      <c r="O188" s="1">
        <v>267.10000000000002</v>
      </c>
      <c r="T188" s="4"/>
      <c r="U188" s="1" t="str">
        <f t="shared" si="6"/>
        <v>Normal</v>
      </c>
    </row>
    <row r="189" spans="1:21" x14ac:dyDescent="0.25">
      <c r="A189" s="1" t="s">
        <v>201</v>
      </c>
      <c r="B189" s="4">
        <v>44965</v>
      </c>
      <c r="C189" s="1" t="s">
        <v>1401</v>
      </c>
      <c r="D189" s="1" t="s">
        <v>2406</v>
      </c>
      <c r="E189" s="1">
        <v>1</v>
      </c>
      <c r="F189" s="1">
        <v>590.87</v>
      </c>
      <c r="G189" s="1" t="s">
        <v>2579</v>
      </c>
      <c r="H189" s="1" t="s">
        <v>3068</v>
      </c>
      <c r="I189" s="1" t="s">
        <v>3072</v>
      </c>
      <c r="J189" s="1" t="s">
        <v>3262</v>
      </c>
      <c r="K189" s="1">
        <v>6</v>
      </c>
      <c r="L189" s="1" t="s">
        <v>4276</v>
      </c>
      <c r="M189" s="1" t="s">
        <v>4279</v>
      </c>
      <c r="N189" s="6" t="str">
        <f t="shared" si="5"/>
        <v>Feb</v>
      </c>
      <c r="O189" s="1">
        <v>590.87</v>
      </c>
      <c r="T189" s="4"/>
      <c r="U189" s="1" t="str">
        <f t="shared" si="6"/>
        <v>Normal</v>
      </c>
    </row>
    <row r="190" spans="1:21" x14ac:dyDescent="0.25">
      <c r="A190" s="1" t="s">
        <v>202</v>
      </c>
      <c r="B190" s="4">
        <v>45731</v>
      </c>
      <c r="C190" s="1" t="s">
        <v>1402</v>
      </c>
      <c r="D190" s="1" t="s">
        <v>2406</v>
      </c>
      <c r="E190" s="1">
        <v>2</v>
      </c>
      <c r="F190" s="1">
        <v>363.91</v>
      </c>
      <c r="G190" s="1" t="s">
        <v>2580</v>
      </c>
      <c r="H190" s="1" t="s">
        <v>3068</v>
      </c>
      <c r="I190" s="1" t="s">
        <v>3070</v>
      </c>
      <c r="J190" s="1" t="s">
        <v>3263</v>
      </c>
      <c r="K190" s="1">
        <v>2</v>
      </c>
      <c r="L190" s="1" t="s">
        <v>4276</v>
      </c>
      <c r="M190" s="1" t="s">
        <v>4279</v>
      </c>
      <c r="N190" s="6" t="str">
        <f t="shared" si="5"/>
        <v>Mar</v>
      </c>
      <c r="O190" s="1">
        <v>727.82</v>
      </c>
      <c r="T190" s="4"/>
      <c r="U190" s="1" t="str">
        <f t="shared" si="6"/>
        <v>Normal</v>
      </c>
    </row>
    <row r="191" spans="1:21" x14ac:dyDescent="0.25">
      <c r="A191" s="1" t="s">
        <v>203</v>
      </c>
      <c r="B191" s="4">
        <v>45112</v>
      </c>
      <c r="C191" s="1" t="s">
        <v>1403</v>
      </c>
      <c r="D191" s="1" t="s">
        <v>2407</v>
      </c>
      <c r="E191" s="1">
        <v>5</v>
      </c>
      <c r="F191" s="1">
        <v>429.45</v>
      </c>
      <c r="G191" s="1" t="s">
        <v>2581</v>
      </c>
      <c r="H191" s="1" t="s">
        <v>3068</v>
      </c>
      <c r="I191" s="1" t="s">
        <v>3071</v>
      </c>
      <c r="J191" s="1" t="s">
        <v>3264</v>
      </c>
      <c r="K191" s="1">
        <v>5</v>
      </c>
      <c r="L191" s="1" t="s">
        <v>4277</v>
      </c>
      <c r="M191" s="1" t="s">
        <v>4280</v>
      </c>
      <c r="N191" s="6" t="str">
        <f t="shared" si="5"/>
        <v>Jul</v>
      </c>
      <c r="O191" s="1">
        <v>2147.25</v>
      </c>
      <c r="T191" s="4"/>
      <c r="U191" s="1" t="str">
        <f t="shared" si="6"/>
        <v>Normal</v>
      </c>
    </row>
    <row r="192" spans="1:21" x14ac:dyDescent="0.25">
      <c r="A192" s="1" t="s">
        <v>204</v>
      </c>
      <c r="B192" s="4">
        <v>45535</v>
      </c>
      <c r="C192" s="1" t="s">
        <v>1404</v>
      </c>
      <c r="D192" s="1" t="s">
        <v>2407</v>
      </c>
      <c r="E192" s="1">
        <v>3</v>
      </c>
      <c r="F192" s="1">
        <v>223.7</v>
      </c>
      <c r="G192" s="1" t="s">
        <v>2582</v>
      </c>
      <c r="H192" s="1" t="s">
        <v>3069</v>
      </c>
      <c r="I192" s="1" t="s">
        <v>3072</v>
      </c>
      <c r="J192" s="1" t="s">
        <v>3265</v>
      </c>
      <c r="K192" s="1">
        <v>3</v>
      </c>
      <c r="L192" s="1" t="s">
        <v>4275</v>
      </c>
      <c r="M192" s="1" t="s">
        <v>4280</v>
      </c>
      <c r="N192" s="6" t="str">
        <f t="shared" si="5"/>
        <v>Aug</v>
      </c>
      <c r="O192" s="1">
        <v>671.09999999999991</v>
      </c>
      <c r="T192" s="4"/>
      <c r="U192" s="1" t="str">
        <f t="shared" si="6"/>
        <v>Normal</v>
      </c>
    </row>
    <row r="193" spans="1:21" x14ac:dyDescent="0.25">
      <c r="A193" s="1" t="s">
        <v>205</v>
      </c>
      <c r="B193" s="4">
        <v>45724</v>
      </c>
      <c r="C193" s="1" t="s">
        <v>1405</v>
      </c>
      <c r="D193" s="1" t="s">
        <v>2408</v>
      </c>
      <c r="E193" s="1">
        <v>2</v>
      </c>
      <c r="F193" s="1">
        <v>488.87</v>
      </c>
      <c r="G193" s="1" t="s">
        <v>2583</v>
      </c>
      <c r="H193" s="1" t="s">
        <v>3066</v>
      </c>
      <c r="I193" s="1" t="s">
        <v>3071</v>
      </c>
      <c r="J193" s="1" t="s">
        <v>3266</v>
      </c>
      <c r="K193" s="1">
        <v>4</v>
      </c>
      <c r="L193" s="1" t="s">
        <v>4276</v>
      </c>
      <c r="M193" s="1" t="s">
        <v>4282</v>
      </c>
      <c r="N193" s="6" t="str">
        <f t="shared" si="5"/>
        <v>Mar</v>
      </c>
      <c r="O193" s="1">
        <v>977.74</v>
      </c>
      <c r="T193" s="4"/>
      <c r="U193" s="1" t="str">
        <f t="shared" si="6"/>
        <v>Normal</v>
      </c>
    </row>
    <row r="194" spans="1:21" x14ac:dyDescent="0.25">
      <c r="A194" s="1" t="s">
        <v>206</v>
      </c>
      <c r="B194" s="4">
        <v>45149</v>
      </c>
      <c r="C194" s="1" t="s">
        <v>1406</v>
      </c>
      <c r="D194" s="1" t="s">
        <v>2409</v>
      </c>
      <c r="E194" s="1">
        <v>1</v>
      </c>
      <c r="F194" s="1">
        <v>645.46</v>
      </c>
      <c r="G194" s="1" t="s">
        <v>2541</v>
      </c>
      <c r="H194" s="1" t="s">
        <v>3068</v>
      </c>
      <c r="I194" s="1" t="s">
        <v>3071</v>
      </c>
      <c r="J194" s="1" t="s">
        <v>3267</v>
      </c>
      <c r="K194" s="1">
        <v>5</v>
      </c>
      <c r="L194" s="1" t="s">
        <v>4275</v>
      </c>
      <c r="M194" s="1" t="s">
        <v>4282</v>
      </c>
      <c r="N194" s="6" t="str">
        <f t="shared" ref="N194:N257" si="7">TEXT(B194,"MMM")</f>
        <v>Aug</v>
      </c>
      <c r="O194" s="1">
        <v>645.46</v>
      </c>
      <c r="T194" s="4"/>
      <c r="U194" s="1" t="str">
        <f t="shared" si="6"/>
        <v>Normal</v>
      </c>
    </row>
    <row r="195" spans="1:21" x14ac:dyDescent="0.25">
      <c r="A195" s="1" t="s">
        <v>207</v>
      </c>
      <c r="B195" s="4">
        <v>45128</v>
      </c>
      <c r="C195" s="1" t="s">
        <v>1407</v>
      </c>
      <c r="D195" s="1" t="s">
        <v>2407</v>
      </c>
      <c r="E195" s="1">
        <v>1</v>
      </c>
      <c r="F195" s="1">
        <v>46.66</v>
      </c>
      <c r="G195" s="1" t="s">
        <v>2584</v>
      </c>
      <c r="H195" s="1" t="s">
        <v>3069</v>
      </c>
      <c r="I195" s="1" t="s">
        <v>3071</v>
      </c>
      <c r="J195" s="1" t="s">
        <v>3268</v>
      </c>
      <c r="K195" s="1">
        <v>6</v>
      </c>
      <c r="L195" s="1" t="s">
        <v>4283</v>
      </c>
      <c r="M195" s="1" t="s">
        <v>4282</v>
      </c>
      <c r="N195" s="6" t="str">
        <f t="shared" si="7"/>
        <v>Jul</v>
      </c>
      <c r="O195" s="1">
        <v>46.66</v>
      </c>
      <c r="T195" s="4"/>
      <c r="U195" s="1" t="str">
        <f t="shared" ref="U195:U258" si="8">IF(O195&gt;$S$2,"Outlier","Normal")</f>
        <v>Normal</v>
      </c>
    </row>
    <row r="196" spans="1:21" x14ac:dyDescent="0.25">
      <c r="A196" s="1" t="s">
        <v>208</v>
      </c>
      <c r="B196" s="4">
        <v>45451</v>
      </c>
      <c r="C196" s="1" t="s">
        <v>1408</v>
      </c>
      <c r="D196" s="1" t="s">
        <v>2403</v>
      </c>
      <c r="E196" s="1">
        <v>1</v>
      </c>
      <c r="F196" s="1">
        <v>249.57</v>
      </c>
      <c r="G196" s="1" t="s">
        <v>2585</v>
      </c>
      <c r="H196" s="1" t="s">
        <v>3069</v>
      </c>
      <c r="I196" s="1" t="s">
        <v>3070</v>
      </c>
      <c r="J196" s="1" t="s">
        <v>3269</v>
      </c>
      <c r="K196" s="1">
        <v>3</v>
      </c>
      <c r="L196" s="1" t="s">
        <v>4276</v>
      </c>
      <c r="M196" s="1" t="s">
        <v>4282</v>
      </c>
      <c r="N196" s="6" t="str">
        <f t="shared" si="7"/>
        <v>Jun</v>
      </c>
      <c r="O196" s="1">
        <v>249.57</v>
      </c>
      <c r="T196" s="4"/>
      <c r="U196" s="1" t="str">
        <f t="shared" si="8"/>
        <v>Normal</v>
      </c>
    </row>
    <row r="197" spans="1:21" x14ac:dyDescent="0.25">
      <c r="A197" s="1" t="s">
        <v>209</v>
      </c>
      <c r="B197" s="4">
        <v>45404</v>
      </c>
      <c r="C197" s="1" t="s">
        <v>1409</v>
      </c>
      <c r="D197" s="1" t="s">
        <v>2406</v>
      </c>
      <c r="E197" s="1">
        <v>3</v>
      </c>
      <c r="F197" s="1">
        <v>619.21</v>
      </c>
      <c r="G197" s="1" t="s">
        <v>2586</v>
      </c>
      <c r="H197" s="1" t="s">
        <v>3065</v>
      </c>
      <c r="I197" s="1" t="s">
        <v>3071</v>
      </c>
      <c r="J197" s="1" t="s">
        <v>3270</v>
      </c>
      <c r="K197" s="1">
        <v>6</v>
      </c>
      <c r="L197" s="1" t="s">
        <v>4283</v>
      </c>
      <c r="M197" s="1" t="s">
        <v>4280</v>
      </c>
      <c r="N197" s="6" t="str">
        <f t="shared" si="7"/>
        <v>Apr</v>
      </c>
      <c r="O197" s="1">
        <v>1857.63</v>
      </c>
      <c r="T197" s="4"/>
      <c r="U197" s="1" t="str">
        <f t="shared" si="8"/>
        <v>Normal</v>
      </c>
    </row>
    <row r="198" spans="1:21" x14ac:dyDescent="0.25">
      <c r="A198" s="1" t="s">
        <v>210</v>
      </c>
      <c r="B198" s="4">
        <v>45681</v>
      </c>
      <c r="C198" s="1" t="s">
        <v>1410</v>
      </c>
      <c r="D198" s="1" t="s">
        <v>2409</v>
      </c>
      <c r="E198" s="1">
        <v>4</v>
      </c>
      <c r="F198" s="1">
        <v>217.13</v>
      </c>
      <c r="G198" s="1" t="s">
        <v>2587</v>
      </c>
      <c r="H198" s="1" t="s">
        <v>3069</v>
      </c>
      <c r="I198" s="1" t="s">
        <v>3073</v>
      </c>
      <c r="J198" s="1" t="s">
        <v>3271</v>
      </c>
      <c r="K198" s="1">
        <v>8</v>
      </c>
      <c r="L198" s="1" t="s">
        <v>4277</v>
      </c>
      <c r="M198" s="1" t="s">
        <v>4280</v>
      </c>
      <c r="N198" s="6" t="str">
        <f t="shared" si="7"/>
        <v>Jan</v>
      </c>
      <c r="O198" s="1">
        <v>868.52</v>
      </c>
      <c r="T198" s="4"/>
      <c r="U198" s="1" t="str">
        <f t="shared" si="8"/>
        <v>Normal</v>
      </c>
    </row>
    <row r="199" spans="1:21" x14ac:dyDescent="0.25">
      <c r="A199" s="1" t="s">
        <v>211</v>
      </c>
      <c r="B199" s="4">
        <v>45165</v>
      </c>
      <c r="C199" s="1" t="s">
        <v>1411</v>
      </c>
      <c r="D199" s="1" t="s">
        <v>2408</v>
      </c>
      <c r="E199" s="1">
        <v>5</v>
      </c>
      <c r="F199" s="1">
        <v>221.51</v>
      </c>
      <c r="G199" s="1" t="s">
        <v>2588</v>
      </c>
      <c r="H199" s="1" t="s">
        <v>3069</v>
      </c>
      <c r="I199" s="1" t="s">
        <v>3072</v>
      </c>
      <c r="J199" s="1" t="s">
        <v>3272</v>
      </c>
      <c r="K199" s="1">
        <v>5</v>
      </c>
      <c r="L199" s="1" t="s">
        <v>4277</v>
      </c>
      <c r="M199" s="1" t="s">
        <v>4279</v>
      </c>
      <c r="N199" s="6" t="str">
        <f t="shared" si="7"/>
        <v>Aug</v>
      </c>
      <c r="O199" s="1">
        <v>1107.55</v>
      </c>
      <c r="T199" s="4"/>
      <c r="U199" s="1" t="str">
        <f t="shared" si="8"/>
        <v>Normal</v>
      </c>
    </row>
    <row r="200" spans="1:21" x14ac:dyDescent="0.25">
      <c r="A200" s="1" t="s">
        <v>212</v>
      </c>
      <c r="B200" s="4">
        <v>45454</v>
      </c>
      <c r="C200" s="1" t="s">
        <v>1412</v>
      </c>
      <c r="D200" s="1" t="s">
        <v>2408</v>
      </c>
      <c r="E200" s="1">
        <v>4</v>
      </c>
      <c r="F200" s="1">
        <v>340.3</v>
      </c>
      <c r="G200" s="1" t="s">
        <v>2444</v>
      </c>
      <c r="H200" s="1" t="s">
        <v>3069</v>
      </c>
      <c r="I200" s="1" t="s">
        <v>3071</v>
      </c>
      <c r="J200" s="1" t="s">
        <v>3273</v>
      </c>
      <c r="K200" s="1">
        <v>8</v>
      </c>
      <c r="L200" s="1" t="s">
        <v>4275</v>
      </c>
      <c r="M200" s="1" t="s">
        <v>4279</v>
      </c>
      <c r="N200" s="6" t="str">
        <f t="shared" si="7"/>
        <v>Jun</v>
      </c>
      <c r="O200" s="1">
        <v>1361.2</v>
      </c>
      <c r="T200" s="4"/>
      <c r="U200" s="1" t="str">
        <f t="shared" si="8"/>
        <v>Normal</v>
      </c>
    </row>
    <row r="201" spans="1:21" x14ac:dyDescent="0.25">
      <c r="A201" s="1" t="s">
        <v>213</v>
      </c>
      <c r="B201" s="4">
        <v>45680</v>
      </c>
      <c r="C201" s="1" t="s">
        <v>1413</v>
      </c>
      <c r="D201" s="1" t="s">
        <v>2404</v>
      </c>
      <c r="E201" s="1">
        <v>1</v>
      </c>
      <c r="F201" s="1">
        <v>625</v>
      </c>
      <c r="G201" s="1" t="s">
        <v>2589</v>
      </c>
      <c r="H201" s="1" t="s">
        <v>3066</v>
      </c>
      <c r="I201" s="1" t="s">
        <v>3072</v>
      </c>
      <c r="J201" s="1" t="s">
        <v>3274</v>
      </c>
      <c r="K201" s="1">
        <v>5</v>
      </c>
      <c r="L201" s="1" t="s">
        <v>4277</v>
      </c>
      <c r="M201" s="1" t="s">
        <v>4282</v>
      </c>
      <c r="N201" s="6" t="str">
        <f t="shared" si="7"/>
        <v>Jan</v>
      </c>
      <c r="O201" s="1">
        <v>625</v>
      </c>
      <c r="T201" s="4"/>
      <c r="U201" s="1" t="str">
        <f t="shared" si="8"/>
        <v>Normal</v>
      </c>
    </row>
    <row r="202" spans="1:21" x14ac:dyDescent="0.25">
      <c r="A202" s="1" t="s">
        <v>214</v>
      </c>
      <c r="B202" s="4">
        <v>45815</v>
      </c>
      <c r="C202" s="1" t="s">
        <v>1414</v>
      </c>
      <c r="D202" s="1" t="s">
        <v>2405</v>
      </c>
      <c r="E202" s="1">
        <v>5</v>
      </c>
      <c r="F202" s="1">
        <v>433.26</v>
      </c>
      <c r="G202" s="1" t="s">
        <v>2440</v>
      </c>
      <c r="H202" s="1" t="s">
        <v>3067</v>
      </c>
      <c r="I202" s="1" t="s">
        <v>3073</v>
      </c>
      <c r="J202" s="1" t="s">
        <v>3275</v>
      </c>
      <c r="K202" s="1">
        <v>9</v>
      </c>
      <c r="L202" s="1" t="s">
        <v>4275</v>
      </c>
      <c r="M202" s="1" t="s">
        <v>4282</v>
      </c>
      <c r="N202" s="6" t="str">
        <f t="shared" si="7"/>
        <v>Jun</v>
      </c>
      <c r="O202" s="1">
        <v>2166.3000000000002</v>
      </c>
      <c r="T202" s="4"/>
      <c r="U202" s="1" t="str">
        <f t="shared" si="8"/>
        <v>Normal</v>
      </c>
    </row>
    <row r="203" spans="1:21" x14ac:dyDescent="0.25">
      <c r="A203" s="1" t="s">
        <v>215</v>
      </c>
      <c r="B203" s="4">
        <v>45095</v>
      </c>
      <c r="C203" s="1" t="s">
        <v>1415</v>
      </c>
      <c r="D203" s="1" t="s">
        <v>2403</v>
      </c>
      <c r="E203" s="1">
        <v>2</v>
      </c>
      <c r="F203" s="1">
        <v>674.9</v>
      </c>
      <c r="G203" s="1" t="s">
        <v>2482</v>
      </c>
      <c r="H203" s="1" t="s">
        <v>3066</v>
      </c>
      <c r="I203" s="1" t="s">
        <v>3070</v>
      </c>
      <c r="J203" s="1" t="s">
        <v>3276</v>
      </c>
      <c r="K203" s="1">
        <v>4</v>
      </c>
      <c r="L203" s="1" t="s">
        <v>4275</v>
      </c>
      <c r="M203" s="1" t="s">
        <v>4281</v>
      </c>
      <c r="N203" s="6" t="str">
        <f t="shared" si="7"/>
        <v>Jun</v>
      </c>
      <c r="O203" s="1">
        <v>1349.8</v>
      </c>
      <c r="T203" s="4"/>
      <c r="U203" s="1" t="str">
        <f t="shared" si="8"/>
        <v>Normal</v>
      </c>
    </row>
    <row r="204" spans="1:21" x14ac:dyDescent="0.25">
      <c r="A204" s="1" t="s">
        <v>216</v>
      </c>
      <c r="B204" s="4">
        <v>45694</v>
      </c>
      <c r="C204" s="1" t="s">
        <v>1416</v>
      </c>
      <c r="D204" s="1" t="s">
        <v>2403</v>
      </c>
      <c r="E204" s="1">
        <v>3</v>
      </c>
      <c r="F204" s="1">
        <v>253.98</v>
      </c>
      <c r="G204" s="1" t="s">
        <v>2535</v>
      </c>
      <c r="H204" s="1" t="s">
        <v>3067</v>
      </c>
      <c r="I204" s="1" t="s">
        <v>3071</v>
      </c>
      <c r="J204" s="1" t="s">
        <v>3277</v>
      </c>
      <c r="K204" s="1">
        <v>3</v>
      </c>
      <c r="L204" s="1" t="s">
        <v>4276</v>
      </c>
      <c r="M204" s="1" t="s">
        <v>4280</v>
      </c>
      <c r="N204" s="6" t="str">
        <f t="shared" si="7"/>
        <v>Feb</v>
      </c>
      <c r="O204" s="1">
        <v>761.93999999999994</v>
      </c>
      <c r="T204" s="4"/>
      <c r="U204" s="1" t="str">
        <f t="shared" si="8"/>
        <v>Normal</v>
      </c>
    </row>
    <row r="205" spans="1:21" x14ac:dyDescent="0.25">
      <c r="A205" s="1" t="s">
        <v>217</v>
      </c>
      <c r="B205" s="4">
        <v>45678</v>
      </c>
      <c r="C205" s="1" t="s">
        <v>1417</v>
      </c>
      <c r="D205" s="1" t="s">
        <v>2407</v>
      </c>
      <c r="E205" s="1">
        <v>3</v>
      </c>
      <c r="F205" s="1">
        <v>356.84</v>
      </c>
      <c r="G205" s="1" t="s">
        <v>2590</v>
      </c>
      <c r="H205" s="1" t="s">
        <v>3066</v>
      </c>
      <c r="I205" s="1" t="s">
        <v>3070</v>
      </c>
      <c r="J205" s="1" t="s">
        <v>3278</v>
      </c>
      <c r="K205" s="1">
        <v>5</v>
      </c>
      <c r="L205" s="1" t="s">
        <v>4275</v>
      </c>
      <c r="M205" s="1" t="s">
        <v>4278</v>
      </c>
      <c r="N205" s="6" t="str">
        <f t="shared" si="7"/>
        <v>Jan</v>
      </c>
      <c r="O205" s="1">
        <v>1070.52</v>
      </c>
      <c r="T205" s="4"/>
      <c r="U205" s="1" t="str">
        <f t="shared" si="8"/>
        <v>Normal</v>
      </c>
    </row>
    <row r="206" spans="1:21" x14ac:dyDescent="0.25">
      <c r="A206" s="1" t="s">
        <v>218</v>
      </c>
      <c r="B206" s="4">
        <v>45174</v>
      </c>
      <c r="C206" s="1" t="s">
        <v>1418</v>
      </c>
      <c r="D206" s="1" t="s">
        <v>2408</v>
      </c>
      <c r="E206" s="1">
        <v>4</v>
      </c>
      <c r="F206" s="1">
        <v>413.71</v>
      </c>
      <c r="G206" s="1" t="s">
        <v>2539</v>
      </c>
      <c r="H206" s="1" t="s">
        <v>3068</v>
      </c>
      <c r="I206" s="1" t="s">
        <v>3071</v>
      </c>
      <c r="J206" s="1" t="s">
        <v>3279</v>
      </c>
      <c r="K206" s="1">
        <v>9</v>
      </c>
      <c r="L206" s="1" t="s">
        <v>4276</v>
      </c>
      <c r="M206" s="1" t="s">
        <v>4281</v>
      </c>
      <c r="N206" s="6" t="str">
        <f t="shared" si="7"/>
        <v>Sep</v>
      </c>
      <c r="O206" s="1">
        <v>1654.84</v>
      </c>
      <c r="T206" s="4"/>
      <c r="U206" s="1" t="str">
        <f t="shared" si="8"/>
        <v>Normal</v>
      </c>
    </row>
    <row r="207" spans="1:21" x14ac:dyDescent="0.25">
      <c r="A207" s="1" t="s">
        <v>219</v>
      </c>
      <c r="B207" s="4">
        <v>44989</v>
      </c>
      <c r="C207" s="1" t="s">
        <v>1419</v>
      </c>
      <c r="D207" s="1" t="s">
        <v>2409</v>
      </c>
      <c r="E207" s="1">
        <v>3</v>
      </c>
      <c r="F207" s="1">
        <v>147.38999999999999</v>
      </c>
      <c r="G207" s="1" t="s">
        <v>2591</v>
      </c>
      <c r="H207" s="1" t="s">
        <v>3065</v>
      </c>
      <c r="I207" s="1" t="s">
        <v>3072</v>
      </c>
      <c r="J207" s="1" t="s">
        <v>3280</v>
      </c>
      <c r="K207" s="1">
        <v>3</v>
      </c>
      <c r="L207" s="1" t="s">
        <v>4283</v>
      </c>
      <c r="M207" s="1" t="s">
        <v>4280</v>
      </c>
      <c r="N207" s="6" t="str">
        <f t="shared" si="7"/>
        <v>Mar</v>
      </c>
      <c r="O207" s="1">
        <v>442.17</v>
      </c>
      <c r="T207" s="4"/>
      <c r="U207" s="1" t="str">
        <f t="shared" si="8"/>
        <v>Normal</v>
      </c>
    </row>
    <row r="208" spans="1:21" x14ac:dyDescent="0.25">
      <c r="A208" s="1" t="s">
        <v>220</v>
      </c>
      <c r="B208" s="4">
        <v>45398</v>
      </c>
      <c r="C208" s="1" t="s">
        <v>1420</v>
      </c>
      <c r="D208" s="1" t="s">
        <v>2408</v>
      </c>
      <c r="E208" s="1">
        <v>4</v>
      </c>
      <c r="F208" s="1">
        <v>229.1</v>
      </c>
      <c r="G208" s="1" t="s">
        <v>2592</v>
      </c>
      <c r="H208" s="1" t="s">
        <v>3068</v>
      </c>
      <c r="I208" s="1" t="s">
        <v>3072</v>
      </c>
      <c r="J208" s="1" t="s">
        <v>3281</v>
      </c>
      <c r="K208" s="1">
        <v>8</v>
      </c>
      <c r="L208" s="1" t="s">
        <v>4277</v>
      </c>
      <c r="M208" s="1" t="s">
        <v>4280</v>
      </c>
      <c r="N208" s="6" t="str">
        <f t="shared" si="7"/>
        <v>Apr</v>
      </c>
      <c r="O208" s="1">
        <v>916.4</v>
      </c>
      <c r="T208" s="4"/>
      <c r="U208" s="1" t="str">
        <f t="shared" si="8"/>
        <v>Normal</v>
      </c>
    </row>
    <row r="209" spans="1:21" x14ac:dyDescent="0.25">
      <c r="A209" s="1" t="s">
        <v>221</v>
      </c>
      <c r="B209" s="4">
        <v>45734</v>
      </c>
      <c r="C209" s="1" t="s">
        <v>1421</v>
      </c>
      <c r="D209" s="1" t="s">
        <v>2404</v>
      </c>
      <c r="E209" s="1">
        <v>1</v>
      </c>
      <c r="F209" s="1">
        <v>121.96</v>
      </c>
      <c r="G209" s="1" t="s">
        <v>2593</v>
      </c>
      <c r="H209" s="1" t="s">
        <v>3065</v>
      </c>
      <c r="I209" s="1" t="s">
        <v>3073</v>
      </c>
      <c r="J209" s="1" t="s">
        <v>3282</v>
      </c>
      <c r="K209" s="1">
        <v>3</v>
      </c>
      <c r="L209" s="1" t="s">
        <v>4283</v>
      </c>
      <c r="M209" s="1" t="s">
        <v>4282</v>
      </c>
      <c r="N209" s="6" t="str">
        <f t="shared" si="7"/>
        <v>Mar</v>
      </c>
      <c r="O209" s="1">
        <v>121.96</v>
      </c>
      <c r="T209" s="4"/>
      <c r="U209" s="1" t="str">
        <f t="shared" si="8"/>
        <v>Normal</v>
      </c>
    </row>
    <row r="210" spans="1:21" x14ac:dyDescent="0.25">
      <c r="A210" s="1" t="s">
        <v>222</v>
      </c>
      <c r="B210" s="4">
        <v>45573</v>
      </c>
      <c r="C210" s="1" t="s">
        <v>1422</v>
      </c>
      <c r="D210" s="1" t="s">
        <v>2409</v>
      </c>
      <c r="E210" s="1">
        <v>2</v>
      </c>
      <c r="F210" s="1">
        <v>408.32</v>
      </c>
      <c r="G210" s="1" t="s">
        <v>2581</v>
      </c>
      <c r="H210" s="1" t="s">
        <v>3066</v>
      </c>
      <c r="I210" s="1" t="s">
        <v>3070</v>
      </c>
      <c r="J210" s="1" t="s">
        <v>3283</v>
      </c>
      <c r="K210" s="1">
        <v>3</v>
      </c>
      <c r="L210" s="1" t="s">
        <v>4276</v>
      </c>
      <c r="M210" s="1" t="s">
        <v>4281</v>
      </c>
      <c r="N210" s="6" t="str">
        <f t="shared" si="7"/>
        <v>Oct</v>
      </c>
      <c r="O210" s="1">
        <v>816.64</v>
      </c>
      <c r="T210" s="4"/>
      <c r="U210" s="1" t="str">
        <f t="shared" si="8"/>
        <v>Normal</v>
      </c>
    </row>
    <row r="211" spans="1:21" x14ac:dyDescent="0.25">
      <c r="A211" s="1" t="s">
        <v>223</v>
      </c>
      <c r="B211" s="4">
        <v>45167</v>
      </c>
      <c r="C211" s="1" t="s">
        <v>1423</v>
      </c>
      <c r="D211" s="1" t="s">
        <v>2405</v>
      </c>
      <c r="E211" s="1">
        <v>5</v>
      </c>
      <c r="F211" s="1">
        <v>187.97</v>
      </c>
      <c r="G211" s="1" t="s">
        <v>2417</v>
      </c>
      <c r="H211" s="1" t="s">
        <v>3069</v>
      </c>
      <c r="I211" s="1" t="s">
        <v>3072</v>
      </c>
      <c r="J211" s="1" t="s">
        <v>3284</v>
      </c>
      <c r="K211" s="1">
        <v>9</v>
      </c>
      <c r="L211" s="1" t="s">
        <v>4275</v>
      </c>
      <c r="M211" s="1" t="s">
        <v>4282</v>
      </c>
      <c r="N211" s="6" t="str">
        <f t="shared" si="7"/>
        <v>Aug</v>
      </c>
      <c r="O211" s="1">
        <v>939.85</v>
      </c>
      <c r="T211" s="4"/>
      <c r="U211" s="1" t="str">
        <f t="shared" si="8"/>
        <v>Normal</v>
      </c>
    </row>
    <row r="212" spans="1:21" x14ac:dyDescent="0.25">
      <c r="A212" s="1" t="s">
        <v>224</v>
      </c>
      <c r="B212" s="4">
        <v>45631</v>
      </c>
      <c r="C212" s="1" t="s">
        <v>1424</v>
      </c>
      <c r="D212" s="1" t="s">
        <v>2406</v>
      </c>
      <c r="E212" s="1">
        <v>3</v>
      </c>
      <c r="F212" s="1">
        <v>358.48</v>
      </c>
      <c r="G212" s="1" t="s">
        <v>2532</v>
      </c>
      <c r="H212" s="1" t="s">
        <v>3068</v>
      </c>
      <c r="I212" s="1" t="s">
        <v>3073</v>
      </c>
      <c r="J212" s="1" t="s">
        <v>3285</v>
      </c>
      <c r="K212" s="1">
        <v>7</v>
      </c>
      <c r="L212" s="1" t="s">
        <v>4276</v>
      </c>
      <c r="M212" s="1" t="s">
        <v>4281</v>
      </c>
      <c r="N212" s="6" t="str">
        <f t="shared" si="7"/>
        <v>Dec</v>
      </c>
      <c r="O212" s="1">
        <v>1075.44</v>
      </c>
      <c r="T212" s="4"/>
      <c r="U212" s="1" t="str">
        <f t="shared" si="8"/>
        <v>Normal</v>
      </c>
    </row>
    <row r="213" spans="1:21" x14ac:dyDescent="0.25">
      <c r="A213" s="1" t="s">
        <v>225</v>
      </c>
      <c r="B213" s="4">
        <v>45660</v>
      </c>
      <c r="C213" s="1" t="s">
        <v>1425</v>
      </c>
      <c r="D213" s="1" t="s">
        <v>2407</v>
      </c>
      <c r="E213" s="1">
        <v>3</v>
      </c>
      <c r="F213" s="1">
        <v>193.58</v>
      </c>
      <c r="G213" s="1" t="s">
        <v>2594</v>
      </c>
      <c r="H213" s="1" t="s">
        <v>3068</v>
      </c>
      <c r="I213" s="1" t="s">
        <v>3074</v>
      </c>
      <c r="J213" s="1" t="s">
        <v>3286</v>
      </c>
      <c r="K213" s="1">
        <v>7</v>
      </c>
      <c r="L213" s="1" t="s">
        <v>4276</v>
      </c>
      <c r="M213" s="1" t="s">
        <v>4280</v>
      </c>
      <c r="N213" s="6" t="str">
        <f t="shared" si="7"/>
        <v>Jan</v>
      </c>
      <c r="O213" s="1">
        <v>580.74</v>
      </c>
      <c r="T213" s="4"/>
      <c r="U213" s="1" t="str">
        <f t="shared" si="8"/>
        <v>Normal</v>
      </c>
    </row>
    <row r="214" spans="1:21" x14ac:dyDescent="0.25">
      <c r="A214" s="1" t="s">
        <v>226</v>
      </c>
      <c r="B214" s="4">
        <v>45097</v>
      </c>
      <c r="C214" s="1" t="s">
        <v>1426</v>
      </c>
      <c r="D214" s="1" t="s">
        <v>2403</v>
      </c>
      <c r="E214" s="1">
        <v>1</v>
      </c>
      <c r="F214" s="1">
        <v>265.38</v>
      </c>
      <c r="G214" s="1" t="s">
        <v>2595</v>
      </c>
      <c r="H214" s="1" t="s">
        <v>3067</v>
      </c>
      <c r="I214" s="1" t="s">
        <v>3071</v>
      </c>
      <c r="J214" s="1" t="s">
        <v>3287</v>
      </c>
      <c r="K214" s="1">
        <v>6</v>
      </c>
      <c r="L214" s="1" t="s">
        <v>4277</v>
      </c>
      <c r="M214" s="1" t="s">
        <v>4280</v>
      </c>
      <c r="N214" s="6" t="str">
        <f t="shared" si="7"/>
        <v>Jun</v>
      </c>
      <c r="O214" s="1">
        <v>265.38</v>
      </c>
      <c r="T214" s="4"/>
      <c r="U214" s="1" t="str">
        <f t="shared" si="8"/>
        <v>Normal</v>
      </c>
    </row>
    <row r="215" spans="1:21" x14ac:dyDescent="0.25">
      <c r="A215" s="1" t="s">
        <v>227</v>
      </c>
      <c r="B215" s="4">
        <v>45036</v>
      </c>
      <c r="C215" s="1" t="s">
        <v>1427</v>
      </c>
      <c r="D215" s="1" t="s">
        <v>2408</v>
      </c>
      <c r="E215" s="1">
        <v>1</v>
      </c>
      <c r="F215" s="1">
        <v>634.4</v>
      </c>
      <c r="G215" s="1" t="s">
        <v>2596</v>
      </c>
      <c r="H215" s="1" t="s">
        <v>3069</v>
      </c>
      <c r="I215" s="1" t="s">
        <v>3071</v>
      </c>
      <c r="J215" s="1" t="s">
        <v>3288</v>
      </c>
      <c r="K215" s="1">
        <v>6</v>
      </c>
      <c r="L215" s="1" t="s">
        <v>4275</v>
      </c>
      <c r="M215" s="1" t="s">
        <v>4280</v>
      </c>
      <c r="N215" s="6" t="str">
        <f t="shared" si="7"/>
        <v>Apr</v>
      </c>
      <c r="O215" s="1">
        <v>634.4</v>
      </c>
      <c r="T215" s="4"/>
      <c r="U215" s="1" t="str">
        <f t="shared" si="8"/>
        <v>Normal</v>
      </c>
    </row>
    <row r="216" spans="1:21" x14ac:dyDescent="0.25">
      <c r="A216" s="1" t="s">
        <v>228</v>
      </c>
      <c r="B216" s="4">
        <v>45525</v>
      </c>
      <c r="C216" s="1" t="s">
        <v>1428</v>
      </c>
      <c r="D216" s="1" t="s">
        <v>2409</v>
      </c>
      <c r="E216" s="1">
        <v>4</v>
      </c>
      <c r="F216" s="1">
        <v>305.72000000000003</v>
      </c>
      <c r="G216" s="1" t="s">
        <v>2523</v>
      </c>
      <c r="H216" s="1" t="s">
        <v>3066</v>
      </c>
      <c r="I216" s="1" t="s">
        <v>3073</v>
      </c>
      <c r="J216" s="1" t="s">
        <v>3289</v>
      </c>
      <c r="K216" s="1">
        <v>5</v>
      </c>
      <c r="L216" s="1" t="s">
        <v>4283</v>
      </c>
      <c r="M216" s="1" t="s">
        <v>4281</v>
      </c>
      <c r="N216" s="6" t="str">
        <f t="shared" si="7"/>
        <v>Aug</v>
      </c>
      <c r="O216" s="1">
        <v>1222.8800000000001</v>
      </c>
      <c r="T216" s="4"/>
      <c r="U216" s="1" t="str">
        <f t="shared" si="8"/>
        <v>Normal</v>
      </c>
    </row>
    <row r="217" spans="1:21" x14ac:dyDescent="0.25">
      <c r="A217" s="1" t="s">
        <v>229</v>
      </c>
      <c r="B217" s="4">
        <v>45148</v>
      </c>
      <c r="C217" s="1" t="s">
        <v>1429</v>
      </c>
      <c r="D217" s="1" t="s">
        <v>2407</v>
      </c>
      <c r="E217" s="1">
        <v>1</v>
      </c>
      <c r="F217" s="1">
        <v>303.60000000000002</v>
      </c>
      <c r="G217" s="1" t="s">
        <v>2597</v>
      </c>
      <c r="H217" s="1" t="s">
        <v>3069</v>
      </c>
      <c r="I217" s="1" t="s">
        <v>3070</v>
      </c>
      <c r="J217" s="1" t="s">
        <v>3290</v>
      </c>
      <c r="K217" s="1">
        <v>5</v>
      </c>
      <c r="L217" s="1" t="s">
        <v>4276</v>
      </c>
      <c r="M217" s="1" t="s">
        <v>4281</v>
      </c>
      <c r="N217" s="6" t="str">
        <f t="shared" si="7"/>
        <v>Aug</v>
      </c>
      <c r="O217" s="1">
        <v>303.60000000000002</v>
      </c>
      <c r="T217" s="4"/>
      <c r="U217" s="1" t="str">
        <f t="shared" si="8"/>
        <v>Normal</v>
      </c>
    </row>
    <row r="218" spans="1:21" x14ac:dyDescent="0.25">
      <c r="A218" s="1" t="s">
        <v>230</v>
      </c>
      <c r="B218" s="4">
        <v>45762</v>
      </c>
      <c r="C218" s="1" t="s">
        <v>1430</v>
      </c>
      <c r="D218" s="1" t="s">
        <v>2403</v>
      </c>
      <c r="E218" s="1">
        <v>4</v>
      </c>
      <c r="F218" s="1">
        <v>496</v>
      </c>
      <c r="G218" s="1" t="s">
        <v>2465</v>
      </c>
      <c r="H218" s="1" t="s">
        <v>3066</v>
      </c>
      <c r="I218" s="1" t="s">
        <v>3071</v>
      </c>
      <c r="J218" s="1" t="s">
        <v>3291</v>
      </c>
      <c r="K218" s="1">
        <v>8</v>
      </c>
      <c r="L218" s="1" t="s">
        <v>4277</v>
      </c>
      <c r="M218" s="1" t="s">
        <v>4282</v>
      </c>
      <c r="N218" s="6" t="str">
        <f t="shared" si="7"/>
        <v>Apr</v>
      </c>
      <c r="O218" s="1">
        <v>1984</v>
      </c>
      <c r="T218" s="4"/>
      <c r="U218" s="1" t="str">
        <f t="shared" si="8"/>
        <v>Normal</v>
      </c>
    </row>
    <row r="219" spans="1:21" x14ac:dyDescent="0.25">
      <c r="A219" s="1" t="s">
        <v>231</v>
      </c>
      <c r="B219" s="4">
        <v>45432</v>
      </c>
      <c r="C219" s="1" t="s">
        <v>1431</v>
      </c>
      <c r="D219" s="1" t="s">
        <v>2409</v>
      </c>
      <c r="E219" s="1">
        <v>4</v>
      </c>
      <c r="F219" s="1">
        <v>321.51</v>
      </c>
      <c r="G219" s="1" t="s">
        <v>2598</v>
      </c>
      <c r="H219" s="1" t="s">
        <v>3069</v>
      </c>
      <c r="I219" s="1" t="s">
        <v>3072</v>
      </c>
      <c r="J219" s="1" t="s">
        <v>3292</v>
      </c>
      <c r="K219" s="1">
        <v>9</v>
      </c>
      <c r="L219" s="1" t="s">
        <v>4283</v>
      </c>
      <c r="M219" s="1" t="s">
        <v>4282</v>
      </c>
      <c r="N219" s="6" t="str">
        <f t="shared" si="7"/>
        <v>May</v>
      </c>
      <c r="O219" s="1">
        <v>1286.04</v>
      </c>
      <c r="T219" s="4"/>
      <c r="U219" s="1" t="str">
        <f t="shared" si="8"/>
        <v>Normal</v>
      </c>
    </row>
    <row r="220" spans="1:21" x14ac:dyDescent="0.25">
      <c r="A220" s="1" t="s">
        <v>232</v>
      </c>
      <c r="B220" s="4">
        <v>45044</v>
      </c>
      <c r="C220" s="1" t="s">
        <v>1432</v>
      </c>
      <c r="D220" s="1" t="s">
        <v>2405</v>
      </c>
      <c r="E220" s="1">
        <v>3</v>
      </c>
      <c r="F220" s="1">
        <v>112.46</v>
      </c>
      <c r="G220" s="1" t="s">
        <v>2599</v>
      </c>
      <c r="H220" s="1" t="s">
        <v>3068</v>
      </c>
      <c r="I220" s="1" t="s">
        <v>3070</v>
      </c>
      <c r="J220" s="1" t="s">
        <v>3293</v>
      </c>
      <c r="K220" s="1">
        <v>6</v>
      </c>
      <c r="L220" s="1" t="s">
        <v>4275</v>
      </c>
      <c r="M220" s="1" t="s">
        <v>4278</v>
      </c>
      <c r="N220" s="6" t="str">
        <f t="shared" si="7"/>
        <v>Apr</v>
      </c>
      <c r="O220" s="1">
        <v>337.38</v>
      </c>
      <c r="T220" s="4"/>
      <c r="U220" s="1" t="str">
        <f t="shared" si="8"/>
        <v>Normal</v>
      </c>
    </row>
    <row r="221" spans="1:21" x14ac:dyDescent="0.25">
      <c r="A221" s="1" t="s">
        <v>233</v>
      </c>
      <c r="B221" s="4">
        <v>45779</v>
      </c>
      <c r="C221" s="1" t="s">
        <v>1433</v>
      </c>
      <c r="D221" s="1" t="s">
        <v>2408</v>
      </c>
      <c r="E221" s="1">
        <v>5</v>
      </c>
      <c r="F221" s="1">
        <v>61.97</v>
      </c>
      <c r="G221" s="1" t="s">
        <v>2600</v>
      </c>
      <c r="H221" s="1" t="s">
        <v>3069</v>
      </c>
      <c r="I221" s="1" t="s">
        <v>3073</v>
      </c>
      <c r="J221" s="1" t="s">
        <v>3294</v>
      </c>
      <c r="K221" s="1">
        <v>6</v>
      </c>
      <c r="L221" s="1" t="s">
        <v>4275</v>
      </c>
      <c r="M221" s="1" t="s">
        <v>4280</v>
      </c>
      <c r="N221" s="6" t="str">
        <f t="shared" si="7"/>
        <v>May</v>
      </c>
      <c r="O221" s="1">
        <v>309.85000000000002</v>
      </c>
      <c r="T221" s="4"/>
      <c r="U221" s="1" t="str">
        <f t="shared" si="8"/>
        <v>Normal</v>
      </c>
    </row>
    <row r="222" spans="1:21" x14ac:dyDescent="0.25">
      <c r="A222" s="1" t="s">
        <v>234</v>
      </c>
      <c r="B222" s="4">
        <v>45125</v>
      </c>
      <c r="C222" s="1" t="s">
        <v>1434</v>
      </c>
      <c r="D222" s="1" t="s">
        <v>2408</v>
      </c>
      <c r="E222" s="1">
        <v>2</v>
      </c>
      <c r="F222" s="1">
        <v>373.17</v>
      </c>
      <c r="G222" s="1" t="s">
        <v>2601</v>
      </c>
      <c r="H222" s="1" t="s">
        <v>3067</v>
      </c>
      <c r="I222" s="1" t="s">
        <v>3074</v>
      </c>
      <c r="J222" s="1" t="s">
        <v>3295</v>
      </c>
      <c r="K222" s="1">
        <v>6</v>
      </c>
      <c r="L222" s="1" t="s">
        <v>4275</v>
      </c>
      <c r="M222" s="1" t="s">
        <v>4279</v>
      </c>
      <c r="N222" s="6" t="str">
        <f t="shared" si="7"/>
        <v>Jul</v>
      </c>
      <c r="O222" s="1">
        <v>746.34</v>
      </c>
      <c r="T222" s="4"/>
      <c r="U222" s="1" t="str">
        <f t="shared" si="8"/>
        <v>Normal</v>
      </c>
    </row>
    <row r="223" spans="1:21" x14ac:dyDescent="0.25">
      <c r="A223" s="1" t="s">
        <v>235</v>
      </c>
      <c r="B223" s="4">
        <v>45345</v>
      </c>
      <c r="C223" s="1" t="s">
        <v>1435</v>
      </c>
      <c r="D223" s="1" t="s">
        <v>2405</v>
      </c>
      <c r="E223" s="1">
        <v>5</v>
      </c>
      <c r="F223" s="1">
        <v>639.37</v>
      </c>
      <c r="G223" s="1" t="s">
        <v>2474</v>
      </c>
      <c r="H223" s="1" t="s">
        <v>3065</v>
      </c>
      <c r="I223" s="1" t="s">
        <v>3074</v>
      </c>
      <c r="J223" s="1" t="s">
        <v>3296</v>
      </c>
      <c r="K223" s="1">
        <v>6</v>
      </c>
      <c r="L223" s="1" t="s">
        <v>4275</v>
      </c>
      <c r="M223" s="1" t="s">
        <v>4282</v>
      </c>
      <c r="N223" s="6" t="str">
        <f t="shared" si="7"/>
        <v>Feb</v>
      </c>
      <c r="O223" s="1">
        <v>3196.85</v>
      </c>
      <c r="T223" s="4"/>
      <c r="U223" s="1" t="str">
        <f t="shared" si="8"/>
        <v>Normal</v>
      </c>
    </row>
    <row r="224" spans="1:21" x14ac:dyDescent="0.25">
      <c r="A224" s="1" t="s">
        <v>236</v>
      </c>
      <c r="B224" s="4">
        <v>45050</v>
      </c>
      <c r="C224" s="1" t="s">
        <v>1436</v>
      </c>
      <c r="D224" s="1" t="s">
        <v>2406</v>
      </c>
      <c r="E224" s="1">
        <v>4</v>
      </c>
      <c r="F224" s="1">
        <v>693.36</v>
      </c>
      <c r="G224" s="1" t="s">
        <v>2602</v>
      </c>
      <c r="H224" s="1" t="s">
        <v>3066</v>
      </c>
      <c r="I224" s="1" t="s">
        <v>3070</v>
      </c>
      <c r="J224" s="1" t="s">
        <v>3297</v>
      </c>
      <c r="K224" s="1">
        <v>8</v>
      </c>
      <c r="L224" s="1" t="s">
        <v>4283</v>
      </c>
      <c r="M224" s="1" t="s">
        <v>4278</v>
      </c>
      <c r="N224" s="6" t="str">
        <f t="shared" si="7"/>
        <v>May</v>
      </c>
      <c r="O224" s="1">
        <v>2773.44</v>
      </c>
      <c r="T224" s="4"/>
      <c r="U224" s="1" t="str">
        <f t="shared" si="8"/>
        <v>Normal</v>
      </c>
    </row>
    <row r="225" spans="1:21" x14ac:dyDescent="0.25">
      <c r="A225" s="1" t="s">
        <v>237</v>
      </c>
      <c r="B225" s="4">
        <v>45546</v>
      </c>
      <c r="C225" s="1" t="s">
        <v>1437</v>
      </c>
      <c r="D225" s="1" t="s">
        <v>2404</v>
      </c>
      <c r="E225" s="1">
        <v>4</v>
      </c>
      <c r="F225" s="1">
        <v>692.91</v>
      </c>
      <c r="G225" s="1" t="s">
        <v>2523</v>
      </c>
      <c r="H225" s="1" t="s">
        <v>3067</v>
      </c>
      <c r="I225" s="1" t="s">
        <v>3074</v>
      </c>
      <c r="J225" s="1" t="s">
        <v>3298</v>
      </c>
      <c r="K225" s="1">
        <v>9</v>
      </c>
      <c r="L225" s="1" t="s">
        <v>4275</v>
      </c>
      <c r="M225" s="1" t="s">
        <v>4278</v>
      </c>
      <c r="N225" s="6" t="str">
        <f t="shared" si="7"/>
        <v>Sep</v>
      </c>
      <c r="O225" s="1">
        <v>2771.64</v>
      </c>
      <c r="T225" s="4"/>
      <c r="U225" s="1" t="str">
        <f t="shared" si="8"/>
        <v>Normal</v>
      </c>
    </row>
    <row r="226" spans="1:21" x14ac:dyDescent="0.25">
      <c r="A226" s="1" t="s">
        <v>238</v>
      </c>
      <c r="B226" s="4">
        <v>45192</v>
      </c>
      <c r="C226" s="1" t="s">
        <v>1438</v>
      </c>
      <c r="D226" s="1" t="s">
        <v>2407</v>
      </c>
      <c r="E226" s="1">
        <v>4</v>
      </c>
      <c r="F226" s="1">
        <v>91.46</v>
      </c>
      <c r="G226" s="1" t="s">
        <v>2603</v>
      </c>
      <c r="H226" s="1" t="s">
        <v>3069</v>
      </c>
      <c r="I226" s="1" t="s">
        <v>3071</v>
      </c>
      <c r="J226" s="1" t="s">
        <v>3299</v>
      </c>
      <c r="K226" s="1">
        <v>9</v>
      </c>
      <c r="L226" s="1" t="s">
        <v>4275</v>
      </c>
      <c r="M226" s="1" t="s">
        <v>4279</v>
      </c>
      <c r="N226" s="6" t="str">
        <f t="shared" si="7"/>
        <v>Sep</v>
      </c>
      <c r="O226" s="1">
        <v>365.84</v>
      </c>
      <c r="T226" s="4"/>
      <c r="U226" s="1" t="str">
        <f t="shared" si="8"/>
        <v>Normal</v>
      </c>
    </row>
    <row r="227" spans="1:21" x14ac:dyDescent="0.25">
      <c r="A227" s="1" t="s">
        <v>239</v>
      </c>
      <c r="B227" s="4">
        <v>45364</v>
      </c>
      <c r="C227" s="1" t="s">
        <v>1439</v>
      </c>
      <c r="D227" s="1" t="s">
        <v>2404</v>
      </c>
      <c r="E227" s="1">
        <v>3</v>
      </c>
      <c r="F227" s="1">
        <v>273.95999999999998</v>
      </c>
      <c r="G227" s="1" t="s">
        <v>2604</v>
      </c>
      <c r="H227" s="1" t="s">
        <v>3065</v>
      </c>
      <c r="I227" s="1" t="s">
        <v>3072</v>
      </c>
      <c r="J227" s="1" t="s">
        <v>3300</v>
      </c>
      <c r="K227" s="1">
        <v>8</v>
      </c>
      <c r="L227" s="1" t="s">
        <v>4275</v>
      </c>
      <c r="M227" s="1" t="s">
        <v>4282</v>
      </c>
      <c r="N227" s="6" t="str">
        <f t="shared" si="7"/>
        <v>Mar</v>
      </c>
      <c r="O227" s="1">
        <v>821.87999999999988</v>
      </c>
      <c r="T227" s="4"/>
      <c r="U227" s="1" t="str">
        <f t="shared" si="8"/>
        <v>Normal</v>
      </c>
    </row>
    <row r="228" spans="1:21" x14ac:dyDescent="0.25">
      <c r="A228" s="1" t="s">
        <v>240</v>
      </c>
      <c r="B228" s="4">
        <v>45835</v>
      </c>
      <c r="C228" s="1" t="s">
        <v>1440</v>
      </c>
      <c r="D228" s="1" t="s">
        <v>2409</v>
      </c>
      <c r="E228" s="1">
        <v>3</v>
      </c>
      <c r="F228" s="1">
        <v>588.04999999999995</v>
      </c>
      <c r="G228" s="1" t="s">
        <v>2605</v>
      </c>
      <c r="H228" s="1" t="s">
        <v>3068</v>
      </c>
      <c r="I228" s="1" t="s">
        <v>3073</v>
      </c>
      <c r="J228" s="1" t="s">
        <v>3301</v>
      </c>
      <c r="K228" s="1">
        <v>8</v>
      </c>
      <c r="L228" s="1" t="s">
        <v>4283</v>
      </c>
      <c r="M228" s="1" t="s">
        <v>4278</v>
      </c>
      <c r="N228" s="6" t="str">
        <f t="shared" si="7"/>
        <v>Jun</v>
      </c>
      <c r="O228" s="1">
        <v>1764.15</v>
      </c>
      <c r="T228" s="4"/>
      <c r="U228" s="1" t="str">
        <f t="shared" si="8"/>
        <v>Normal</v>
      </c>
    </row>
    <row r="229" spans="1:21" x14ac:dyDescent="0.25">
      <c r="A229" s="1" t="s">
        <v>241</v>
      </c>
      <c r="B229" s="4">
        <v>45232</v>
      </c>
      <c r="C229" s="1" t="s">
        <v>1441</v>
      </c>
      <c r="D229" s="1" t="s">
        <v>2403</v>
      </c>
      <c r="E229" s="1">
        <v>2</v>
      </c>
      <c r="F229" s="1">
        <v>365.17</v>
      </c>
      <c r="G229" s="1" t="s">
        <v>2528</v>
      </c>
      <c r="H229" s="1" t="s">
        <v>3066</v>
      </c>
      <c r="I229" s="1" t="s">
        <v>3071</v>
      </c>
      <c r="J229" s="1" t="s">
        <v>3302</v>
      </c>
      <c r="K229" s="1">
        <v>4</v>
      </c>
      <c r="L229" s="1" t="s">
        <v>4276</v>
      </c>
      <c r="M229" s="1" t="s">
        <v>4281</v>
      </c>
      <c r="N229" s="6" t="str">
        <f t="shared" si="7"/>
        <v>Nov</v>
      </c>
      <c r="O229" s="1">
        <v>730.34</v>
      </c>
      <c r="T229" s="4"/>
      <c r="U229" s="1" t="str">
        <f t="shared" si="8"/>
        <v>Normal</v>
      </c>
    </row>
    <row r="230" spans="1:21" x14ac:dyDescent="0.25">
      <c r="A230" s="1" t="s">
        <v>242</v>
      </c>
      <c r="B230" s="4">
        <v>45063</v>
      </c>
      <c r="C230" s="1" t="s">
        <v>1442</v>
      </c>
      <c r="D230" s="1" t="s">
        <v>2406</v>
      </c>
      <c r="E230" s="1">
        <v>4</v>
      </c>
      <c r="F230" s="1">
        <v>385.92</v>
      </c>
      <c r="G230" s="1" t="s">
        <v>2606</v>
      </c>
      <c r="H230" s="1" t="s">
        <v>3067</v>
      </c>
      <c r="I230" s="1" t="s">
        <v>3071</v>
      </c>
      <c r="J230" s="1" t="s">
        <v>3303</v>
      </c>
      <c r="K230" s="1">
        <v>8</v>
      </c>
      <c r="L230" s="1" t="s">
        <v>4283</v>
      </c>
      <c r="M230" s="1" t="s">
        <v>4278</v>
      </c>
      <c r="N230" s="6" t="str">
        <f t="shared" si="7"/>
        <v>May</v>
      </c>
      <c r="O230" s="1">
        <v>1543.68</v>
      </c>
      <c r="T230" s="4"/>
      <c r="U230" s="1" t="str">
        <f t="shared" si="8"/>
        <v>Normal</v>
      </c>
    </row>
    <row r="231" spans="1:21" x14ac:dyDescent="0.25">
      <c r="A231" s="1" t="s">
        <v>243</v>
      </c>
      <c r="B231" s="4">
        <v>45744</v>
      </c>
      <c r="C231" s="1" t="s">
        <v>1443</v>
      </c>
      <c r="D231" s="1" t="s">
        <v>2405</v>
      </c>
      <c r="E231" s="1">
        <v>1</v>
      </c>
      <c r="F231" s="1">
        <v>562.61</v>
      </c>
      <c r="G231" s="1" t="s">
        <v>2607</v>
      </c>
      <c r="H231" s="1" t="s">
        <v>3067</v>
      </c>
      <c r="I231" s="1" t="s">
        <v>3073</v>
      </c>
      <c r="J231" s="1" t="s">
        <v>3304</v>
      </c>
      <c r="K231" s="1">
        <v>3</v>
      </c>
      <c r="L231" s="1" t="s">
        <v>4277</v>
      </c>
      <c r="M231" s="1" t="s">
        <v>4281</v>
      </c>
      <c r="N231" s="6" t="str">
        <f t="shared" si="7"/>
        <v>Mar</v>
      </c>
      <c r="O231" s="1">
        <v>562.61</v>
      </c>
      <c r="T231" s="4"/>
      <c r="U231" s="1" t="str">
        <f t="shared" si="8"/>
        <v>Normal</v>
      </c>
    </row>
    <row r="232" spans="1:21" x14ac:dyDescent="0.25">
      <c r="A232" s="1" t="s">
        <v>244</v>
      </c>
      <c r="B232" s="4">
        <v>45276</v>
      </c>
      <c r="C232" s="1" t="s">
        <v>1444</v>
      </c>
      <c r="D232" s="1" t="s">
        <v>2409</v>
      </c>
      <c r="E232" s="1">
        <v>4</v>
      </c>
      <c r="F232" s="1">
        <v>61.91</v>
      </c>
      <c r="G232" s="1" t="s">
        <v>2608</v>
      </c>
      <c r="H232" s="1" t="s">
        <v>3068</v>
      </c>
      <c r="I232" s="1" t="s">
        <v>3073</v>
      </c>
      <c r="J232" s="1" t="s">
        <v>3305</v>
      </c>
      <c r="K232" s="1">
        <v>6</v>
      </c>
      <c r="L232" s="1" t="s">
        <v>4277</v>
      </c>
      <c r="M232" s="1" t="s">
        <v>4280</v>
      </c>
      <c r="N232" s="6" t="str">
        <f t="shared" si="7"/>
        <v>Dec</v>
      </c>
      <c r="O232" s="1">
        <v>247.64</v>
      </c>
      <c r="T232" s="4"/>
      <c r="U232" s="1" t="str">
        <f t="shared" si="8"/>
        <v>Normal</v>
      </c>
    </row>
    <row r="233" spans="1:21" x14ac:dyDescent="0.25">
      <c r="A233" s="1" t="s">
        <v>245</v>
      </c>
      <c r="B233" s="4">
        <v>45235</v>
      </c>
      <c r="C233" s="1" t="s">
        <v>1445</v>
      </c>
      <c r="D233" s="1" t="s">
        <v>2404</v>
      </c>
      <c r="E233" s="1">
        <v>4</v>
      </c>
      <c r="F233" s="1">
        <v>41.9</v>
      </c>
      <c r="G233" s="1" t="s">
        <v>2609</v>
      </c>
      <c r="H233" s="1" t="s">
        <v>3068</v>
      </c>
      <c r="I233" s="1" t="s">
        <v>3074</v>
      </c>
      <c r="J233" s="1" t="s">
        <v>3306</v>
      </c>
      <c r="K233" s="1">
        <v>9</v>
      </c>
      <c r="L233" s="1" t="s">
        <v>4276</v>
      </c>
      <c r="M233" s="1" t="s">
        <v>4278</v>
      </c>
      <c r="N233" s="6" t="str">
        <f t="shared" si="7"/>
        <v>Nov</v>
      </c>
      <c r="O233" s="1">
        <v>167.6</v>
      </c>
      <c r="T233" s="4"/>
      <c r="U233" s="1" t="str">
        <f t="shared" si="8"/>
        <v>Normal</v>
      </c>
    </row>
    <row r="234" spans="1:21" x14ac:dyDescent="0.25">
      <c r="A234" s="1" t="s">
        <v>246</v>
      </c>
      <c r="B234" s="4">
        <v>45065</v>
      </c>
      <c r="C234" s="1" t="s">
        <v>1446</v>
      </c>
      <c r="D234" s="1" t="s">
        <v>2407</v>
      </c>
      <c r="E234" s="1">
        <v>4</v>
      </c>
      <c r="F234" s="1">
        <v>444.44</v>
      </c>
      <c r="G234" s="1" t="s">
        <v>2610</v>
      </c>
      <c r="H234" s="1" t="s">
        <v>3065</v>
      </c>
      <c r="I234" s="1" t="s">
        <v>3071</v>
      </c>
      <c r="J234" s="1" t="s">
        <v>3307</v>
      </c>
      <c r="K234" s="1">
        <v>8</v>
      </c>
      <c r="L234" s="1" t="s">
        <v>4277</v>
      </c>
      <c r="M234" s="1" t="s">
        <v>4282</v>
      </c>
      <c r="N234" s="6" t="str">
        <f t="shared" si="7"/>
        <v>May</v>
      </c>
      <c r="O234" s="1">
        <v>1777.76</v>
      </c>
      <c r="T234" s="4"/>
      <c r="U234" s="1" t="str">
        <f t="shared" si="8"/>
        <v>Normal</v>
      </c>
    </row>
    <row r="235" spans="1:21" x14ac:dyDescent="0.25">
      <c r="A235" s="1" t="s">
        <v>247</v>
      </c>
      <c r="B235" s="4">
        <v>45528</v>
      </c>
      <c r="C235" s="1" t="s">
        <v>1447</v>
      </c>
      <c r="D235" s="1" t="s">
        <v>2404</v>
      </c>
      <c r="E235" s="1">
        <v>3</v>
      </c>
      <c r="F235" s="1">
        <v>311.33</v>
      </c>
      <c r="G235" s="1" t="s">
        <v>2482</v>
      </c>
      <c r="H235" s="1" t="s">
        <v>3069</v>
      </c>
      <c r="I235" s="1" t="s">
        <v>3071</v>
      </c>
      <c r="J235" s="1" t="s">
        <v>3308</v>
      </c>
      <c r="K235" s="1">
        <v>3</v>
      </c>
      <c r="L235" s="1" t="s">
        <v>4277</v>
      </c>
      <c r="M235" s="1" t="s">
        <v>4278</v>
      </c>
      <c r="N235" s="6" t="str">
        <f t="shared" si="7"/>
        <v>Aug</v>
      </c>
      <c r="O235" s="1">
        <v>933.99</v>
      </c>
      <c r="T235" s="4"/>
      <c r="U235" s="1" t="str">
        <f t="shared" si="8"/>
        <v>Normal</v>
      </c>
    </row>
    <row r="236" spans="1:21" x14ac:dyDescent="0.25">
      <c r="A236" s="1" t="s">
        <v>248</v>
      </c>
      <c r="B236" s="4">
        <v>45622</v>
      </c>
      <c r="C236" s="1" t="s">
        <v>1448</v>
      </c>
      <c r="D236" s="1" t="s">
        <v>2407</v>
      </c>
      <c r="E236" s="1">
        <v>4</v>
      </c>
      <c r="F236" s="1">
        <v>236.41</v>
      </c>
      <c r="G236" s="1" t="s">
        <v>2611</v>
      </c>
      <c r="H236" s="1" t="s">
        <v>3065</v>
      </c>
      <c r="I236" s="1" t="s">
        <v>3074</v>
      </c>
      <c r="J236" s="1" t="s">
        <v>3309</v>
      </c>
      <c r="K236" s="1">
        <v>7</v>
      </c>
      <c r="L236" s="1" t="s">
        <v>4275</v>
      </c>
      <c r="M236" s="1" t="s">
        <v>4282</v>
      </c>
      <c r="N236" s="6" t="str">
        <f t="shared" si="7"/>
        <v>Nov</v>
      </c>
      <c r="O236" s="1">
        <v>945.64</v>
      </c>
      <c r="T236" s="4"/>
      <c r="U236" s="1" t="str">
        <f t="shared" si="8"/>
        <v>Normal</v>
      </c>
    </row>
    <row r="237" spans="1:21" x14ac:dyDescent="0.25">
      <c r="A237" s="1" t="s">
        <v>249</v>
      </c>
      <c r="B237" s="4">
        <v>44977</v>
      </c>
      <c r="C237" s="1" t="s">
        <v>1449</v>
      </c>
      <c r="D237" s="1" t="s">
        <v>2409</v>
      </c>
      <c r="E237" s="1">
        <v>1</v>
      </c>
      <c r="F237" s="1">
        <v>65.45</v>
      </c>
      <c r="G237" s="1" t="s">
        <v>2612</v>
      </c>
      <c r="H237" s="1" t="s">
        <v>3069</v>
      </c>
      <c r="I237" s="1" t="s">
        <v>3074</v>
      </c>
      <c r="J237" s="1" t="s">
        <v>3310</v>
      </c>
      <c r="K237" s="1">
        <v>2</v>
      </c>
      <c r="L237" s="1" t="s">
        <v>4277</v>
      </c>
      <c r="M237" s="1" t="s">
        <v>4282</v>
      </c>
      <c r="N237" s="6" t="str">
        <f t="shared" si="7"/>
        <v>Feb</v>
      </c>
      <c r="O237" s="1">
        <v>65.45</v>
      </c>
      <c r="T237" s="4"/>
      <c r="U237" s="1" t="str">
        <f t="shared" si="8"/>
        <v>Normal</v>
      </c>
    </row>
    <row r="238" spans="1:21" x14ac:dyDescent="0.25">
      <c r="A238" s="1" t="s">
        <v>250</v>
      </c>
      <c r="B238" s="4">
        <v>44927</v>
      </c>
      <c r="C238" s="1" t="s">
        <v>1450</v>
      </c>
      <c r="D238" s="1" t="s">
        <v>2403</v>
      </c>
      <c r="E238" s="1">
        <v>1</v>
      </c>
      <c r="F238" s="1">
        <v>318.81</v>
      </c>
      <c r="G238" s="1" t="s">
        <v>2613</v>
      </c>
      <c r="H238" s="1" t="s">
        <v>3065</v>
      </c>
      <c r="I238" s="1" t="s">
        <v>3074</v>
      </c>
      <c r="J238" s="1" t="s">
        <v>3311</v>
      </c>
      <c r="K238" s="1">
        <v>3</v>
      </c>
      <c r="L238" s="1" t="s">
        <v>4277</v>
      </c>
      <c r="M238" s="1" t="s">
        <v>4280</v>
      </c>
      <c r="N238" s="6" t="str">
        <f t="shared" si="7"/>
        <v>Jan</v>
      </c>
      <c r="O238" s="1">
        <v>318.81</v>
      </c>
      <c r="T238" s="4"/>
      <c r="U238" s="1" t="str">
        <f t="shared" si="8"/>
        <v>Normal</v>
      </c>
    </row>
    <row r="239" spans="1:21" x14ac:dyDescent="0.25">
      <c r="A239" s="1" t="s">
        <v>251</v>
      </c>
      <c r="B239" s="4">
        <v>45365</v>
      </c>
      <c r="C239" s="1" t="s">
        <v>1451</v>
      </c>
      <c r="D239" s="1" t="s">
        <v>2403</v>
      </c>
      <c r="E239" s="1">
        <v>3</v>
      </c>
      <c r="F239" s="1">
        <v>583.72</v>
      </c>
      <c r="G239" s="1" t="s">
        <v>2614</v>
      </c>
      <c r="H239" s="1" t="s">
        <v>3067</v>
      </c>
      <c r="I239" s="1" t="s">
        <v>3070</v>
      </c>
      <c r="J239" s="1" t="s">
        <v>3312</v>
      </c>
      <c r="K239" s="1">
        <v>5</v>
      </c>
      <c r="L239" s="1" t="s">
        <v>4276</v>
      </c>
      <c r="M239" s="1" t="s">
        <v>4281</v>
      </c>
      <c r="N239" s="6" t="str">
        <f t="shared" si="7"/>
        <v>Mar</v>
      </c>
      <c r="O239" s="1">
        <v>1751.16</v>
      </c>
      <c r="T239" s="4"/>
      <c r="U239" s="1" t="str">
        <f t="shared" si="8"/>
        <v>Normal</v>
      </c>
    </row>
    <row r="240" spans="1:21" x14ac:dyDescent="0.25">
      <c r="A240" s="1" t="s">
        <v>252</v>
      </c>
      <c r="B240" s="4">
        <v>45639</v>
      </c>
      <c r="C240" s="1" t="s">
        <v>1452</v>
      </c>
      <c r="D240" s="1" t="s">
        <v>2409</v>
      </c>
      <c r="E240" s="1">
        <v>4</v>
      </c>
      <c r="F240" s="1">
        <v>384.32</v>
      </c>
      <c r="G240" s="1" t="s">
        <v>2615</v>
      </c>
      <c r="H240" s="1" t="s">
        <v>3067</v>
      </c>
      <c r="I240" s="1" t="s">
        <v>3074</v>
      </c>
      <c r="J240" s="1" t="s">
        <v>3313</v>
      </c>
      <c r="K240" s="1">
        <v>6</v>
      </c>
      <c r="L240" s="1" t="s">
        <v>4277</v>
      </c>
      <c r="M240" s="1" t="s">
        <v>4282</v>
      </c>
      <c r="N240" s="6" t="str">
        <f t="shared" si="7"/>
        <v>Dec</v>
      </c>
      <c r="O240" s="1">
        <v>1537.28</v>
      </c>
      <c r="T240" s="4"/>
      <c r="U240" s="1" t="str">
        <f t="shared" si="8"/>
        <v>Normal</v>
      </c>
    </row>
    <row r="241" spans="1:21" x14ac:dyDescent="0.25">
      <c r="A241" s="1" t="s">
        <v>253</v>
      </c>
      <c r="B241" s="4">
        <v>45637</v>
      </c>
      <c r="C241" s="1" t="s">
        <v>1453</v>
      </c>
      <c r="D241" s="1" t="s">
        <v>2405</v>
      </c>
      <c r="E241" s="1">
        <v>3</v>
      </c>
      <c r="F241" s="1">
        <v>538.74</v>
      </c>
      <c r="G241" s="1" t="s">
        <v>2616</v>
      </c>
      <c r="H241" s="1" t="s">
        <v>3066</v>
      </c>
      <c r="I241" s="1" t="s">
        <v>3070</v>
      </c>
      <c r="J241" s="1" t="s">
        <v>3314</v>
      </c>
      <c r="K241" s="1">
        <v>6</v>
      </c>
      <c r="L241" s="1" t="s">
        <v>4276</v>
      </c>
      <c r="M241" s="1" t="s">
        <v>4280</v>
      </c>
      <c r="N241" s="6" t="str">
        <f t="shared" si="7"/>
        <v>Dec</v>
      </c>
      <c r="O241" s="1">
        <v>1616.22</v>
      </c>
      <c r="T241" s="4"/>
      <c r="U241" s="1" t="str">
        <f t="shared" si="8"/>
        <v>Normal</v>
      </c>
    </row>
    <row r="242" spans="1:21" x14ac:dyDescent="0.25">
      <c r="A242" s="1" t="s">
        <v>254</v>
      </c>
      <c r="B242" s="4">
        <v>45119</v>
      </c>
      <c r="C242" s="1" t="s">
        <v>1454</v>
      </c>
      <c r="D242" s="1" t="s">
        <v>2405</v>
      </c>
      <c r="E242" s="1">
        <v>1</v>
      </c>
      <c r="F242" s="1">
        <v>17.239999999999998</v>
      </c>
      <c r="G242" s="1" t="s">
        <v>2617</v>
      </c>
      <c r="H242" s="1" t="s">
        <v>3066</v>
      </c>
      <c r="I242" s="1" t="s">
        <v>3074</v>
      </c>
      <c r="J242" s="1" t="s">
        <v>3315</v>
      </c>
      <c r="K242" s="1">
        <v>2</v>
      </c>
      <c r="L242" s="1" t="s">
        <v>4276</v>
      </c>
      <c r="M242" s="1" t="s">
        <v>4278</v>
      </c>
      <c r="N242" s="6" t="str">
        <f t="shared" si="7"/>
        <v>Jul</v>
      </c>
      <c r="O242" s="1">
        <v>17.239999999999998</v>
      </c>
      <c r="T242" s="4"/>
      <c r="U242" s="1" t="str">
        <f t="shared" si="8"/>
        <v>Normal</v>
      </c>
    </row>
    <row r="243" spans="1:21" x14ac:dyDescent="0.25">
      <c r="A243" s="1" t="s">
        <v>255</v>
      </c>
      <c r="B243" s="4">
        <v>45062</v>
      </c>
      <c r="C243" s="1" t="s">
        <v>1455</v>
      </c>
      <c r="D243" s="1" t="s">
        <v>2406</v>
      </c>
      <c r="E243" s="1">
        <v>5</v>
      </c>
      <c r="F243" s="1">
        <v>615.66999999999996</v>
      </c>
      <c r="G243" s="1" t="s">
        <v>2618</v>
      </c>
      <c r="H243" s="1" t="s">
        <v>3066</v>
      </c>
      <c r="I243" s="1" t="s">
        <v>3074</v>
      </c>
      <c r="J243" s="1" t="s">
        <v>3316</v>
      </c>
      <c r="K243" s="1">
        <v>6</v>
      </c>
      <c r="L243" s="1" t="s">
        <v>4275</v>
      </c>
      <c r="M243" s="1" t="s">
        <v>4280</v>
      </c>
      <c r="N243" s="6" t="str">
        <f t="shared" si="7"/>
        <v>May</v>
      </c>
      <c r="O243" s="1">
        <v>3078.35</v>
      </c>
      <c r="T243" s="4"/>
      <c r="U243" s="1" t="str">
        <f t="shared" si="8"/>
        <v>Normal</v>
      </c>
    </row>
    <row r="244" spans="1:21" x14ac:dyDescent="0.25">
      <c r="A244" s="1" t="s">
        <v>256</v>
      </c>
      <c r="B244" s="4">
        <v>45055</v>
      </c>
      <c r="C244" s="1" t="s">
        <v>1456</v>
      </c>
      <c r="D244" s="1" t="s">
        <v>2407</v>
      </c>
      <c r="E244" s="1">
        <v>2</v>
      </c>
      <c r="F244" s="1">
        <v>219.1</v>
      </c>
      <c r="G244" s="1" t="s">
        <v>2619</v>
      </c>
      <c r="H244" s="1" t="s">
        <v>3066</v>
      </c>
      <c r="I244" s="1" t="s">
        <v>3074</v>
      </c>
      <c r="J244" s="1" t="s">
        <v>3317</v>
      </c>
      <c r="K244" s="1">
        <v>4</v>
      </c>
      <c r="L244" s="1" t="s">
        <v>4275</v>
      </c>
      <c r="M244" s="1" t="s">
        <v>4279</v>
      </c>
      <c r="N244" s="6" t="str">
        <f t="shared" si="7"/>
        <v>May</v>
      </c>
      <c r="O244" s="1">
        <v>438.2</v>
      </c>
      <c r="T244" s="4"/>
      <c r="U244" s="1" t="str">
        <f t="shared" si="8"/>
        <v>Normal</v>
      </c>
    </row>
    <row r="245" spans="1:21" x14ac:dyDescent="0.25">
      <c r="A245" s="1" t="s">
        <v>257</v>
      </c>
      <c r="B245" s="4">
        <v>45786</v>
      </c>
      <c r="C245" s="1" t="s">
        <v>1457</v>
      </c>
      <c r="D245" s="1" t="s">
        <v>2406</v>
      </c>
      <c r="E245" s="1">
        <v>2</v>
      </c>
      <c r="F245" s="1">
        <v>144.66</v>
      </c>
      <c r="G245" s="1" t="s">
        <v>2620</v>
      </c>
      <c r="H245" s="1" t="s">
        <v>3066</v>
      </c>
      <c r="I245" s="1" t="s">
        <v>3071</v>
      </c>
      <c r="J245" s="1" t="s">
        <v>3318</v>
      </c>
      <c r="K245" s="1">
        <v>7</v>
      </c>
      <c r="L245" s="1" t="s">
        <v>4276</v>
      </c>
      <c r="M245" s="1" t="s">
        <v>4282</v>
      </c>
      <c r="N245" s="6" t="str">
        <f t="shared" si="7"/>
        <v>May</v>
      </c>
      <c r="O245" s="1">
        <v>289.32</v>
      </c>
      <c r="T245" s="4"/>
      <c r="U245" s="1" t="str">
        <f t="shared" si="8"/>
        <v>Normal</v>
      </c>
    </row>
    <row r="246" spans="1:21" x14ac:dyDescent="0.25">
      <c r="A246" s="1" t="s">
        <v>258</v>
      </c>
      <c r="B246" s="4">
        <v>44973</v>
      </c>
      <c r="C246" s="1" t="s">
        <v>1458</v>
      </c>
      <c r="D246" s="1" t="s">
        <v>2409</v>
      </c>
      <c r="E246" s="1">
        <v>2</v>
      </c>
      <c r="F246" s="1">
        <v>317.77</v>
      </c>
      <c r="G246" s="1" t="s">
        <v>2621</v>
      </c>
      <c r="H246" s="1" t="s">
        <v>3065</v>
      </c>
      <c r="I246" s="1" t="s">
        <v>3071</v>
      </c>
      <c r="J246" s="1" t="s">
        <v>3319</v>
      </c>
      <c r="K246" s="1">
        <v>4</v>
      </c>
      <c r="L246" s="1" t="s">
        <v>4277</v>
      </c>
      <c r="M246" s="1" t="s">
        <v>4281</v>
      </c>
      <c r="N246" s="6" t="str">
        <f t="shared" si="7"/>
        <v>Feb</v>
      </c>
      <c r="O246" s="1">
        <v>635.54</v>
      </c>
      <c r="T246" s="4"/>
      <c r="U246" s="1" t="str">
        <f t="shared" si="8"/>
        <v>Normal</v>
      </c>
    </row>
    <row r="247" spans="1:21" x14ac:dyDescent="0.25">
      <c r="A247" s="1" t="s">
        <v>259</v>
      </c>
      <c r="B247" s="4">
        <v>45767</v>
      </c>
      <c r="C247" s="1" t="s">
        <v>1459</v>
      </c>
      <c r="D247" s="1" t="s">
        <v>2408</v>
      </c>
      <c r="E247" s="1">
        <v>1</v>
      </c>
      <c r="F247" s="1">
        <v>223.3</v>
      </c>
      <c r="G247" s="1" t="s">
        <v>2622</v>
      </c>
      <c r="H247" s="1" t="s">
        <v>3066</v>
      </c>
      <c r="I247" s="1" t="s">
        <v>3072</v>
      </c>
      <c r="J247" s="1" t="s">
        <v>3320</v>
      </c>
      <c r="K247" s="1">
        <v>1</v>
      </c>
      <c r="L247" s="1" t="s">
        <v>4283</v>
      </c>
      <c r="M247" s="1" t="s">
        <v>4281</v>
      </c>
      <c r="N247" s="6" t="str">
        <f t="shared" si="7"/>
        <v>Apr</v>
      </c>
      <c r="O247" s="1">
        <v>223.3</v>
      </c>
      <c r="T247" s="4"/>
      <c r="U247" s="1" t="str">
        <f t="shared" si="8"/>
        <v>Normal</v>
      </c>
    </row>
    <row r="248" spans="1:21" x14ac:dyDescent="0.25">
      <c r="A248" s="1" t="s">
        <v>260</v>
      </c>
      <c r="B248" s="4">
        <v>45534</v>
      </c>
      <c r="C248" s="1" t="s">
        <v>1460</v>
      </c>
      <c r="D248" s="1" t="s">
        <v>2409</v>
      </c>
      <c r="E248" s="1">
        <v>2</v>
      </c>
      <c r="F248" s="1">
        <v>342.11</v>
      </c>
      <c r="G248" s="1" t="s">
        <v>2623</v>
      </c>
      <c r="H248" s="1" t="s">
        <v>3068</v>
      </c>
      <c r="I248" s="1" t="s">
        <v>3070</v>
      </c>
      <c r="J248" s="1" t="s">
        <v>3321</v>
      </c>
      <c r="K248" s="1">
        <v>2</v>
      </c>
      <c r="L248" s="1" t="s">
        <v>4277</v>
      </c>
      <c r="M248" s="1" t="s">
        <v>4278</v>
      </c>
      <c r="N248" s="6" t="str">
        <f t="shared" si="7"/>
        <v>Aug</v>
      </c>
      <c r="O248" s="1">
        <v>684.22</v>
      </c>
      <c r="T248" s="4"/>
      <c r="U248" s="1" t="str">
        <f t="shared" si="8"/>
        <v>Normal</v>
      </c>
    </row>
    <row r="249" spans="1:21" x14ac:dyDescent="0.25">
      <c r="A249" s="1" t="s">
        <v>261</v>
      </c>
      <c r="B249" s="4">
        <v>45127</v>
      </c>
      <c r="C249" s="1" t="s">
        <v>1461</v>
      </c>
      <c r="D249" s="1" t="s">
        <v>2407</v>
      </c>
      <c r="E249" s="1">
        <v>2</v>
      </c>
      <c r="F249" s="1">
        <v>220.9</v>
      </c>
      <c r="G249" s="1" t="s">
        <v>2624</v>
      </c>
      <c r="H249" s="1" t="s">
        <v>3068</v>
      </c>
      <c r="I249" s="1" t="s">
        <v>3070</v>
      </c>
      <c r="J249" s="1" t="s">
        <v>3322</v>
      </c>
      <c r="K249" s="1">
        <v>4</v>
      </c>
      <c r="L249" s="1" t="s">
        <v>4283</v>
      </c>
      <c r="M249" s="1" t="s">
        <v>4280</v>
      </c>
      <c r="N249" s="6" t="str">
        <f t="shared" si="7"/>
        <v>Jul</v>
      </c>
      <c r="O249" s="1">
        <v>441.8</v>
      </c>
      <c r="T249" s="4"/>
      <c r="U249" s="1" t="str">
        <f t="shared" si="8"/>
        <v>Normal</v>
      </c>
    </row>
    <row r="250" spans="1:21" x14ac:dyDescent="0.25">
      <c r="A250" s="1" t="s">
        <v>262</v>
      </c>
      <c r="B250" s="4">
        <v>45109</v>
      </c>
      <c r="C250" s="1" t="s">
        <v>1462</v>
      </c>
      <c r="D250" s="1" t="s">
        <v>2408</v>
      </c>
      <c r="E250" s="1">
        <v>1</v>
      </c>
      <c r="F250" s="1">
        <v>670.54</v>
      </c>
      <c r="G250" s="1" t="s">
        <v>2625</v>
      </c>
      <c r="H250" s="1" t="s">
        <v>3069</v>
      </c>
      <c r="I250" s="1" t="s">
        <v>3070</v>
      </c>
      <c r="J250" s="1" t="s">
        <v>3323</v>
      </c>
      <c r="K250" s="1">
        <v>6</v>
      </c>
      <c r="L250" s="1" t="s">
        <v>4276</v>
      </c>
      <c r="M250" s="1" t="s">
        <v>4279</v>
      </c>
      <c r="N250" s="6" t="str">
        <f t="shared" si="7"/>
        <v>Jul</v>
      </c>
      <c r="O250" s="1">
        <v>670.54</v>
      </c>
      <c r="T250" s="4"/>
      <c r="U250" s="1" t="str">
        <f t="shared" si="8"/>
        <v>Normal</v>
      </c>
    </row>
    <row r="251" spans="1:21" x14ac:dyDescent="0.25">
      <c r="A251" s="1" t="s">
        <v>263</v>
      </c>
      <c r="B251" s="4">
        <v>45329</v>
      </c>
      <c r="C251" s="1" t="s">
        <v>1463</v>
      </c>
      <c r="D251" s="1" t="s">
        <v>2407</v>
      </c>
      <c r="E251" s="1">
        <v>1</v>
      </c>
      <c r="F251" s="1">
        <v>546.19000000000005</v>
      </c>
      <c r="G251" s="1" t="s">
        <v>2626</v>
      </c>
      <c r="H251" s="1" t="s">
        <v>3069</v>
      </c>
      <c r="I251" s="1" t="s">
        <v>3074</v>
      </c>
      <c r="J251" s="1" t="s">
        <v>3324</v>
      </c>
      <c r="K251" s="1">
        <v>5</v>
      </c>
      <c r="L251" s="1" t="s">
        <v>4276</v>
      </c>
      <c r="M251" s="1" t="s">
        <v>4279</v>
      </c>
      <c r="N251" s="6" t="str">
        <f t="shared" si="7"/>
        <v>Feb</v>
      </c>
      <c r="O251" s="1">
        <v>546.19000000000005</v>
      </c>
      <c r="T251" s="4"/>
      <c r="U251" s="1" t="str">
        <f t="shared" si="8"/>
        <v>Normal</v>
      </c>
    </row>
    <row r="252" spans="1:21" x14ac:dyDescent="0.25">
      <c r="A252" s="1" t="s">
        <v>264</v>
      </c>
      <c r="B252" s="4">
        <v>45021</v>
      </c>
      <c r="C252" s="1" t="s">
        <v>1464</v>
      </c>
      <c r="D252" s="1" t="s">
        <v>2409</v>
      </c>
      <c r="E252" s="1">
        <v>3</v>
      </c>
      <c r="F252" s="1">
        <v>42.95</v>
      </c>
      <c r="G252" s="1" t="s">
        <v>2492</v>
      </c>
      <c r="H252" s="1" t="s">
        <v>3068</v>
      </c>
      <c r="I252" s="1" t="s">
        <v>3072</v>
      </c>
      <c r="J252" s="1" t="s">
        <v>3325</v>
      </c>
      <c r="K252" s="1">
        <v>8</v>
      </c>
      <c r="L252" s="1" t="s">
        <v>4275</v>
      </c>
      <c r="M252" s="1" t="s">
        <v>4280</v>
      </c>
      <c r="N252" s="6" t="str">
        <f t="shared" si="7"/>
        <v>Apr</v>
      </c>
      <c r="O252" s="1">
        <v>128.85</v>
      </c>
      <c r="T252" s="4"/>
      <c r="U252" s="1" t="str">
        <f t="shared" si="8"/>
        <v>Normal</v>
      </c>
    </row>
    <row r="253" spans="1:21" x14ac:dyDescent="0.25">
      <c r="A253" s="1" t="s">
        <v>265</v>
      </c>
      <c r="B253" s="4">
        <v>45792</v>
      </c>
      <c r="C253" s="1" t="s">
        <v>1465</v>
      </c>
      <c r="D253" s="1" t="s">
        <v>2403</v>
      </c>
      <c r="E253" s="1">
        <v>4</v>
      </c>
      <c r="F253" s="1">
        <v>14.69</v>
      </c>
      <c r="G253" s="1" t="s">
        <v>2627</v>
      </c>
      <c r="H253" s="1" t="s">
        <v>3069</v>
      </c>
      <c r="I253" s="1" t="s">
        <v>3071</v>
      </c>
      <c r="J253" s="1" t="s">
        <v>3326</v>
      </c>
      <c r="K253" s="1">
        <v>9</v>
      </c>
      <c r="L253" s="1" t="s">
        <v>4283</v>
      </c>
      <c r="M253" s="1" t="s">
        <v>4280</v>
      </c>
      <c r="N253" s="6" t="str">
        <f t="shared" si="7"/>
        <v>May</v>
      </c>
      <c r="O253" s="1">
        <v>58.76</v>
      </c>
      <c r="T253" s="4"/>
      <c r="U253" s="1" t="str">
        <f t="shared" si="8"/>
        <v>Normal</v>
      </c>
    </row>
    <row r="254" spans="1:21" x14ac:dyDescent="0.25">
      <c r="A254" s="1" t="s">
        <v>266</v>
      </c>
      <c r="B254" s="4">
        <v>45555</v>
      </c>
      <c r="C254" s="1" t="s">
        <v>1466</v>
      </c>
      <c r="D254" s="1" t="s">
        <v>2404</v>
      </c>
      <c r="E254" s="1">
        <v>4</v>
      </c>
      <c r="F254" s="1">
        <v>668.36</v>
      </c>
      <c r="G254" s="1" t="s">
        <v>2628</v>
      </c>
      <c r="H254" s="1" t="s">
        <v>3068</v>
      </c>
      <c r="I254" s="1" t="s">
        <v>3071</v>
      </c>
      <c r="J254" s="1" t="s">
        <v>3327</v>
      </c>
      <c r="K254" s="1">
        <v>5</v>
      </c>
      <c r="L254" s="1" t="s">
        <v>4276</v>
      </c>
      <c r="M254" s="1" t="s">
        <v>4281</v>
      </c>
      <c r="N254" s="6" t="str">
        <f t="shared" si="7"/>
        <v>Sep</v>
      </c>
      <c r="O254" s="1">
        <v>2673.44</v>
      </c>
      <c r="T254" s="4"/>
      <c r="U254" s="1" t="str">
        <f t="shared" si="8"/>
        <v>Normal</v>
      </c>
    </row>
    <row r="255" spans="1:21" x14ac:dyDescent="0.25">
      <c r="A255" s="1" t="s">
        <v>267</v>
      </c>
      <c r="B255" s="4">
        <v>45374</v>
      </c>
      <c r="C255" s="1" t="s">
        <v>1467</v>
      </c>
      <c r="D255" s="1" t="s">
        <v>2406</v>
      </c>
      <c r="E255" s="1">
        <v>4</v>
      </c>
      <c r="F255" s="1">
        <v>413.74</v>
      </c>
      <c r="G255" s="1" t="s">
        <v>2503</v>
      </c>
      <c r="H255" s="1" t="s">
        <v>3068</v>
      </c>
      <c r="I255" s="1" t="s">
        <v>3072</v>
      </c>
      <c r="J255" s="1" t="s">
        <v>3328</v>
      </c>
      <c r="K255" s="1">
        <v>7</v>
      </c>
      <c r="L255" s="1" t="s">
        <v>4276</v>
      </c>
      <c r="M255" s="1" t="s">
        <v>4278</v>
      </c>
      <c r="N255" s="6" t="str">
        <f t="shared" si="7"/>
        <v>Mar</v>
      </c>
      <c r="O255" s="1">
        <v>1654.96</v>
      </c>
      <c r="T255" s="4"/>
      <c r="U255" s="1" t="str">
        <f t="shared" si="8"/>
        <v>Normal</v>
      </c>
    </row>
    <row r="256" spans="1:21" x14ac:dyDescent="0.25">
      <c r="A256" s="1" t="s">
        <v>268</v>
      </c>
      <c r="B256" s="4">
        <v>45286</v>
      </c>
      <c r="C256" s="1" t="s">
        <v>1468</v>
      </c>
      <c r="D256" s="1" t="s">
        <v>2403</v>
      </c>
      <c r="E256" s="1">
        <v>3</v>
      </c>
      <c r="F256" s="1">
        <v>263.19</v>
      </c>
      <c r="G256" s="1" t="s">
        <v>2615</v>
      </c>
      <c r="H256" s="1" t="s">
        <v>3066</v>
      </c>
      <c r="I256" s="1" t="s">
        <v>3073</v>
      </c>
      <c r="J256" s="1" t="s">
        <v>3329</v>
      </c>
      <c r="K256" s="1">
        <v>5</v>
      </c>
      <c r="L256" s="1" t="s">
        <v>4283</v>
      </c>
      <c r="M256" s="1" t="s">
        <v>4278</v>
      </c>
      <c r="N256" s="6" t="str">
        <f t="shared" si="7"/>
        <v>Dec</v>
      </c>
      <c r="O256" s="1">
        <v>789.56999999999994</v>
      </c>
      <c r="T256" s="4"/>
      <c r="U256" s="1" t="str">
        <f t="shared" si="8"/>
        <v>Normal</v>
      </c>
    </row>
    <row r="257" spans="1:21" x14ac:dyDescent="0.25">
      <c r="A257" s="1" t="s">
        <v>269</v>
      </c>
      <c r="B257" s="4">
        <v>45425</v>
      </c>
      <c r="C257" s="1" t="s">
        <v>1469</v>
      </c>
      <c r="D257" s="1" t="s">
        <v>2403</v>
      </c>
      <c r="E257" s="1">
        <v>1</v>
      </c>
      <c r="F257" s="1">
        <v>263.95999999999998</v>
      </c>
      <c r="G257" s="1" t="s">
        <v>2565</v>
      </c>
      <c r="H257" s="1" t="s">
        <v>3068</v>
      </c>
      <c r="I257" s="1" t="s">
        <v>3072</v>
      </c>
      <c r="J257" s="1" t="s">
        <v>3330</v>
      </c>
      <c r="K257" s="1">
        <v>2</v>
      </c>
      <c r="L257" s="1" t="s">
        <v>4275</v>
      </c>
      <c r="M257" s="1" t="s">
        <v>4282</v>
      </c>
      <c r="N257" s="6" t="str">
        <f t="shared" si="7"/>
        <v>May</v>
      </c>
      <c r="O257" s="1">
        <v>263.95999999999998</v>
      </c>
      <c r="T257" s="4"/>
      <c r="U257" s="1" t="str">
        <f t="shared" si="8"/>
        <v>Normal</v>
      </c>
    </row>
    <row r="258" spans="1:21" x14ac:dyDescent="0.25">
      <c r="A258" s="1" t="s">
        <v>270</v>
      </c>
      <c r="B258" s="4">
        <v>45838</v>
      </c>
      <c r="C258" s="1" t="s">
        <v>1470</v>
      </c>
      <c r="D258" s="1" t="s">
        <v>2406</v>
      </c>
      <c r="E258" s="1">
        <v>5</v>
      </c>
      <c r="F258" s="1">
        <v>75.81</v>
      </c>
      <c r="G258" s="1" t="s">
        <v>2629</v>
      </c>
      <c r="H258" s="1" t="s">
        <v>3068</v>
      </c>
      <c r="I258" s="1" t="s">
        <v>3072</v>
      </c>
      <c r="J258" s="1" t="s">
        <v>3331</v>
      </c>
      <c r="K258" s="1">
        <v>10</v>
      </c>
      <c r="L258" s="1" t="s">
        <v>4277</v>
      </c>
      <c r="M258" s="1" t="s">
        <v>4278</v>
      </c>
      <c r="N258" s="6" t="str">
        <f t="shared" ref="N258:N321" si="9">TEXT(B258,"MMM")</f>
        <v>Jun</v>
      </c>
      <c r="O258" s="1">
        <v>379.05</v>
      </c>
      <c r="T258" s="4"/>
      <c r="U258" s="1" t="str">
        <f t="shared" si="8"/>
        <v>Normal</v>
      </c>
    </row>
    <row r="259" spans="1:21" x14ac:dyDescent="0.25">
      <c r="A259" s="1" t="s">
        <v>271</v>
      </c>
      <c r="B259" s="4">
        <v>45405</v>
      </c>
      <c r="C259" s="1" t="s">
        <v>1471</v>
      </c>
      <c r="D259" s="1" t="s">
        <v>2404</v>
      </c>
      <c r="E259" s="1">
        <v>1</v>
      </c>
      <c r="F259" s="1">
        <v>406.22</v>
      </c>
      <c r="G259" s="1" t="s">
        <v>2630</v>
      </c>
      <c r="H259" s="1" t="s">
        <v>3067</v>
      </c>
      <c r="I259" s="1" t="s">
        <v>3071</v>
      </c>
      <c r="J259" s="1" t="s">
        <v>3332</v>
      </c>
      <c r="K259" s="1">
        <v>5</v>
      </c>
      <c r="L259" s="1" t="s">
        <v>4275</v>
      </c>
      <c r="M259" s="1" t="s">
        <v>4279</v>
      </c>
      <c r="N259" s="6" t="str">
        <f t="shared" si="9"/>
        <v>Apr</v>
      </c>
      <c r="O259" s="1">
        <v>406.22</v>
      </c>
      <c r="T259" s="4"/>
      <c r="U259" s="1" t="str">
        <f t="shared" ref="U259:U322" si="10">IF(O259&gt;$S$2,"Outlier","Normal")</f>
        <v>Normal</v>
      </c>
    </row>
    <row r="260" spans="1:21" x14ac:dyDescent="0.25">
      <c r="A260" s="1" t="s">
        <v>272</v>
      </c>
      <c r="B260" s="4">
        <v>45348</v>
      </c>
      <c r="C260" s="1" t="s">
        <v>1472</v>
      </c>
      <c r="D260" s="1" t="s">
        <v>2405</v>
      </c>
      <c r="E260" s="1">
        <v>2</v>
      </c>
      <c r="F260" s="1">
        <v>103.41</v>
      </c>
      <c r="G260" s="1" t="s">
        <v>2631</v>
      </c>
      <c r="H260" s="1" t="s">
        <v>3066</v>
      </c>
      <c r="I260" s="1" t="s">
        <v>3070</v>
      </c>
      <c r="J260" s="1" t="s">
        <v>3333</v>
      </c>
      <c r="K260" s="1">
        <v>2</v>
      </c>
      <c r="L260" s="1" t="s">
        <v>4276</v>
      </c>
      <c r="M260" s="1" t="s">
        <v>4279</v>
      </c>
      <c r="N260" s="6" t="str">
        <f t="shared" si="9"/>
        <v>Feb</v>
      </c>
      <c r="O260" s="1">
        <v>206.82</v>
      </c>
      <c r="T260" s="4"/>
      <c r="U260" s="1" t="str">
        <f t="shared" si="10"/>
        <v>Normal</v>
      </c>
    </row>
    <row r="261" spans="1:21" x14ac:dyDescent="0.25">
      <c r="A261" s="1" t="s">
        <v>273</v>
      </c>
      <c r="B261" s="4">
        <v>45088</v>
      </c>
      <c r="C261" s="1" t="s">
        <v>1473</v>
      </c>
      <c r="D261" s="1" t="s">
        <v>2406</v>
      </c>
      <c r="E261" s="1">
        <v>4</v>
      </c>
      <c r="F261" s="1">
        <v>435.12</v>
      </c>
      <c r="G261" s="1" t="s">
        <v>2535</v>
      </c>
      <c r="H261" s="1" t="s">
        <v>3067</v>
      </c>
      <c r="I261" s="1" t="s">
        <v>3073</v>
      </c>
      <c r="J261" s="1" t="s">
        <v>3334</v>
      </c>
      <c r="K261" s="1">
        <v>9</v>
      </c>
      <c r="L261" s="1" t="s">
        <v>4275</v>
      </c>
      <c r="M261" s="1" t="s">
        <v>4278</v>
      </c>
      <c r="N261" s="6" t="str">
        <f t="shared" si="9"/>
        <v>Jun</v>
      </c>
      <c r="O261" s="1">
        <v>1740.48</v>
      </c>
      <c r="T261" s="4"/>
      <c r="U261" s="1" t="str">
        <f t="shared" si="10"/>
        <v>Normal</v>
      </c>
    </row>
    <row r="262" spans="1:21" x14ac:dyDescent="0.25">
      <c r="A262" s="1" t="s">
        <v>274</v>
      </c>
      <c r="B262" s="4">
        <v>45063</v>
      </c>
      <c r="C262" s="1" t="s">
        <v>1474</v>
      </c>
      <c r="D262" s="1" t="s">
        <v>2403</v>
      </c>
      <c r="E262" s="1">
        <v>2</v>
      </c>
      <c r="F262" s="1">
        <v>407.79</v>
      </c>
      <c r="G262" s="1" t="s">
        <v>2632</v>
      </c>
      <c r="H262" s="1" t="s">
        <v>3065</v>
      </c>
      <c r="I262" s="1" t="s">
        <v>3070</v>
      </c>
      <c r="J262" s="1" t="s">
        <v>3335</v>
      </c>
      <c r="K262" s="1">
        <v>3</v>
      </c>
      <c r="L262" s="1" t="s">
        <v>4283</v>
      </c>
      <c r="M262" s="1" t="s">
        <v>4282</v>
      </c>
      <c r="N262" s="6" t="str">
        <f t="shared" si="9"/>
        <v>May</v>
      </c>
      <c r="O262" s="1">
        <v>815.58</v>
      </c>
      <c r="T262" s="4"/>
      <c r="U262" s="1" t="str">
        <f t="shared" si="10"/>
        <v>Normal</v>
      </c>
    </row>
    <row r="263" spans="1:21" x14ac:dyDescent="0.25">
      <c r="A263" s="1" t="s">
        <v>275</v>
      </c>
      <c r="B263" s="4">
        <v>45805</v>
      </c>
      <c r="C263" s="1" t="s">
        <v>1475</v>
      </c>
      <c r="D263" s="1" t="s">
        <v>2404</v>
      </c>
      <c r="E263" s="1">
        <v>5</v>
      </c>
      <c r="F263" s="1">
        <v>173.65</v>
      </c>
      <c r="G263" s="1" t="s">
        <v>2633</v>
      </c>
      <c r="H263" s="1" t="s">
        <v>3068</v>
      </c>
      <c r="I263" s="1" t="s">
        <v>3073</v>
      </c>
      <c r="J263" s="1" t="s">
        <v>3336</v>
      </c>
      <c r="K263" s="1">
        <v>9</v>
      </c>
      <c r="L263" s="1" t="s">
        <v>4275</v>
      </c>
      <c r="M263" s="1" t="s">
        <v>4280</v>
      </c>
      <c r="N263" s="6" t="str">
        <f t="shared" si="9"/>
        <v>May</v>
      </c>
      <c r="O263" s="1">
        <v>868.25</v>
      </c>
      <c r="T263" s="4"/>
      <c r="U263" s="1" t="str">
        <f t="shared" si="10"/>
        <v>Normal</v>
      </c>
    </row>
    <row r="264" spans="1:21" x14ac:dyDescent="0.25">
      <c r="A264" s="1" t="s">
        <v>276</v>
      </c>
      <c r="B264" s="4">
        <v>44936</v>
      </c>
      <c r="C264" s="1" t="s">
        <v>1476</v>
      </c>
      <c r="D264" s="1" t="s">
        <v>2404</v>
      </c>
      <c r="E264" s="1">
        <v>4</v>
      </c>
      <c r="F264" s="1">
        <v>249.07</v>
      </c>
      <c r="G264" s="1" t="s">
        <v>2536</v>
      </c>
      <c r="H264" s="1" t="s">
        <v>3067</v>
      </c>
      <c r="I264" s="1" t="s">
        <v>3072</v>
      </c>
      <c r="J264" s="1" t="s">
        <v>3337</v>
      </c>
      <c r="K264" s="1">
        <v>5</v>
      </c>
      <c r="L264" s="1" t="s">
        <v>4277</v>
      </c>
      <c r="M264" s="1" t="s">
        <v>4279</v>
      </c>
      <c r="N264" s="6" t="str">
        <f t="shared" si="9"/>
        <v>Jan</v>
      </c>
      <c r="O264" s="1">
        <v>996.28</v>
      </c>
      <c r="T264" s="4"/>
      <c r="U264" s="1" t="str">
        <f t="shared" si="10"/>
        <v>Normal</v>
      </c>
    </row>
    <row r="265" spans="1:21" x14ac:dyDescent="0.25">
      <c r="A265" s="1" t="s">
        <v>277</v>
      </c>
      <c r="B265" s="4">
        <v>45010</v>
      </c>
      <c r="C265" s="1" t="s">
        <v>1477</v>
      </c>
      <c r="D265" s="1" t="s">
        <v>2404</v>
      </c>
      <c r="E265" s="1">
        <v>4</v>
      </c>
      <c r="F265" s="1">
        <v>434.85</v>
      </c>
      <c r="G265" s="1" t="s">
        <v>2634</v>
      </c>
      <c r="H265" s="1" t="s">
        <v>3067</v>
      </c>
      <c r="I265" s="1" t="s">
        <v>3074</v>
      </c>
      <c r="J265" s="1" t="s">
        <v>3338</v>
      </c>
      <c r="K265" s="1">
        <v>4</v>
      </c>
      <c r="L265" s="1" t="s">
        <v>4277</v>
      </c>
      <c r="M265" s="1" t="s">
        <v>4282</v>
      </c>
      <c r="N265" s="6" t="str">
        <f t="shared" si="9"/>
        <v>Mar</v>
      </c>
      <c r="O265" s="1">
        <v>1739.4</v>
      </c>
      <c r="T265" s="4"/>
      <c r="U265" s="1" t="str">
        <f t="shared" si="10"/>
        <v>Normal</v>
      </c>
    </row>
    <row r="266" spans="1:21" x14ac:dyDescent="0.25">
      <c r="A266" s="1" t="s">
        <v>278</v>
      </c>
      <c r="B266" s="4">
        <v>45507</v>
      </c>
      <c r="C266" s="1" t="s">
        <v>1478</v>
      </c>
      <c r="D266" s="1" t="s">
        <v>2405</v>
      </c>
      <c r="E266" s="1">
        <v>1</v>
      </c>
      <c r="F266" s="1">
        <v>436.77</v>
      </c>
      <c r="G266" s="1" t="s">
        <v>2635</v>
      </c>
      <c r="H266" s="1" t="s">
        <v>3069</v>
      </c>
      <c r="I266" s="1" t="s">
        <v>3072</v>
      </c>
      <c r="J266" s="1" t="s">
        <v>3339</v>
      </c>
      <c r="K266" s="1">
        <v>5</v>
      </c>
      <c r="L266" s="1" t="s">
        <v>4276</v>
      </c>
      <c r="M266" s="1" t="s">
        <v>4282</v>
      </c>
      <c r="N266" s="6" t="str">
        <f t="shared" si="9"/>
        <v>Aug</v>
      </c>
      <c r="O266" s="1">
        <v>436.77</v>
      </c>
      <c r="T266" s="4"/>
      <c r="U266" s="1" t="str">
        <f t="shared" si="10"/>
        <v>Normal</v>
      </c>
    </row>
    <row r="267" spans="1:21" x14ac:dyDescent="0.25">
      <c r="A267" s="1" t="s">
        <v>279</v>
      </c>
      <c r="B267" s="4">
        <v>45282</v>
      </c>
      <c r="C267" s="1" t="s">
        <v>1479</v>
      </c>
      <c r="D267" s="1" t="s">
        <v>2407</v>
      </c>
      <c r="E267" s="1">
        <v>1</v>
      </c>
      <c r="F267" s="1">
        <v>572.13</v>
      </c>
      <c r="G267" s="1" t="s">
        <v>2636</v>
      </c>
      <c r="H267" s="1" t="s">
        <v>3065</v>
      </c>
      <c r="I267" s="1" t="s">
        <v>3071</v>
      </c>
      <c r="J267" s="1" t="s">
        <v>3340</v>
      </c>
      <c r="K267" s="1">
        <v>4</v>
      </c>
      <c r="L267" s="1" t="s">
        <v>4275</v>
      </c>
      <c r="M267" s="1" t="s">
        <v>4282</v>
      </c>
      <c r="N267" s="6" t="str">
        <f t="shared" si="9"/>
        <v>Dec</v>
      </c>
      <c r="O267" s="1">
        <v>572.13</v>
      </c>
      <c r="T267" s="4"/>
      <c r="U267" s="1" t="str">
        <f t="shared" si="10"/>
        <v>Normal</v>
      </c>
    </row>
    <row r="268" spans="1:21" x14ac:dyDescent="0.25">
      <c r="A268" s="1" t="s">
        <v>280</v>
      </c>
      <c r="B268" s="4">
        <v>45451</v>
      </c>
      <c r="C268" s="1" t="s">
        <v>1480</v>
      </c>
      <c r="D268" s="1" t="s">
        <v>2406</v>
      </c>
      <c r="E268" s="1">
        <v>4</v>
      </c>
      <c r="F268" s="1">
        <v>583.07000000000005</v>
      </c>
      <c r="G268" s="1" t="s">
        <v>2637</v>
      </c>
      <c r="H268" s="1" t="s">
        <v>3067</v>
      </c>
      <c r="I268" s="1" t="s">
        <v>3071</v>
      </c>
      <c r="J268" s="1" t="s">
        <v>3341</v>
      </c>
      <c r="K268" s="1">
        <v>6</v>
      </c>
      <c r="L268" s="1" t="s">
        <v>4276</v>
      </c>
      <c r="M268" s="1" t="s">
        <v>4279</v>
      </c>
      <c r="N268" s="6" t="str">
        <f t="shared" si="9"/>
        <v>Jun</v>
      </c>
      <c r="O268" s="1">
        <v>2332.2800000000002</v>
      </c>
      <c r="T268" s="4"/>
      <c r="U268" s="1" t="str">
        <f t="shared" si="10"/>
        <v>Normal</v>
      </c>
    </row>
    <row r="269" spans="1:21" x14ac:dyDescent="0.25">
      <c r="A269" s="1" t="s">
        <v>281</v>
      </c>
      <c r="B269" s="4">
        <v>45764</v>
      </c>
      <c r="C269" s="1" t="s">
        <v>1481</v>
      </c>
      <c r="D269" s="1" t="s">
        <v>2406</v>
      </c>
      <c r="E269" s="1">
        <v>5</v>
      </c>
      <c r="F269" s="1">
        <v>468.51</v>
      </c>
      <c r="G269" s="1" t="s">
        <v>2638</v>
      </c>
      <c r="H269" s="1" t="s">
        <v>3065</v>
      </c>
      <c r="I269" s="1" t="s">
        <v>3073</v>
      </c>
      <c r="J269" s="1" t="s">
        <v>3342</v>
      </c>
      <c r="K269" s="1">
        <v>9</v>
      </c>
      <c r="L269" s="1" t="s">
        <v>4283</v>
      </c>
      <c r="M269" s="1" t="s">
        <v>4281</v>
      </c>
      <c r="N269" s="6" t="str">
        <f t="shared" si="9"/>
        <v>Apr</v>
      </c>
      <c r="O269" s="1">
        <v>2342.5500000000002</v>
      </c>
      <c r="T269" s="4"/>
      <c r="U269" s="1" t="str">
        <f t="shared" si="10"/>
        <v>Normal</v>
      </c>
    </row>
    <row r="270" spans="1:21" x14ac:dyDescent="0.25">
      <c r="A270" s="1" t="s">
        <v>282</v>
      </c>
      <c r="B270" s="4">
        <v>45149</v>
      </c>
      <c r="C270" s="1" t="s">
        <v>1482</v>
      </c>
      <c r="D270" s="1" t="s">
        <v>2404</v>
      </c>
      <c r="E270" s="1">
        <v>2</v>
      </c>
      <c r="F270" s="1">
        <v>423.88</v>
      </c>
      <c r="G270" s="1" t="s">
        <v>2639</v>
      </c>
      <c r="H270" s="1" t="s">
        <v>3065</v>
      </c>
      <c r="I270" s="1" t="s">
        <v>3073</v>
      </c>
      <c r="J270" s="1" t="s">
        <v>3343</v>
      </c>
      <c r="K270" s="1">
        <v>7</v>
      </c>
      <c r="L270" s="1" t="s">
        <v>4275</v>
      </c>
      <c r="M270" s="1" t="s">
        <v>4279</v>
      </c>
      <c r="N270" s="6" t="str">
        <f t="shared" si="9"/>
        <v>Aug</v>
      </c>
      <c r="O270" s="1">
        <v>847.76</v>
      </c>
      <c r="T270" s="4"/>
      <c r="U270" s="1" t="str">
        <f t="shared" si="10"/>
        <v>Normal</v>
      </c>
    </row>
    <row r="271" spans="1:21" x14ac:dyDescent="0.25">
      <c r="A271" s="1" t="s">
        <v>283</v>
      </c>
      <c r="B271" s="4">
        <v>45255</v>
      </c>
      <c r="C271" s="1" t="s">
        <v>1483</v>
      </c>
      <c r="D271" s="1" t="s">
        <v>2405</v>
      </c>
      <c r="E271" s="1">
        <v>4</v>
      </c>
      <c r="F271" s="1">
        <v>663.67</v>
      </c>
      <c r="G271" s="1" t="s">
        <v>2477</v>
      </c>
      <c r="H271" s="1" t="s">
        <v>3067</v>
      </c>
      <c r="I271" s="1" t="s">
        <v>3074</v>
      </c>
      <c r="J271" s="1" t="s">
        <v>3344</v>
      </c>
      <c r="K271" s="1">
        <v>7</v>
      </c>
      <c r="L271" s="1" t="s">
        <v>4276</v>
      </c>
      <c r="M271" s="1" t="s">
        <v>4282</v>
      </c>
      <c r="N271" s="6" t="str">
        <f t="shared" si="9"/>
        <v>Nov</v>
      </c>
      <c r="O271" s="1">
        <v>2654.68</v>
      </c>
      <c r="T271" s="4"/>
      <c r="U271" s="1" t="str">
        <f t="shared" si="10"/>
        <v>Normal</v>
      </c>
    </row>
    <row r="272" spans="1:21" x14ac:dyDescent="0.25">
      <c r="A272" s="1" t="s">
        <v>284</v>
      </c>
      <c r="B272" s="4">
        <v>45081</v>
      </c>
      <c r="C272" s="1" t="s">
        <v>1484</v>
      </c>
      <c r="D272" s="1" t="s">
        <v>2407</v>
      </c>
      <c r="E272" s="1">
        <v>4</v>
      </c>
      <c r="F272" s="1">
        <v>309.91000000000003</v>
      </c>
      <c r="G272" s="1" t="s">
        <v>2640</v>
      </c>
      <c r="H272" s="1" t="s">
        <v>3065</v>
      </c>
      <c r="I272" s="1" t="s">
        <v>3070</v>
      </c>
      <c r="J272" s="1" t="s">
        <v>3345</v>
      </c>
      <c r="K272" s="1">
        <v>5</v>
      </c>
      <c r="L272" s="1" t="s">
        <v>4277</v>
      </c>
      <c r="M272" s="1" t="s">
        <v>4282</v>
      </c>
      <c r="N272" s="6" t="str">
        <f t="shared" si="9"/>
        <v>Jun</v>
      </c>
      <c r="O272" s="1">
        <v>1239.6400000000001</v>
      </c>
      <c r="T272" s="4"/>
      <c r="U272" s="1" t="str">
        <f t="shared" si="10"/>
        <v>Normal</v>
      </c>
    </row>
    <row r="273" spans="1:21" x14ac:dyDescent="0.25">
      <c r="A273" s="1" t="s">
        <v>285</v>
      </c>
      <c r="B273" s="4">
        <v>45013</v>
      </c>
      <c r="C273" s="1" t="s">
        <v>1485</v>
      </c>
      <c r="D273" s="1" t="s">
        <v>2403</v>
      </c>
      <c r="E273" s="1">
        <v>1</v>
      </c>
      <c r="F273" s="1">
        <v>542.07000000000005</v>
      </c>
      <c r="G273" s="1" t="s">
        <v>2641</v>
      </c>
      <c r="H273" s="1" t="s">
        <v>3069</v>
      </c>
      <c r="I273" s="1" t="s">
        <v>3070</v>
      </c>
      <c r="J273" s="1" t="s">
        <v>3346</v>
      </c>
      <c r="K273" s="1">
        <v>6</v>
      </c>
      <c r="L273" s="1" t="s">
        <v>4277</v>
      </c>
      <c r="M273" s="1" t="s">
        <v>4279</v>
      </c>
      <c r="N273" s="6" t="str">
        <f t="shared" si="9"/>
        <v>Mar</v>
      </c>
      <c r="O273" s="1">
        <v>542.07000000000005</v>
      </c>
      <c r="T273" s="4"/>
      <c r="U273" s="1" t="str">
        <f t="shared" si="10"/>
        <v>Normal</v>
      </c>
    </row>
    <row r="274" spans="1:21" x14ac:dyDescent="0.25">
      <c r="A274" s="1" t="s">
        <v>286</v>
      </c>
      <c r="B274" s="4">
        <v>45188</v>
      </c>
      <c r="C274" s="1" t="s">
        <v>1486</v>
      </c>
      <c r="D274" s="1" t="s">
        <v>2406</v>
      </c>
      <c r="E274" s="1">
        <v>2</v>
      </c>
      <c r="F274" s="1">
        <v>399.32</v>
      </c>
      <c r="G274" s="1" t="s">
        <v>2642</v>
      </c>
      <c r="H274" s="1" t="s">
        <v>3066</v>
      </c>
      <c r="I274" s="1" t="s">
        <v>3074</v>
      </c>
      <c r="J274" s="1" t="s">
        <v>3347</v>
      </c>
      <c r="K274" s="1">
        <v>6</v>
      </c>
      <c r="L274" s="1" t="s">
        <v>4277</v>
      </c>
      <c r="M274" s="1" t="s">
        <v>4278</v>
      </c>
      <c r="N274" s="6" t="str">
        <f t="shared" si="9"/>
        <v>Sep</v>
      </c>
      <c r="O274" s="1">
        <v>798.64</v>
      </c>
      <c r="T274" s="4"/>
      <c r="U274" s="1" t="str">
        <f t="shared" si="10"/>
        <v>Normal</v>
      </c>
    </row>
    <row r="275" spans="1:21" x14ac:dyDescent="0.25">
      <c r="A275" s="1" t="s">
        <v>287</v>
      </c>
      <c r="B275" s="4">
        <v>45592</v>
      </c>
      <c r="C275" s="1" t="s">
        <v>1487</v>
      </c>
      <c r="D275" s="1" t="s">
        <v>2405</v>
      </c>
      <c r="E275" s="1">
        <v>2</v>
      </c>
      <c r="F275" s="1">
        <v>238.25</v>
      </c>
      <c r="G275" s="1" t="s">
        <v>2643</v>
      </c>
      <c r="H275" s="1" t="s">
        <v>3066</v>
      </c>
      <c r="I275" s="1" t="s">
        <v>3071</v>
      </c>
      <c r="J275" s="1" t="s">
        <v>3348</v>
      </c>
      <c r="K275" s="1">
        <v>7</v>
      </c>
      <c r="L275" s="1" t="s">
        <v>4276</v>
      </c>
      <c r="M275" s="1" t="s">
        <v>4280</v>
      </c>
      <c r="N275" s="6" t="str">
        <f t="shared" si="9"/>
        <v>Oct</v>
      </c>
      <c r="O275" s="1">
        <v>476.5</v>
      </c>
      <c r="T275" s="4"/>
      <c r="U275" s="1" t="str">
        <f t="shared" si="10"/>
        <v>Normal</v>
      </c>
    </row>
    <row r="276" spans="1:21" x14ac:dyDescent="0.25">
      <c r="A276" s="1" t="s">
        <v>288</v>
      </c>
      <c r="B276" s="4">
        <v>44961</v>
      </c>
      <c r="C276" s="1" t="s">
        <v>1488</v>
      </c>
      <c r="D276" s="1" t="s">
        <v>2404</v>
      </c>
      <c r="E276" s="1">
        <v>2</v>
      </c>
      <c r="F276" s="1">
        <v>182.4</v>
      </c>
      <c r="G276" s="1" t="s">
        <v>2644</v>
      </c>
      <c r="H276" s="1" t="s">
        <v>3068</v>
      </c>
      <c r="I276" s="1" t="s">
        <v>3071</v>
      </c>
      <c r="J276" s="1" t="s">
        <v>3349</v>
      </c>
      <c r="K276" s="1">
        <v>5</v>
      </c>
      <c r="L276" s="1" t="s">
        <v>4275</v>
      </c>
      <c r="M276" s="1" t="s">
        <v>4279</v>
      </c>
      <c r="N276" s="6" t="str">
        <f t="shared" si="9"/>
        <v>Feb</v>
      </c>
      <c r="O276" s="1">
        <v>364.8</v>
      </c>
      <c r="T276" s="4"/>
      <c r="U276" s="1" t="str">
        <f t="shared" si="10"/>
        <v>Normal</v>
      </c>
    </row>
    <row r="277" spans="1:21" x14ac:dyDescent="0.25">
      <c r="A277" s="1" t="s">
        <v>289</v>
      </c>
      <c r="B277" s="4">
        <v>45234</v>
      </c>
      <c r="C277" s="1" t="s">
        <v>1489</v>
      </c>
      <c r="D277" s="1" t="s">
        <v>2406</v>
      </c>
      <c r="E277" s="1">
        <v>2</v>
      </c>
      <c r="F277" s="1">
        <v>65.069999999999993</v>
      </c>
      <c r="G277" s="1" t="s">
        <v>2645</v>
      </c>
      <c r="H277" s="1" t="s">
        <v>3067</v>
      </c>
      <c r="I277" s="1" t="s">
        <v>3071</v>
      </c>
      <c r="J277" s="1" t="s">
        <v>3350</v>
      </c>
      <c r="K277" s="1">
        <v>4</v>
      </c>
      <c r="L277" s="1" t="s">
        <v>4275</v>
      </c>
      <c r="M277" s="1" t="s">
        <v>4282</v>
      </c>
      <c r="N277" s="6" t="str">
        <f t="shared" si="9"/>
        <v>Nov</v>
      </c>
      <c r="O277" s="1">
        <v>130.13999999999999</v>
      </c>
      <c r="T277" s="4"/>
      <c r="U277" s="1" t="str">
        <f t="shared" si="10"/>
        <v>Normal</v>
      </c>
    </row>
    <row r="278" spans="1:21" x14ac:dyDescent="0.25">
      <c r="A278" s="1" t="s">
        <v>290</v>
      </c>
      <c r="B278" s="4">
        <v>45745</v>
      </c>
      <c r="C278" s="1" t="s">
        <v>1490</v>
      </c>
      <c r="D278" s="1" t="s">
        <v>2407</v>
      </c>
      <c r="E278" s="1">
        <v>2</v>
      </c>
      <c r="F278" s="1">
        <v>600.57000000000005</v>
      </c>
      <c r="G278" s="1" t="s">
        <v>2646</v>
      </c>
      <c r="H278" s="1" t="s">
        <v>3065</v>
      </c>
      <c r="I278" s="1" t="s">
        <v>3072</v>
      </c>
      <c r="J278" s="1" t="s">
        <v>3351</v>
      </c>
      <c r="K278" s="1">
        <v>3</v>
      </c>
      <c r="L278" s="1" t="s">
        <v>4277</v>
      </c>
      <c r="M278" s="1" t="s">
        <v>4278</v>
      </c>
      <c r="N278" s="6" t="str">
        <f t="shared" si="9"/>
        <v>Mar</v>
      </c>
      <c r="O278" s="1">
        <v>1201.1400000000001</v>
      </c>
      <c r="T278" s="4"/>
      <c r="U278" s="1" t="str">
        <f t="shared" si="10"/>
        <v>Normal</v>
      </c>
    </row>
    <row r="279" spans="1:21" x14ac:dyDescent="0.25">
      <c r="A279" s="1" t="s">
        <v>291</v>
      </c>
      <c r="B279" s="4">
        <v>45544</v>
      </c>
      <c r="C279" s="1" t="s">
        <v>1491</v>
      </c>
      <c r="D279" s="1" t="s">
        <v>2406</v>
      </c>
      <c r="E279" s="1">
        <v>5</v>
      </c>
      <c r="F279" s="1">
        <v>90.92</v>
      </c>
      <c r="G279" s="1" t="s">
        <v>2647</v>
      </c>
      <c r="H279" s="1" t="s">
        <v>3067</v>
      </c>
      <c r="I279" s="1" t="s">
        <v>3073</v>
      </c>
      <c r="J279" s="1" t="s">
        <v>3352</v>
      </c>
      <c r="K279" s="1">
        <v>9</v>
      </c>
      <c r="L279" s="1" t="s">
        <v>4275</v>
      </c>
      <c r="M279" s="1" t="s">
        <v>4281</v>
      </c>
      <c r="N279" s="6" t="str">
        <f t="shared" si="9"/>
        <v>Sep</v>
      </c>
      <c r="O279" s="1">
        <v>454.6</v>
      </c>
      <c r="T279" s="4"/>
      <c r="U279" s="1" t="str">
        <f t="shared" si="10"/>
        <v>Normal</v>
      </c>
    </row>
    <row r="280" spans="1:21" x14ac:dyDescent="0.25">
      <c r="A280" s="1" t="s">
        <v>292</v>
      </c>
      <c r="B280" s="4">
        <v>45614</v>
      </c>
      <c r="C280" s="1" t="s">
        <v>1492</v>
      </c>
      <c r="D280" s="1" t="s">
        <v>2408</v>
      </c>
      <c r="E280" s="1">
        <v>5</v>
      </c>
      <c r="F280" s="1">
        <v>362.46</v>
      </c>
      <c r="G280" s="1" t="s">
        <v>2648</v>
      </c>
      <c r="H280" s="1" t="s">
        <v>3069</v>
      </c>
      <c r="I280" s="1" t="s">
        <v>3073</v>
      </c>
      <c r="J280" s="1" t="s">
        <v>3353</v>
      </c>
      <c r="K280" s="1">
        <v>6</v>
      </c>
      <c r="L280" s="1" t="s">
        <v>4276</v>
      </c>
      <c r="M280" s="1" t="s">
        <v>4278</v>
      </c>
      <c r="N280" s="6" t="str">
        <f t="shared" si="9"/>
        <v>Nov</v>
      </c>
      <c r="O280" s="1">
        <v>1812.3</v>
      </c>
      <c r="T280" s="4"/>
      <c r="U280" s="1" t="str">
        <f t="shared" si="10"/>
        <v>Normal</v>
      </c>
    </row>
    <row r="281" spans="1:21" x14ac:dyDescent="0.25">
      <c r="A281" s="1" t="s">
        <v>293</v>
      </c>
      <c r="B281" s="4">
        <v>45219</v>
      </c>
      <c r="C281" s="1" t="s">
        <v>1493</v>
      </c>
      <c r="D281" s="1" t="s">
        <v>2406</v>
      </c>
      <c r="E281" s="1">
        <v>3</v>
      </c>
      <c r="F281" s="1">
        <v>55.01</v>
      </c>
      <c r="G281" s="1" t="s">
        <v>2649</v>
      </c>
      <c r="H281" s="1" t="s">
        <v>3066</v>
      </c>
      <c r="I281" s="1" t="s">
        <v>3074</v>
      </c>
      <c r="J281" s="1" t="s">
        <v>3354</v>
      </c>
      <c r="K281" s="1">
        <v>7</v>
      </c>
      <c r="L281" s="1" t="s">
        <v>4277</v>
      </c>
      <c r="M281" s="1" t="s">
        <v>4280</v>
      </c>
      <c r="N281" s="6" t="str">
        <f t="shared" si="9"/>
        <v>Oct</v>
      </c>
      <c r="O281" s="1">
        <v>165.03</v>
      </c>
      <c r="T281" s="4"/>
      <c r="U281" s="1" t="str">
        <f t="shared" si="10"/>
        <v>Normal</v>
      </c>
    </row>
    <row r="282" spans="1:21" x14ac:dyDescent="0.25">
      <c r="A282" s="1" t="s">
        <v>294</v>
      </c>
      <c r="B282" s="4">
        <v>45012</v>
      </c>
      <c r="C282" s="1" t="s">
        <v>1494</v>
      </c>
      <c r="D282" s="1" t="s">
        <v>2405</v>
      </c>
      <c r="E282" s="1">
        <v>3</v>
      </c>
      <c r="F282" s="1">
        <v>404.62</v>
      </c>
      <c r="G282" s="1" t="s">
        <v>2650</v>
      </c>
      <c r="H282" s="1" t="s">
        <v>3068</v>
      </c>
      <c r="I282" s="1" t="s">
        <v>3073</v>
      </c>
      <c r="J282" s="1" t="s">
        <v>3355</v>
      </c>
      <c r="K282" s="1">
        <v>6</v>
      </c>
      <c r="L282" s="1" t="s">
        <v>4276</v>
      </c>
      <c r="M282" s="1" t="s">
        <v>4278</v>
      </c>
      <c r="N282" s="6" t="str">
        <f t="shared" si="9"/>
        <v>Mar</v>
      </c>
      <c r="O282" s="1">
        <v>1213.8599999999999</v>
      </c>
      <c r="T282" s="4"/>
      <c r="U282" s="1" t="str">
        <f t="shared" si="10"/>
        <v>Normal</v>
      </c>
    </row>
    <row r="283" spans="1:21" x14ac:dyDescent="0.25">
      <c r="A283" s="1" t="s">
        <v>295</v>
      </c>
      <c r="B283" s="4">
        <v>45134</v>
      </c>
      <c r="C283" s="1" t="s">
        <v>1495</v>
      </c>
      <c r="D283" s="1" t="s">
        <v>2409</v>
      </c>
      <c r="E283" s="1">
        <v>4</v>
      </c>
      <c r="F283" s="1">
        <v>654.79</v>
      </c>
      <c r="G283" s="1" t="s">
        <v>2651</v>
      </c>
      <c r="H283" s="1" t="s">
        <v>3069</v>
      </c>
      <c r="I283" s="1" t="s">
        <v>3074</v>
      </c>
      <c r="J283" s="1" t="s">
        <v>3356</v>
      </c>
      <c r="K283" s="1">
        <v>9</v>
      </c>
      <c r="L283" s="1" t="s">
        <v>4283</v>
      </c>
      <c r="M283" s="1" t="s">
        <v>4279</v>
      </c>
      <c r="N283" s="6" t="str">
        <f t="shared" si="9"/>
        <v>Jul</v>
      </c>
      <c r="O283" s="1">
        <v>2619.16</v>
      </c>
      <c r="T283" s="4"/>
      <c r="U283" s="1" t="str">
        <f t="shared" si="10"/>
        <v>Normal</v>
      </c>
    </row>
    <row r="284" spans="1:21" x14ac:dyDescent="0.25">
      <c r="A284" s="1" t="s">
        <v>296</v>
      </c>
      <c r="B284" s="4">
        <v>45769</v>
      </c>
      <c r="C284" s="1" t="s">
        <v>1496</v>
      </c>
      <c r="D284" s="1" t="s">
        <v>2407</v>
      </c>
      <c r="E284" s="1">
        <v>4</v>
      </c>
      <c r="F284" s="1">
        <v>637.79</v>
      </c>
      <c r="G284" s="1" t="s">
        <v>2652</v>
      </c>
      <c r="H284" s="1" t="s">
        <v>3068</v>
      </c>
      <c r="I284" s="1" t="s">
        <v>3071</v>
      </c>
      <c r="J284" s="1" t="s">
        <v>3357</v>
      </c>
      <c r="K284" s="1">
        <v>9</v>
      </c>
      <c r="L284" s="1" t="s">
        <v>4276</v>
      </c>
      <c r="M284" s="1" t="s">
        <v>4282</v>
      </c>
      <c r="N284" s="6" t="str">
        <f t="shared" si="9"/>
        <v>Apr</v>
      </c>
      <c r="O284" s="1">
        <v>2551.16</v>
      </c>
      <c r="T284" s="4"/>
      <c r="U284" s="1" t="str">
        <f t="shared" si="10"/>
        <v>Normal</v>
      </c>
    </row>
    <row r="285" spans="1:21" x14ac:dyDescent="0.25">
      <c r="A285" s="1" t="s">
        <v>297</v>
      </c>
      <c r="B285" s="4">
        <v>45716</v>
      </c>
      <c r="C285" s="1" t="s">
        <v>1497</v>
      </c>
      <c r="D285" s="1" t="s">
        <v>2408</v>
      </c>
      <c r="E285" s="1">
        <v>4</v>
      </c>
      <c r="F285" s="1">
        <v>540.33000000000004</v>
      </c>
      <c r="G285" s="1" t="s">
        <v>2653</v>
      </c>
      <c r="H285" s="1" t="s">
        <v>3069</v>
      </c>
      <c r="I285" s="1" t="s">
        <v>3070</v>
      </c>
      <c r="J285" s="1" t="s">
        <v>3358</v>
      </c>
      <c r="K285" s="1">
        <v>6</v>
      </c>
      <c r="L285" s="1" t="s">
        <v>4283</v>
      </c>
      <c r="M285" s="1" t="s">
        <v>4282</v>
      </c>
      <c r="N285" s="6" t="str">
        <f t="shared" si="9"/>
        <v>Feb</v>
      </c>
      <c r="O285" s="1">
        <v>2161.3200000000002</v>
      </c>
      <c r="T285" s="4"/>
      <c r="U285" s="1" t="str">
        <f t="shared" si="10"/>
        <v>Normal</v>
      </c>
    </row>
    <row r="286" spans="1:21" x14ac:dyDescent="0.25">
      <c r="A286" s="1" t="s">
        <v>298</v>
      </c>
      <c r="B286" s="4">
        <v>44973</v>
      </c>
      <c r="C286" s="1" t="s">
        <v>1498</v>
      </c>
      <c r="D286" s="1" t="s">
        <v>2408</v>
      </c>
      <c r="E286" s="1">
        <v>5</v>
      </c>
      <c r="F286" s="1">
        <v>208.17</v>
      </c>
      <c r="G286" s="1" t="s">
        <v>2654</v>
      </c>
      <c r="H286" s="1" t="s">
        <v>3067</v>
      </c>
      <c r="I286" s="1" t="s">
        <v>3072</v>
      </c>
      <c r="J286" s="1" t="s">
        <v>3359</v>
      </c>
      <c r="K286" s="1">
        <v>6</v>
      </c>
      <c r="L286" s="1" t="s">
        <v>4275</v>
      </c>
      <c r="M286" s="1" t="s">
        <v>4281</v>
      </c>
      <c r="N286" s="6" t="str">
        <f t="shared" si="9"/>
        <v>Feb</v>
      </c>
      <c r="O286" s="1">
        <v>1040.8499999999999</v>
      </c>
      <c r="T286" s="4"/>
      <c r="U286" s="1" t="str">
        <f t="shared" si="10"/>
        <v>Normal</v>
      </c>
    </row>
    <row r="287" spans="1:21" x14ac:dyDescent="0.25">
      <c r="A287" s="1" t="s">
        <v>299</v>
      </c>
      <c r="B287" s="4">
        <v>45818</v>
      </c>
      <c r="C287" s="1" t="s">
        <v>1499</v>
      </c>
      <c r="D287" s="1" t="s">
        <v>2404</v>
      </c>
      <c r="E287" s="1">
        <v>1</v>
      </c>
      <c r="F287" s="1">
        <v>338.31</v>
      </c>
      <c r="G287" s="1" t="s">
        <v>2643</v>
      </c>
      <c r="H287" s="1" t="s">
        <v>3066</v>
      </c>
      <c r="I287" s="1" t="s">
        <v>3073</v>
      </c>
      <c r="J287" s="1" t="s">
        <v>3360</v>
      </c>
      <c r="K287" s="1">
        <v>3</v>
      </c>
      <c r="L287" s="1" t="s">
        <v>4283</v>
      </c>
      <c r="M287" s="1" t="s">
        <v>4282</v>
      </c>
      <c r="N287" s="6" t="str">
        <f t="shared" si="9"/>
        <v>Jun</v>
      </c>
      <c r="O287" s="1">
        <v>338.31</v>
      </c>
      <c r="T287" s="4"/>
      <c r="U287" s="1" t="str">
        <f t="shared" si="10"/>
        <v>Normal</v>
      </c>
    </row>
    <row r="288" spans="1:21" x14ac:dyDescent="0.25">
      <c r="A288" s="1" t="s">
        <v>300</v>
      </c>
      <c r="B288" s="4">
        <v>45754</v>
      </c>
      <c r="C288" s="1" t="s">
        <v>1500</v>
      </c>
      <c r="D288" s="1" t="s">
        <v>2403</v>
      </c>
      <c r="E288" s="1">
        <v>3</v>
      </c>
      <c r="F288" s="1">
        <v>139.44999999999999</v>
      </c>
      <c r="G288" s="1" t="s">
        <v>2522</v>
      </c>
      <c r="H288" s="1" t="s">
        <v>3068</v>
      </c>
      <c r="I288" s="1" t="s">
        <v>3072</v>
      </c>
      <c r="J288" s="1" t="s">
        <v>3361</v>
      </c>
      <c r="K288" s="1">
        <v>8</v>
      </c>
      <c r="L288" s="1" t="s">
        <v>4277</v>
      </c>
      <c r="M288" s="1" t="s">
        <v>4282</v>
      </c>
      <c r="N288" s="6" t="str">
        <f t="shared" si="9"/>
        <v>Apr</v>
      </c>
      <c r="O288" s="1">
        <v>418.35</v>
      </c>
      <c r="T288" s="4"/>
      <c r="U288" s="1" t="str">
        <f t="shared" si="10"/>
        <v>Normal</v>
      </c>
    </row>
    <row r="289" spans="1:21" x14ac:dyDescent="0.25">
      <c r="A289" s="1" t="s">
        <v>301</v>
      </c>
      <c r="B289" s="4">
        <v>45254</v>
      </c>
      <c r="C289" s="1" t="s">
        <v>1501</v>
      </c>
      <c r="D289" s="1" t="s">
        <v>2406</v>
      </c>
      <c r="E289" s="1">
        <v>4</v>
      </c>
      <c r="F289" s="1">
        <v>655.17999999999995</v>
      </c>
      <c r="G289" s="1" t="s">
        <v>2655</v>
      </c>
      <c r="H289" s="1" t="s">
        <v>3066</v>
      </c>
      <c r="I289" s="1" t="s">
        <v>3070</v>
      </c>
      <c r="J289" s="1" t="s">
        <v>3362</v>
      </c>
      <c r="K289" s="1">
        <v>5</v>
      </c>
      <c r="L289" s="1" t="s">
        <v>4283</v>
      </c>
      <c r="M289" s="1" t="s">
        <v>4281</v>
      </c>
      <c r="N289" s="6" t="str">
        <f t="shared" si="9"/>
        <v>Nov</v>
      </c>
      <c r="O289" s="1">
        <v>2620.7199999999998</v>
      </c>
      <c r="T289" s="4"/>
      <c r="U289" s="1" t="str">
        <f t="shared" si="10"/>
        <v>Normal</v>
      </c>
    </row>
    <row r="290" spans="1:21" x14ac:dyDescent="0.25">
      <c r="A290" s="1" t="s">
        <v>302</v>
      </c>
      <c r="B290" s="4">
        <v>44997</v>
      </c>
      <c r="C290" s="1" t="s">
        <v>1502</v>
      </c>
      <c r="D290" s="1" t="s">
        <v>2408</v>
      </c>
      <c r="E290" s="1">
        <v>4</v>
      </c>
      <c r="F290" s="1">
        <v>512.75</v>
      </c>
      <c r="G290" s="1" t="s">
        <v>2656</v>
      </c>
      <c r="H290" s="1" t="s">
        <v>3065</v>
      </c>
      <c r="I290" s="1" t="s">
        <v>3072</v>
      </c>
      <c r="J290" s="1" t="s">
        <v>3363</v>
      </c>
      <c r="K290" s="1">
        <v>8</v>
      </c>
      <c r="L290" s="1" t="s">
        <v>4277</v>
      </c>
      <c r="M290" s="1" t="s">
        <v>4282</v>
      </c>
      <c r="N290" s="6" t="str">
        <f t="shared" si="9"/>
        <v>Mar</v>
      </c>
      <c r="O290" s="1">
        <v>2051</v>
      </c>
      <c r="T290" s="4"/>
      <c r="U290" s="1" t="str">
        <f t="shared" si="10"/>
        <v>Normal</v>
      </c>
    </row>
    <row r="291" spans="1:21" x14ac:dyDescent="0.25">
      <c r="A291" s="1" t="s">
        <v>303</v>
      </c>
      <c r="B291" s="4">
        <v>45133</v>
      </c>
      <c r="C291" s="1" t="s">
        <v>1503</v>
      </c>
      <c r="D291" s="1" t="s">
        <v>2406</v>
      </c>
      <c r="E291" s="1">
        <v>4</v>
      </c>
      <c r="F291" s="1">
        <v>160.49</v>
      </c>
      <c r="G291" s="1" t="s">
        <v>2420</v>
      </c>
      <c r="H291" s="1" t="s">
        <v>3067</v>
      </c>
      <c r="I291" s="1" t="s">
        <v>3070</v>
      </c>
      <c r="J291" s="1" t="s">
        <v>3364</v>
      </c>
      <c r="K291" s="1">
        <v>8</v>
      </c>
      <c r="L291" s="1" t="s">
        <v>4277</v>
      </c>
      <c r="M291" s="1" t="s">
        <v>4279</v>
      </c>
      <c r="N291" s="6" t="str">
        <f t="shared" si="9"/>
        <v>Jul</v>
      </c>
      <c r="O291" s="1">
        <v>641.96</v>
      </c>
      <c r="T291" s="4"/>
      <c r="U291" s="1" t="str">
        <f t="shared" si="10"/>
        <v>Normal</v>
      </c>
    </row>
    <row r="292" spans="1:21" x14ac:dyDescent="0.25">
      <c r="A292" s="1" t="s">
        <v>304</v>
      </c>
      <c r="B292" s="4">
        <v>45051</v>
      </c>
      <c r="C292" s="1" t="s">
        <v>1504</v>
      </c>
      <c r="D292" s="1" t="s">
        <v>2406</v>
      </c>
      <c r="E292" s="1">
        <v>3</v>
      </c>
      <c r="F292" s="1">
        <v>99.9</v>
      </c>
      <c r="G292" s="1" t="s">
        <v>2575</v>
      </c>
      <c r="H292" s="1" t="s">
        <v>3069</v>
      </c>
      <c r="I292" s="1" t="s">
        <v>3073</v>
      </c>
      <c r="J292" s="1" t="s">
        <v>3365</v>
      </c>
      <c r="K292" s="1">
        <v>8</v>
      </c>
      <c r="L292" s="1" t="s">
        <v>4276</v>
      </c>
      <c r="M292" s="1" t="s">
        <v>4281</v>
      </c>
      <c r="N292" s="6" t="str">
        <f t="shared" si="9"/>
        <v>May</v>
      </c>
      <c r="O292" s="1">
        <v>299.7</v>
      </c>
      <c r="T292" s="4"/>
      <c r="U292" s="1" t="str">
        <f t="shared" si="10"/>
        <v>Normal</v>
      </c>
    </row>
    <row r="293" spans="1:21" x14ac:dyDescent="0.25">
      <c r="A293" s="1" t="s">
        <v>305</v>
      </c>
      <c r="B293" s="4">
        <v>45424</v>
      </c>
      <c r="C293" s="1" t="s">
        <v>1505</v>
      </c>
      <c r="D293" s="1" t="s">
        <v>2404</v>
      </c>
      <c r="E293" s="1">
        <v>2</v>
      </c>
      <c r="F293" s="1">
        <v>345.01</v>
      </c>
      <c r="G293" s="1" t="s">
        <v>2657</v>
      </c>
      <c r="H293" s="1" t="s">
        <v>3067</v>
      </c>
      <c r="I293" s="1" t="s">
        <v>3073</v>
      </c>
      <c r="J293" s="1" t="s">
        <v>3366</v>
      </c>
      <c r="K293" s="1">
        <v>6</v>
      </c>
      <c r="L293" s="1" t="s">
        <v>4276</v>
      </c>
      <c r="M293" s="1" t="s">
        <v>4282</v>
      </c>
      <c r="N293" s="6" t="str">
        <f t="shared" si="9"/>
        <v>May</v>
      </c>
      <c r="O293" s="1">
        <v>690.02</v>
      </c>
      <c r="T293" s="4"/>
      <c r="U293" s="1" t="str">
        <f t="shared" si="10"/>
        <v>Normal</v>
      </c>
    </row>
    <row r="294" spans="1:21" x14ac:dyDescent="0.25">
      <c r="A294" s="1" t="s">
        <v>306</v>
      </c>
      <c r="B294" s="4">
        <v>45672</v>
      </c>
      <c r="C294" s="1" t="s">
        <v>1506</v>
      </c>
      <c r="D294" s="1" t="s">
        <v>2403</v>
      </c>
      <c r="E294" s="1">
        <v>1</v>
      </c>
      <c r="F294" s="1">
        <v>65.95</v>
      </c>
      <c r="G294" s="1" t="s">
        <v>2594</v>
      </c>
      <c r="H294" s="1" t="s">
        <v>3067</v>
      </c>
      <c r="I294" s="1" t="s">
        <v>3073</v>
      </c>
      <c r="J294" s="1" t="s">
        <v>3367</v>
      </c>
      <c r="K294" s="1">
        <v>5</v>
      </c>
      <c r="L294" s="1" t="s">
        <v>4283</v>
      </c>
      <c r="M294" s="1" t="s">
        <v>4281</v>
      </c>
      <c r="N294" s="6" t="str">
        <f t="shared" si="9"/>
        <v>Jan</v>
      </c>
      <c r="O294" s="1">
        <v>65.95</v>
      </c>
      <c r="T294" s="4"/>
      <c r="U294" s="1" t="str">
        <f t="shared" si="10"/>
        <v>Normal</v>
      </c>
    </row>
    <row r="295" spans="1:21" x14ac:dyDescent="0.25">
      <c r="A295" s="1" t="s">
        <v>307</v>
      </c>
      <c r="B295" s="4">
        <v>44973</v>
      </c>
      <c r="C295" s="1" t="s">
        <v>1507</v>
      </c>
      <c r="D295" s="1" t="s">
        <v>2405</v>
      </c>
      <c r="E295" s="1">
        <v>4</v>
      </c>
      <c r="F295" s="1">
        <v>463.04</v>
      </c>
      <c r="G295" s="1" t="s">
        <v>2658</v>
      </c>
      <c r="H295" s="1" t="s">
        <v>3068</v>
      </c>
      <c r="I295" s="1" t="s">
        <v>3072</v>
      </c>
      <c r="J295" s="1" t="s">
        <v>3368</v>
      </c>
      <c r="K295" s="1">
        <v>9</v>
      </c>
      <c r="L295" s="1" t="s">
        <v>4283</v>
      </c>
      <c r="M295" s="1" t="s">
        <v>4278</v>
      </c>
      <c r="N295" s="6" t="str">
        <f t="shared" si="9"/>
        <v>Feb</v>
      </c>
      <c r="O295" s="1">
        <v>1852.16</v>
      </c>
      <c r="T295" s="4"/>
      <c r="U295" s="1" t="str">
        <f t="shared" si="10"/>
        <v>Normal</v>
      </c>
    </row>
    <row r="296" spans="1:21" x14ac:dyDescent="0.25">
      <c r="A296" s="1" t="s">
        <v>308</v>
      </c>
      <c r="B296" s="4">
        <v>45748</v>
      </c>
      <c r="C296" s="1" t="s">
        <v>1508</v>
      </c>
      <c r="D296" s="1" t="s">
        <v>2404</v>
      </c>
      <c r="E296" s="1">
        <v>2</v>
      </c>
      <c r="F296" s="1">
        <v>297.70999999999998</v>
      </c>
      <c r="G296" s="1" t="s">
        <v>2659</v>
      </c>
      <c r="H296" s="1" t="s">
        <v>3066</v>
      </c>
      <c r="I296" s="1" t="s">
        <v>3070</v>
      </c>
      <c r="J296" s="1" t="s">
        <v>3369</v>
      </c>
      <c r="K296" s="1">
        <v>7</v>
      </c>
      <c r="L296" s="1" t="s">
        <v>4275</v>
      </c>
      <c r="M296" s="1" t="s">
        <v>4279</v>
      </c>
      <c r="N296" s="6" t="str">
        <f t="shared" si="9"/>
        <v>Apr</v>
      </c>
      <c r="O296" s="1">
        <v>595.41999999999996</v>
      </c>
      <c r="T296" s="4"/>
      <c r="U296" s="1" t="str">
        <f t="shared" si="10"/>
        <v>Normal</v>
      </c>
    </row>
    <row r="297" spans="1:21" x14ac:dyDescent="0.25">
      <c r="A297" s="1" t="s">
        <v>309</v>
      </c>
      <c r="B297" s="4">
        <v>44951</v>
      </c>
      <c r="C297" s="1" t="s">
        <v>1509</v>
      </c>
      <c r="D297" s="1" t="s">
        <v>2407</v>
      </c>
      <c r="E297" s="1">
        <v>5</v>
      </c>
      <c r="F297" s="1">
        <v>107.48</v>
      </c>
      <c r="G297" s="1" t="s">
        <v>2660</v>
      </c>
      <c r="H297" s="1" t="s">
        <v>3065</v>
      </c>
      <c r="I297" s="1" t="s">
        <v>3071</v>
      </c>
      <c r="J297" s="1" t="s">
        <v>3370</v>
      </c>
      <c r="K297" s="1">
        <v>9</v>
      </c>
      <c r="L297" s="1" t="s">
        <v>4276</v>
      </c>
      <c r="M297" s="1" t="s">
        <v>4280</v>
      </c>
      <c r="N297" s="6" t="str">
        <f t="shared" si="9"/>
        <v>Jan</v>
      </c>
      <c r="O297" s="1">
        <v>537.4</v>
      </c>
      <c r="T297" s="4"/>
      <c r="U297" s="1" t="str">
        <f t="shared" si="10"/>
        <v>Normal</v>
      </c>
    </row>
    <row r="298" spans="1:21" x14ac:dyDescent="0.25">
      <c r="A298" s="1" t="s">
        <v>310</v>
      </c>
      <c r="B298" s="4">
        <v>45462</v>
      </c>
      <c r="C298" s="1" t="s">
        <v>1510</v>
      </c>
      <c r="D298" s="1" t="s">
        <v>2409</v>
      </c>
      <c r="E298" s="1">
        <v>5</v>
      </c>
      <c r="F298" s="1">
        <v>638.79999999999995</v>
      </c>
      <c r="G298" s="1" t="s">
        <v>2458</v>
      </c>
      <c r="H298" s="1" t="s">
        <v>3065</v>
      </c>
      <c r="I298" s="1" t="s">
        <v>3071</v>
      </c>
      <c r="J298" s="1" t="s">
        <v>3371</v>
      </c>
      <c r="K298" s="1">
        <v>10</v>
      </c>
      <c r="L298" s="1" t="s">
        <v>4277</v>
      </c>
      <c r="M298" s="1" t="s">
        <v>4279</v>
      </c>
      <c r="N298" s="6" t="str">
        <f t="shared" si="9"/>
        <v>Jun</v>
      </c>
      <c r="O298" s="1">
        <v>3194</v>
      </c>
      <c r="T298" s="4"/>
      <c r="U298" s="1" t="str">
        <f t="shared" si="10"/>
        <v>Normal</v>
      </c>
    </row>
    <row r="299" spans="1:21" x14ac:dyDescent="0.25">
      <c r="A299" s="1" t="s">
        <v>311</v>
      </c>
      <c r="B299" s="4">
        <v>44979</v>
      </c>
      <c r="C299" s="1" t="s">
        <v>1511</v>
      </c>
      <c r="D299" s="1" t="s">
        <v>2409</v>
      </c>
      <c r="E299" s="1">
        <v>2</v>
      </c>
      <c r="F299" s="1">
        <v>493.88</v>
      </c>
      <c r="G299" s="1" t="s">
        <v>2661</v>
      </c>
      <c r="H299" s="1" t="s">
        <v>3067</v>
      </c>
      <c r="I299" s="1" t="s">
        <v>3072</v>
      </c>
      <c r="J299" s="1" t="s">
        <v>3372</v>
      </c>
      <c r="K299" s="1">
        <v>7</v>
      </c>
      <c r="L299" s="1" t="s">
        <v>4275</v>
      </c>
      <c r="M299" s="1" t="s">
        <v>4278</v>
      </c>
      <c r="N299" s="6" t="str">
        <f t="shared" si="9"/>
        <v>Feb</v>
      </c>
      <c r="O299" s="1">
        <v>987.76</v>
      </c>
      <c r="T299" s="4"/>
      <c r="U299" s="1" t="str">
        <f t="shared" si="10"/>
        <v>Normal</v>
      </c>
    </row>
    <row r="300" spans="1:21" x14ac:dyDescent="0.25">
      <c r="A300" s="1" t="s">
        <v>312</v>
      </c>
      <c r="B300" s="4">
        <v>45279</v>
      </c>
      <c r="C300" s="1" t="s">
        <v>1512</v>
      </c>
      <c r="D300" s="1" t="s">
        <v>2407</v>
      </c>
      <c r="E300" s="1">
        <v>4</v>
      </c>
      <c r="F300" s="1">
        <v>301.17</v>
      </c>
      <c r="G300" s="1" t="s">
        <v>2450</v>
      </c>
      <c r="H300" s="1" t="s">
        <v>3066</v>
      </c>
      <c r="I300" s="1" t="s">
        <v>3071</v>
      </c>
      <c r="J300" s="1" t="s">
        <v>3373</v>
      </c>
      <c r="K300" s="1">
        <v>6</v>
      </c>
      <c r="L300" s="1" t="s">
        <v>4283</v>
      </c>
      <c r="M300" s="1" t="s">
        <v>4280</v>
      </c>
      <c r="N300" s="6" t="str">
        <f t="shared" si="9"/>
        <v>Dec</v>
      </c>
      <c r="O300" s="1">
        <v>1204.68</v>
      </c>
      <c r="T300" s="4"/>
      <c r="U300" s="1" t="str">
        <f t="shared" si="10"/>
        <v>Normal</v>
      </c>
    </row>
    <row r="301" spans="1:21" x14ac:dyDescent="0.25">
      <c r="A301" s="1" t="s">
        <v>313</v>
      </c>
      <c r="B301" s="4">
        <v>45311</v>
      </c>
      <c r="C301" s="1" t="s">
        <v>1513</v>
      </c>
      <c r="D301" s="1" t="s">
        <v>2403</v>
      </c>
      <c r="E301" s="1">
        <v>1</v>
      </c>
      <c r="F301" s="1">
        <v>278.66000000000003</v>
      </c>
      <c r="G301" s="1" t="s">
        <v>2662</v>
      </c>
      <c r="H301" s="1" t="s">
        <v>3068</v>
      </c>
      <c r="I301" s="1" t="s">
        <v>3071</v>
      </c>
      <c r="J301" s="1" t="s">
        <v>3374</v>
      </c>
      <c r="K301" s="1">
        <v>2</v>
      </c>
      <c r="L301" s="1" t="s">
        <v>4276</v>
      </c>
      <c r="M301" s="1" t="s">
        <v>4278</v>
      </c>
      <c r="N301" s="6" t="str">
        <f t="shared" si="9"/>
        <v>Jan</v>
      </c>
      <c r="O301" s="1">
        <v>278.66000000000003</v>
      </c>
      <c r="T301" s="4"/>
      <c r="U301" s="1" t="str">
        <f t="shared" si="10"/>
        <v>Normal</v>
      </c>
    </row>
    <row r="302" spans="1:21" x14ac:dyDescent="0.25">
      <c r="A302" s="1" t="s">
        <v>314</v>
      </c>
      <c r="B302" s="4">
        <v>45537</v>
      </c>
      <c r="C302" s="1" t="s">
        <v>1514</v>
      </c>
      <c r="D302" s="1" t="s">
        <v>2404</v>
      </c>
      <c r="E302" s="1">
        <v>1</v>
      </c>
      <c r="F302" s="1">
        <v>287.45999999999998</v>
      </c>
      <c r="G302" s="1" t="s">
        <v>2663</v>
      </c>
      <c r="H302" s="1" t="s">
        <v>3065</v>
      </c>
      <c r="I302" s="1" t="s">
        <v>3072</v>
      </c>
      <c r="J302" s="1" t="s">
        <v>3375</v>
      </c>
      <c r="K302" s="1">
        <v>3</v>
      </c>
      <c r="L302" s="1" t="s">
        <v>4276</v>
      </c>
      <c r="M302" s="1" t="s">
        <v>4281</v>
      </c>
      <c r="N302" s="6" t="str">
        <f t="shared" si="9"/>
        <v>Sep</v>
      </c>
      <c r="O302" s="1">
        <v>287.45999999999998</v>
      </c>
      <c r="T302" s="4"/>
      <c r="U302" s="1" t="str">
        <f t="shared" si="10"/>
        <v>Normal</v>
      </c>
    </row>
    <row r="303" spans="1:21" x14ac:dyDescent="0.25">
      <c r="A303" s="1" t="s">
        <v>315</v>
      </c>
      <c r="B303" s="4">
        <v>45057</v>
      </c>
      <c r="C303" s="1" t="s">
        <v>1515</v>
      </c>
      <c r="D303" s="1" t="s">
        <v>2406</v>
      </c>
      <c r="E303" s="1">
        <v>1</v>
      </c>
      <c r="F303" s="1">
        <v>583.99</v>
      </c>
      <c r="G303" s="1" t="s">
        <v>2664</v>
      </c>
      <c r="H303" s="1" t="s">
        <v>3069</v>
      </c>
      <c r="I303" s="1" t="s">
        <v>3071</v>
      </c>
      <c r="J303" s="1" t="s">
        <v>3376</v>
      </c>
      <c r="K303" s="1">
        <v>2</v>
      </c>
      <c r="L303" s="1" t="s">
        <v>4275</v>
      </c>
      <c r="M303" s="1" t="s">
        <v>4280</v>
      </c>
      <c r="N303" s="6" t="str">
        <f t="shared" si="9"/>
        <v>May</v>
      </c>
      <c r="O303" s="1">
        <v>583.99</v>
      </c>
      <c r="T303" s="4"/>
      <c r="U303" s="1" t="str">
        <f t="shared" si="10"/>
        <v>Normal</v>
      </c>
    </row>
    <row r="304" spans="1:21" x14ac:dyDescent="0.25">
      <c r="A304" s="1" t="s">
        <v>316</v>
      </c>
      <c r="B304" s="4">
        <v>45062</v>
      </c>
      <c r="C304" s="1" t="s">
        <v>1516</v>
      </c>
      <c r="D304" s="1" t="s">
        <v>2406</v>
      </c>
      <c r="E304" s="1">
        <v>3</v>
      </c>
      <c r="F304" s="1">
        <v>468.74</v>
      </c>
      <c r="G304" s="1" t="s">
        <v>2665</v>
      </c>
      <c r="H304" s="1" t="s">
        <v>3069</v>
      </c>
      <c r="I304" s="1" t="s">
        <v>3074</v>
      </c>
      <c r="J304" s="1" t="s">
        <v>3377</v>
      </c>
      <c r="K304" s="1">
        <v>4</v>
      </c>
      <c r="L304" s="1" t="s">
        <v>4276</v>
      </c>
      <c r="M304" s="1" t="s">
        <v>4278</v>
      </c>
      <c r="N304" s="6" t="str">
        <f t="shared" si="9"/>
        <v>May</v>
      </c>
      <c r="O304" s="1">
        <v>1406.22</v>
      </c>
      <c r="T304" s="4"/>
      <c r="U304" s="1" t="str">
        <f t="shared" si="10"/>
        <v>Normal</v>
      </c>
    </row>
    <row r="305" spans="1:21" x14ac:dyDescent="0.25">
      <c r="A305" s="1" t="s">
        <v>317</v>
      </c>
      <c r="B305" s="4">
        <v>45633</v>
      </c>
      <c r="C305" s="1" t="s">
        <v>1517</v>
      </c>
      <c r="D305" s="1" t="s">
        <v>2405</v>
      </c>
      <c r="E305" s="1">
        <v>1</v>
      </c>
      <c r="F305" s="1">
        <v>30.54</v>
      </c>
      <c r="G305" s="1" t="s">
        <v>2666</v>
      </c>
      <c r="H305" s="1" t="s">
        <v>3065</v>
      </c>
      <c r="I305" s="1" t="s">
        <v>3072</v>
      </c>
      <c r="J305" s="1" t="s">
        <v>3378</v>
      </c>
      <c r="K305" s="1">
        <v>1</v>
      </c>
      <c r="L305" s="1" t="s">
        <v>4283</v>
      </c>
      <c r="M305" s="1" t="s">
        <v>4282</v>
      </c>
      <c r="N305" s="6" t="str">
        <f t="shared" si="9"/>
        <v>Dec</v>
      </c>
      <c r="O305" s="1">
        <v>30.54</v>
      </c>
      <c r="T305" s="4"/>
      <c r="U305" s="1" t="str">
        <f t="shared" si="10"/>
        <v>Normal</v>
      </c>
    </row>
    <row r="306" spans="1:21" x14ac:dyDescent="0.25">
      <c r="A306" s="1" t="s">
        <v>318</v>
      </c>
      <c r="B306" s="4">
        <v>45583</v>
      </c>
      <c r="C306" s="1" t="s">
        <v>1518</v>
      </c>
      <c r="D306" s="1" t="s">
        <v>2403</v>
      </c>
      <c r="E306" s="1">
        <v>5</v>
      </c>
      <c r="F306" s="1">
        <v>408.73</v>
      </c>
      <c r="G306" s="1" t="s">
        <v>2667</v>
      </c>
      <c r="H306" s="1" t="s">
        <v>3068</v>
      </c>
      <c r="I306" s="1" t="s">
        <v>3073</v>
      </c>
      <c r="J306" s="1" t="s">
        <v>3379</v>
      </c>
      <c r="K306" s="1">
        <v>10</v>
      </c>
      <c r="L306" s="1" t="s">
        <v>4276</v>
      </c>
      <c r="M306" s="1" t="s">
        <v>4278</v>
      </c>
      <c r="N306" s="6" t="str">
        <f t="shared" si="9"/>
        <v>Oct</v>
      </c>
      <c r="O306" s="1">
        <v>2043.65</v>
      </c>
      <c r="T306" s="4"/>
      <c r="U306" s="1" t="str">
        <f t="shared" si="10"/>
        <v>Normal</v>
      </c>
    </row>
    <row r="307" spans="1:21" x14ac:dyDescent="0.25">
      <c r="A307" s="1" t="s">
        <v>319</v>
      </c>
      <c r="B307" s="4">
        <v>45255</v>
      </c>
      <c r="C307" s="1" t="s">
        <v>1519</v>
      </c>
      <c r="D307" s="1" t="s">
        <v>2408</v>
      </c>
      <c r="E307" s="1">
        <v>4</v>
      </c>
      <c r="F307" s="1">
        <v>126.89</v>
      </c>
      <c r="G307" s="1" t="s">
        <v>2668</v>
      </c>
      <c r="H307" s="1" t="s">
        <v>3069</v>
      </c>
      <c r="I307" s="1" t="s">
        <v>3074</v>
      </c>
      <c r="J307" s="1" t="s">
        <v>3380</v>
      </c>
      <c r="K307" s="1">
        <v>9</v>
      </c>
      <c r="L307" s="1" t="s">
        <v>4276</v>
      </c>
      <c r="M307" s="1" t="s">
        <v>4278</v>
      </c>
      <c r="N307" s="6" t="str">
        <f t="shared" si="9"/>
        <v>Nov</v>
      </c>
      <c r="O307" s="1">
        <v>507.56</v>
      </c>
      <c r="T307" s="4"/>
      <c r="U307" s="1" t="str">
        <f t="shared" si="10"/>
        <v>Normal</v>
      </c>
    </row>
    <row r="308" spans="1:21" x14ac:dyDescent="0.25">
      <c r="A308" s="1" t="s">
        <v>320</v>
      </c>
      <c r="B308" s="4">
        <v>45450</v>
      </c>
      <c r="C308" s="1" t="s">
        <v>1520</v>
      </c>
      <c r="D308" s="1" t="s">
        <v>2407</v>
      </c>
      <c r="E308" s="1">
        <v>2</v>
      </c>
      <c r="F308" s="1">
        <v>57.07</v>
      </c>
      <c r="G308" s="1" t="s">
        <v>2669</v>
      </c>
      <c r="H308" s="1" t="s">
        <v>3065</v>
      </c>
      <c r="I308" s="1" t="s">
        <v>3072</v>
      </c>
      <c r="J308" s="1" t="s">
        <v>3381</v>
      </c>
      <c r="K308" s="1">
        <v>3</v>
      </c>
      <c r="L308" s="1" t="s">
        <v>4275</v>
      </c>
      <c r="M308" s="1" t="s">
        <v>4278</v>
      </c>
      <c r="N308" s="6" t="str">
        <f t="shared" si="9"/>
        <v>Jun</v>
      </c>
      <c r="O308" s="1">
        <v>114.14</v>
      </c>
      <c r="T308" s="4"/>
      <c r="U308" s="1" t="str">
        <f t="shared" si="10"/>
        <v>Normal</v>
      </c>
    </row>
    <row r="309" spans="1:21" x14ac:dyDescent="0.25">
      <c r="A309" s="1" t="s">
        <v>321</v>
      </c>
      <c r="B309" s="4">
        <v>45108</v>
      </c>
      <c r="C309" s="1" t="s">
        <v>1521</v>
      </c>
      <c r="D309" s="1" t="s">
        <v>2408</v>
      </c>
      <c r="E309" s="1">
        <v>3</v>
      </c>
      <c r="F309" s="1">
        <v>557.41</v>
      </c>
      <c r="G309" s="1" t="s">
        <v>2670</v>
      </c>
      <c r="H309" s="1" t="s">
        <v>3066</v>
      </c>
      <c r="I309" s="1" t="s">
        <v>3073</v>
      </c>
      <c r="J309" s="1" t="s">
        <v>3382</v>
      </c>
      <c r="K309" s="1">
        <v>4</v>
      </c>
      <c r="L309" s="1" t="s">
        <v>4283</v>
      </c>
      <c r="M309" s="1" t="s">
        <v>4280</v>
      </c>
      <c r="N309" s="6" t="str">
        <f t="shared" si="9"/>
        <v>Jul</v>
      </c>
      <c r="O309" s="1">
        <v>1672.23</v>
      </c>
      <c r="T309" s="4"/>
      <c r="U309" s="1" t="str">
        <f t="shared" si="10"/>
        <v>Normal</v>
      </c>
    </row>
    <row r="310" spans="1:21" x14ac:dyDescent="0.25">
      <c r="A310" s="1" t="s">
        <v>322</v>
      </c>
      <c r="B310" s="4">
        <v>45271</v>
      </c>
      <c r="C310" s="1" t="s">
        <v>1522</v>
      </c>
      <c r="D310" s="1" t="s">
        <v>2407</v>
      </c>
      <c r="E310" s="1">
        <v>3</v>
      </c>
      <c r="F310" s="1">
        <v>448.9</v>
      </c>
      <c r="G310" s="1" t="s">
        <v>2566</v>
      </c>
      <c r="H310" s="1" t="s">
        <v>3065</v>
      </c>
      <c r="I310" s="1" t="s">
        <v>3072</v>
      </c>
      <c r="J310" s="1" t="s">
        <v>3383</v>
      </c>
      <c r="K310" s="1">
        <v>7</v>
      </c>
      <c r="L310" s="1" t="s">
        <v>4275</v>
      </c>
      <c r="M310" s="1" t="s">
        <v>4278</v>
      </c>
      <c r="N310" s="6" t="str">
        <f t="shared" si="9"/>
        <v>Dec</v>
      </c>
      <c r="O310" s="1">
        <v>1346.7</v>
      </c>
      <c r="T310" s="4"/>
      <c r="U310" s="1" t="str">
        <f t="shared" si="10"/>
        <v>Normal</v>
      </c>
    </row>
    <row r="311" spans="1:21" x14ac:dyDescent="0.25">
      <c r="A311" s="1" t="s">
        <v>323</v>
      </c>
      <c r="B311" s="4">
        <v>45202</v>
      </c>
      <c r="C311" s="1" t="s">
        <v>1523</v>
      </c>
      <c r="D311" s="1" t="s">
        <v>2406</v>
      </c>
      <c r="E311" s="1">
        <v>4</v>
      </c>
      <c r="F311" s="1">
        <v>549.76</v>
      </c>
      <c r="G311" s="1" t="s">
        <v>2671</v>
      </c>
      <c r="H311" s="1" t="s">
        <v>3065</v>
      </c>
      <c r="I311" s="1" t="s">
        <v>3073</v>
      </c>
      <c r="J311" s="1" t="s">
        <v>3384</v>
      </c>
      <c r="K311" s="1">
        <v>4</v>
      </c>
      <c r="L311" s="1" t="s">
        <v>4276</v>
      </c>
      <c r="M311" s="1" t="s">
        <v>4281</v>
      </c>
      <c r="N311" s="6" t="str">
        <f t="shared" si="9"/>
        <v>Oct</v>
      </c>
      <c r="O311" s="1">
        <v>2199.04</v>
      </c>
      <c r="T311" s="4"/>
      <c r="U311" s="1" t="str">
        <f t="shared" si="10"/>
        <v>Normal</v>
      </c>
    </row>
    <row r="312" spans="1:21" x14ac:dyDescent="0.25">
      <c r="A312" s="1" t="s">
        <v>324</v>
      </c>
      <c r="B312" s="4">
        <v>45346</v>
      </c>
      <c r="C312" s="1" t="s">
        <v>1524</v>
      </c>
      <c r="D312" s="1" t="s">
        <v>2407</v>
      </c>
      <c r="E312" s="1">
        <v>3</v>
      </c>
      <c r="F312" s="1">
        <v>132.47999999999999</v>
      </c>
      <c r="G312" s="1" t="s">
        <v>2672</v>
      </c>
      <c r="H312" s="1" t="s">
        <v>3066</v>
      </c>
      <c r="I312" s="1" t="s">
        <v>3070</v>
      </c>
      <c r="J312" s="1" t="s">
        <v>3385</v>
      </c>
      <c r="K312" s="1">
        <v>4</v>
      </c>
      <c r="L312" s="1" t="s">
        <v>4283</v>
      </c>
      <c r="M312" s="1" t="s">
        <v>4279</v>
      </c>
      <c r="N312" s="6" t="str">
        <f t="shared" si="9"/>
        <v>Feb</v>
      </c>
      <c r="O312" s="1">
        <v>397.43999999999988</v>
      </c>
      <c r="T312" s="4"/>
      <c r="U312" s="1" t="str">
        <f t="shared" si="10"/>
        <v>Normal</v>
      </c>
    </row>
    <row r="313" spans="1:21" x14ac:dyDescent="0.25">
      <c r="A313" s="1" t="s">
        <v>325</v>
      </c>
      <c r="B313" s="4">
        <v>45794</v>
      </c>
      <c r="C313" s="1" t="s">
        <v>1525</v>
      </c>
      <c r="D313" s="1" t="s">
        <v>2409</v>
      </c>
      <c r="E313" s="1">
        <v>5</v>
      </c>
      <c r="F313" s="1">
        <v>489.37</v>
      </c>
      <c r="G313" s="1" t="s">
        <v>2673</v>
      </c>
      <c r="H313" s="1" t="s">
        <v>3066</v>
      </c>
      <c r="I313" s="1" t="s">
        <v>3072</v>
      </c>
      <c r="J313" s="1" t="s">
        <v>3386</v>
      </c>
      <c r="K313" s="1">
        <v>8</v>
      </c>
      <c r="L313" s="1" t="s">
        <v>4283</v>
      </c>
      <c r="M313" s="1" t="s">
        <v>4278</v>
      </c>
      <c r="N313" s="6" t="str">
        <f t="shared" si="9"/>
        <v>May</v>
      </c>
      <c r="O313" s="1">
        <v>2446.85</v>
      </c>
      <c r="T313" s="4"/>
      <c r="U313" s="1" t="str">
        <f t="shared" si="10"/>
        <v>Normal</v>
      </c>
    </row>
    <row r="314" spans="1:21" x14ac:dyDescent="0.25">
      <c r="A314" s="1" t="s">
        <v>326</v>
      </c>
      <c r="B314" s="4">
        <v>45801</v>
      </c>
      <c r="C314" s="1" t="s">
        <v>1526</v>
      </c>
      <c r="D314" s="1" t="s">
        <v>2407</v>
      </c>
      <c r="E314" s="1">
        <v>5</v>
      </c>
      <c r="F314" s="1">
        <v>66.31</v>
      </c>
      <c r="G314" s="1" t="s">
        <v>2606</v>
      </c>
      <c r="H314" s="1" t="s">
        <v>3068</v>
      </c>
      <c r="I314" s="1" t="s">
        <v>3074</v>
      </c>
      <c r="J314" s="1" t="s">
        <v>3387</v>
      </c>
      <c r="K314" s="1">
        <v>7</v>
      </c>
      <c r="L314" s="1" t="s">
        <v>4276</v>
      </c>
      <c r="M314" s="1" t="s">
        <v>4279</v>
      </c>
      <c r="N314" s="6" t="str">
        <f t="shared" si="9"/>
        <v>May</v>
      </c>
      <c r="O314" s="1">
        <v>331.55</v>
      </c>
      <c r="T314" s="4"/>
      <c r="U314" s="1" t="str">
        <f t="shared" si="10"/>
        <v>Normal</v>
      </c>
    </row>
    <row r="315" spans="1:21" x14ac:dyDescent="0.25">
      <c r="A315" s="1" t="s">
        <v>327</v>
      </c>
      <c r="B315" s="4">
        <v>45116</v>
      </c>
      <c r="C315" s="1" t="s">
        <v>1527</v>
      </c>
      <c r="D315" s="1" t="s">
        <v>2406</v>
      </c>
      <c r="E315" s="1">
        <v>2</v>
      </c>
      <c r="F315" s="1">
        <v>434.3</v>
      </c>
      <c r="G315" s="1" t="s">
        <v>2674</v>
      </c>
      <c r="H315" s="1" t="s">
        <v>3069</v>
      </c>
      <c r="I315" s="1" t="s">
        <v>3073</v>
      </c>
      <c r="J315" s="1" t="s">
        <v>3388</v>
      </c>
      <c r="K315" s="1">
        <v>7</v>
      </c>
      <c r="L315" s="1" t="s">
        <v>4275</v>
      </c>
      <c r="M315" s="1" t="s">
        <v>4278</v>
      </c>
      <c r="N315" s="6" t="str">
        <f t="shared" si="9"/>
        <v>Jul</v>
      </c>
      <c r="O315" s="1">
        <v>868.6</v>
      </c>
      <c r="T315" s="4"/>
      <c r="U315" s="1" t="str">
        <f t="shared" si="10"/>
        <v>Normal</v>
      </c>
    </row>
    <row r="316" spans="1:21" x14ac:dyDescent="0.25">
      <c r="A316" s="1" t="s">
        <v>328</v>
      </c>
      <c r="B316" s="4">
        <v>45203</v>
      </c>
      <c r="C316" s="1" t="s">
        <v>1528</v>
      </c>
      <c r="D316" s="1" t="s">
        <v>2409</v>
      </c>
      <c r="E316" s="1">
        <v>4</v>
      </c>
      <c r="F316" s="1">
        <v>153.09</v>
      </c>
      <c r="G316" s="1" t="s">
        <v>2675</v>
      </c>
      <c r="H316" s="1" t="s">
        <v>3066</v>
      </c>
      <c r="I316" s="1" t="s">
        <v>3073</v>
      </c>
      <c r="J316" s="1" t="s">
        <v>3389</v>
      </c>
      <c r="K316" s="1">
        <v>4</v>
      </c>
      <c r="L316" s="1" t="s">
        <v>4276</v>
      </c>
      <c r="M316" s="1" t="s">
        <v>4279</v>
      </c>
      <c r="N316" s="6" t="str">
        <f t="shared" si="9"/>
        <v>Oct</v>
      </c>
      <c r="O316" s="1">
        <v>612.36</v>
      </c>
      <c r="T316" s="4"/>
      <c r="U316" s="1" t="str">
        <f t="shared" si="10"/>
        <v>Normal</v>
      </c>
    </row>
    <row r="317" spans="1:21" x14ac:dyDescent="0.25">
      <c r="A317" s="1" t="s">
        <v>329</v>
      </c>
      <c r="B317" s="4">
        <v>45789</v>
      </c>
      <c r="C317" s="1" t="s">
        <v>1529</v>
      </c>
      <c r="D317" s="1" t="s">
        <v>2405</v>
      </c>
      <c r="E317" s="1">
        <v>5</v>
      </c>
      <c r="F317" s="1">
        <v>91.67</v>
      </c>
      <c r="G317" s="1" t="s">
        <v>2676</v>
      </c>
      <c r="H317" s="1" t="s">
        <v>3066</v>
      </c>
      <c r="I317" s="1" t="s">
        <v>3071</v>
      </c>
      <c r="J317" s="1" t="s">
        <v>3390</v>
      </c>
      <c r="K317" s="1">
        <v>9</v>
      </c>
      <c r="L317" s="1" t="s">
        <v>4276</v>
      </c>
      <c r="M317" s="1" t="s">
        <v>4280</v>
      </c>
      <c r="N317" s="6" t="str">
        <f t="shared" si="9"/>
        <v>May</v>
      </c>
      <c r="O317" s="1">
        <v>458.35</v>
      </c>
      <c r="T317" s="4"/>
      <c r="U317" s="1" t="str">
        <f t="shared" si="10"/>
        <v>Normal</v>
      </c>
    </row>
    <row r="318" spans="1:21" x14ac:dyDescent="0.25">
      <c r="A318" s="1" t="s">
        <v>330</v>
      </c>
      <c r="B318" s="4">
        <v>45201</v>
      </c>
      <c r="C318" s="1" t="s">
        <v>1530</v>
      </c>
      <c r="D318" s="1" t="s">
        <v>2409</v>
      </c>
      <c r="E318" s="1">
        <v>4</v>
      </c>
      <c r="F318" s="1">
        <v>275.27999999999997</v>
      </c>
      <c r="G318" s="1" t="s">
        <v>2677</v>
      </c>
      <c r="H318" s="1" t="s">
        <v>3068</v>
      </c>
      <c r="I318" s="1" t="s">
        <v>3070</v>
      </c>
      <c r="J318" s="1" t="s">
        <v>3391</v>
      </c>
      <c r="K318" s="1">
        <v>9</v>
      </c>
      <c r="L318" s="1" t="s">
        <v>4277</v>
      </c>
      <c r="M318" s="1" t="s">
        <v>4281</v>
      </c>
      <c r="N318" s="6" t="str">
        <f t="shared" si="9"/>
        <v>Oct</v>
      </c>
      <c r="O318" s="1">
        <v>1101.1199999999999</v>
      </c>
      <c r="T318" s="4"/>
      <c r="U318" s="1" t="str">
        <f t="shared" si="10"/>
        <v>Normal</v>
      </c>
    </row>
    <row r="319" spans="1:21" x14ac:dyDescent="0.25">
      <c r="A319" s="1" t="s">
        <v>331</v>
      </c>
      <c r="B319" s="4">
        <v>45026</v>
      </c>
      <c r="C319" s="1" t="s">
        <v>1531</v>
      </c>
      <c r="D319" s="1" t="s">
        <v>2403</v>
      </c>
      <c r="E319" s="1">
        <v>2</v>
      </c>
      <c r="F319" s="1">
        <v>139.94999999999999</v>
      </c>
      <c r="G319" s="1" t="s">
        <v>2678</v>
      </c>
      <c r="H319" s="1" t="s">
        <v>3066</v>
      </c>
      <c r="I319" s="1" t="s">
        <v>3072</v>
      </c>
      <c r="J319" s="1" t="s">
        <v>3392</v>
      </c>
      <c r="K319" s="1">
        <v>5</v>
      </c>
      <c r="L319" s="1" t="s">
        <v>4283</v>
      </c>
      <c r="M319" s="1" t="s">
        <v>4278</v>
      </c>
      <c r="N319" s="6" t="str">
        <f t="shared" si="9"/>
        <v>Apr</v>
      </c>
      <c r="O319" s="1">
        <v>279.89999999999998</v>
      </c>
      <c r="T319" s="4"/>
      <c r="U319" s="1" t="str">
        <f t="shared" si="10"/>
        <v>Normal</v>
      </c>
    </row>
    <row r="320" spans="1:21" x14ac:dyDescent="0.25">
      <c r="A320" s="1" t="s">
        <v>332</v>
      </c>
      <c r="B320" s="4">
        <v>45500</v>
      </c>
      <c r="C320" s="1" t="s">
        <v>1532</v>
      </c>
      <c r="D320" s="1" t="s">
        <v>2406</v>
      </c>
      <c r="E320" s="1">
        <v>3</v>
      </c>
      <c r="F320" s="1">
        <v>148.72</v>
      </c>
      <c r="G320" s="1" t="s">
        <v>2596</v>
      </c>
      <c r="H320" s="1" t="s">
        <v>3065</v>
      </c>
      <c r="I320" s="1" t="s">
        <v>3071</v>
      </c>
      <c r="J320" s="1" t="s">
        <v>3393</v>
      </c>
      <c r="K320" s="1">
        <v>7</v>
      </c>
      <c r="L320" s="1" t="s">
        <v>4275</v>
      </c>
      <c r="M320" s="1" t="s">
        <v>4282</v>
      </c>
      <c r="N320" s="6" t="str">
        <f t="shared" si="9"/>
        <v>Jul</v>
      </c>
      <c r="O320" s="1">
        <v>446.16</v>
      </c>
      <c r="T320" s="4"/>
      <c r="U320" s="1" t="str">
        <f t="shared" si="10"/>
        <v>Normal</v>
      </c>
    </row>
    <row r="321" spans="1:21" x14ac:dyDescent="0.25">
      <c r="A321" s="1" t="s">
        <v>333</v>
      </c>
      <c r="B321" s="4">
        <v>45262</v>
      </c>
      <c r="C321" s="1" t="s">
        <v>1533</v>
      </c>
      <c r="D321" s="1" t="s">
        <v>2408</v>
      </c>
      <c r="E321" s="1">
        <v>2</v>
      </c>
      <c r="F321" s="1">
        <v>563.05999999999995</v>
      </c>
      <c r="G321" s="1" t="s">
        <v>2679</v>
      </c>
      <c r="H321" s="1" t="s">
        <v>3069</v>
      </c>
      <c r="I321" s="1" t="s">
        <v>3072</v>
      </c>
      <c r="J321" s="1" t="s">
        <v>3394</v>
      </c>
      <c r="K321" s="1">
        <v>6</v>
      </c>
      <c r="L321" s="1" t="s">
        <v>4283</v>
      </c>
      <c r="M321" s="1" t="s">
        <v>4278</v>
      </c>
      <c r="N321" s="6" t="str">
        <f t="shared" si="9"/>
        <v>Dec</v>
      </c>
      <c r="O321" s="1">
        <v>1126.1199999999999</v>
      </c>
      <c r="T321" s="4"/>
      <c r="U321" s="1" t="str">
        <f t="shared" si="10"/>
        <v>Normal</v>
      </c>
    </row>
    <row r="322" spans="1:21" x14ac:dyDescent="0.25">
      <c r="A322" s="1" t="s">
        <v>334</v>
      </c>
      <c r="B322" s="4">
        <v>45645</v>
      </c>
      <c r="C322" s="1" t="s">
        <v>1534</v>
      </c>
      <c r="D322" s="1" t="s">
        <v>2407</v>
      </c>
      <c r="E322" s="1">
        <v>1</v>
      </c>
      <c r="F322" s="1">
        <v>625.51</v>
      </c>
      <c r="G322" s="1" t="s">
        <v>2680</v>
      </c>
      <c r="H322" s="1" t="s">
        <v>3067</v>
      </c>
      <c r="I322" s="1" t="s">
        <v>3070</v>
      </c>
      <c r="J322" s="1" t="s">
        <v>3395</v>
      </c>
      <c r="K322" s="1">
        <v>1</v>
      </c>
      <c r="L322" s="1" t="s">
        <v>4276</v>
      </c>
      <c r="M322" s="1" t="s">
        <v>4281</v>
      </c>
      <c r="N322" s="6" t="str">
        <f t="shared" ref="N322:N385" si="11">TEXT(B322,"MMM")</f>
        <v>Dec</v>
      </c>
      <c r="O322" s="1">
        <v>625.51</v>
      </c>
      <c r="T322" s="4"/>
      <c r="U322" s="1" t="str">
        <f t="shared" si="10"/>
        <v>Normal</v>
      </c>
    </row>
    <row r="323" spans="1:21" x14ac:dyDescent="0.25">
      <c r="A323" s="1" t="s">
        <v>335</v>
      </c>
      <c r="B323" s="4">
        <v>45147</v>
      </c>
      <c r="C323" s="1" t="s">
        <v>1535</v>
      </c>
      <c r="D323" s="1" t="s">
        <v>2404</v>
      </c>
      <c r="E323" s="1">
        <v>4</v>
      </c>
      <c r="F323" s="1">
        <v>152.29</v>
      </c>
      <c r="G323" s="1" t="s">
        <v>2670</v>
      </c>
      <c r="H323" s="1" t="s">
        <v>3065</v>
      </c>
      <c r="I323" s="1" t="s">
        <v>3071</v>
      </c>
      <c r="J323" s="1" t="s">
        <v>3396</v>
      </c>
      <c r="K323" s="1">
        <v>6</v>
      </c>
      <c r="L323" s="1" t="s">
        <v>4277</v>
      </c>
      <c r="M323" s="1" t="s">
        <v>4282</v>
      </c>
      <c r="N323" s="6" t="str">
        <f t="shared" si="11"/>
        <v>Aug</v>
      </c>
      <c r="O323" s="1">
        <v>609.16</v>
      </c>
      <c r="T323" s="4"/>
      <c r="U323" s="1" t="str">
        <f t="shared" ref="U323:U386" si="12">IF(O323&gt;$S$2,"Outlier","Normal")</f>
        <v>Normal</v>
      </c>
    </row>
    <row r="324" spans="1:21" x14ac:dyDescent="0.25">
      <c r="A324" s="1" t="s">
        <v>336</v>
      </c>
      <c r="B324" s="4">
        <v>45457</v>
      </c>
      <c r="C324" s="1" t="s">
        <v>1536</v>
      </c>
      <c r="D324" s="1" t="s">
        <v>2404</v>
      </c>
      <c r="E324" s="1">
        <v>5</v>
      </c>
      <c r="F324" s="1">
        <v>231.82</v>
      </c>
      <c r="G324" s="1" t="s">
        <v>2678</v>
      </c>
      <c r="H324" s="1" t="s">
        <v>3065</v>
      </c>
      <c r="I324" s="1" t="s">
        <v>3073</v>
      </c>
      <c r="J324" s="1" t="s">
        <v>3397</v>
      </c>
      <c r="K324" s="1">
        <v>6</v>
      </c>
      <c r="L324" s="1" t="s">
        <v>4275</v>
      </c>
      <c r="M324" s="1" t="s">
        <v>4281</v>
      </c>
      <c r="N324" s="6" t="str">
        <f t="shared" si="11"/>
        <v>Jun</v>
      </c>
      <c r="O324" s="1">
        <v>1159.0999999999999</v>
      </c>
      <c r="T324" s="4"/>
      <c r="U324" s="1" t="str">
        <f t="shared" si="12"/>
        <v>Normal</v>
      </c>
    </row>
    <row r="325" spans="1:21" x14ac:dyDescent="0.25">
      <c r="A325" s="1" t="s">
        <v>337</v>
      </c>
      <c r="B325" s="4">
        <v>45683</v>
      </c>
      <c r="C325" s="1" t="s">
        <v>1537</v>
      </c>
      <c r="D325" s="1" t="s">
        <v>2408</v>
      </c>
      <c r="E325" s="1">
        <v>1</v>
      </c>
      <c r="F325" s="1">
        <v>150.16999999999999</v>
      </c>
      <c r="G325" s="1" t="s">
        <v>2681</v>
      </c>
      <c r="H325" s="1" t="s">
        <v>3065</v>
      </c>
      <c r="I325" s="1" t="s">
        <v>3072</v>
      </c>
      <c r="J325" s="1" t="s">
        <v>3398</v>
      </c>
      <c r="K325" s="1">
        <v>1</v>
      </c>
      <c r="L325" s="1" t="s">
        <v>4275</v>
      </c>
      <c r="M325" s="1" t="s">
        <v>4279</v>
      </c>
      <c r="N325" s="6" t="str">
        <f t="shared" si="11"/>
        <v>Jan</v>
      </c>
      <c r="O325" s="1">
        <v>150.16999999999999</v>
      </c>
      <c r="T325" s="4"/>
      <c r="U325" s="1" t="str">
        <f t="shared" si="12"/>
        <v>Normal</v>
      </c>
    </row>
    <row r="326" spans="1:21" x14ac:dyDescent="0.25">
      <c r="A326" s="1" t="s">
        <v>338</v>
      </c>
      <c r="B326" s="4">
        <v>45456</v>
      </c>
      <c r="C326" s="1" t="s">
        <v>1538</v>
      </c>
      <c r="D326" s="1" t="s">
        <v>2405</v>
      </c>
      <c r="E326" s="1">
        <v>3</v>
      </c>
      <c r="F326" s="1">
        <v>70.930000000000007</v>
      </c>
      <c r="G326" s="1" t="s">
        <v>2682</v>
      </c>
      <c r="H326" s="1" t="s">
        <v>3065</v>
      </c>
      <c r="I326" s="1" t="s">
        <v>3072</v>
      </c>
      <c r="J326" s="1" t="s">
        <v>3399</v>
      </c>
      <c r="K326" s="1">
        <v>5</v>
      </c>
      <c r="L326" s="1" t="s">
        <v>4283</v>
      </c>
      <c r="M326" s="1" t="s">
        <v>4279</v>
      </c>
      <c r="N326" s="6" t="str">
        <f t="shared" si="11"/>
        <v>Jun</v>
      </c>
      <c r="O326" s="1">
        <v>212.79</v>
      </c>
      <c r="T326" s="4"/>
      <c r="U326" s="1" t="str">
        <f t="shared" si="12"/>
        <v>Normal</v>
      </c>
    </row>
    <row r="327" spans="1:21" x14ac:dyDescent="0.25">
      <c r="A327" s="1" t="s">
        <v>339</v>
      </c>
      <c r="B327" s="4">
        <v>45106</v>
      </c>
      <c r="C327" s="1" t="s">
        <v>1539</v>
      </c>
      <c r="D327" s="1" t="s">
        <v>2409</v>
      </c>
      <c r="E327" s="1">
        <v>3</v>
      </c>
      <c r="F327" s="1">
        <v>361.39</v>
      </c>
      <c r="G327" s="1" t="s">
        <v>2683</v>
      </c>
      <c r="H327" s="1" t="s">
        <v>3067</v>
      </c>
      <c r="I327" s="1" t="s">
        <v>3070</v>
      </c>
      <c r="J327" s="1" t="s">
        <v>3400</v>
      </c>
      <c r="K327" s="1">
        <v>8</v>
      </c>
      <c r="L327" s="1" t="s">
        <v>4283</v>
      </c>
      <c r="M327" s="1" t="s">
        <v>4279</v>
      </c>
      <c r="N327" s="6" t="str">
        <f t="shared" si="11"/>
        <v>Jun</v>
      </c>
      <c r="O327" s="1">
        <v>1084.17</v>
      </c>
      <c r="T327" s="4"/>
      <c r="U327" s="1" t="str">
        <f t="shared" si="12"/>
        <v>Normal</v>
      </c>
    </row>
    <row r="328" spans="1:21" x14ac:dyDescent="0.25">
      <c r="A328" s="1" t="s">
        <v>340</v>
      </c>
      <c r="B328" s="4">
        <v>45474</v>
      </c>
      <c r="C328" s="1" t="s">
        <v>1540</v>
      </c>
      <c r="D328" s="1" t="s">
        <v>2408</v>
      </c>
      <c r="E328" s="1">
        <v>5</v>
      </c>
      <c r="F328" s="1">
        <v>670.48</v>
      </c>
      <c r="G328" s="1" t="s">
        <v>2429</v>
      </c>
      <c r="H328" s="1" t="s">
        <v>3068</v>
      </c>
      <c r="I328" s="1" t="s">
        <v>3072</v>
      </c>
      <c r="J328" s="1" t="s">
        <v>3401</v>
      </c>
      <c r="K328" s="1">
        <v>5</v>
      </c>
      <c r="L328" s="1" t="s">
        <v>4275</v>
      </c>
      <c r="M328" s="1" t="s">
        <v>4281</v>
      </c>
      <c r="N328" s="6" t="str">
        <f t="shared" si="11"/>
        <v>Jul</v>
      </c>
      <c r="O328" s="1">
        <v>3352.4</v>
      </c>
      <c r="T328" s="4"/>
      <c r="U328" s="1" t="str">
        <f t="shared" si="12"/>
        <v>Outlier</v>
      </c>
    </row>
    <row r="329" spans="1:21" x14ac:dyDescent="0.25">
      <c r="A329" s="1" t="s">
        <v>341</v>
      </c>
      <c r="B329" s="4">
        <v>45132</v>
      </c>
      <c r="C329" s="1" t="s">
        <v>1541</v>
      </c>
      <c r="D329" s="1" t="s">
        <v>2404</v>
      </c>
      <c r="E329" s="1">
        <v>1</v>
      </c>
      <c r="F329" s="1">
        <v>359.99</v>
      </c>
      <c r="G329" s="1" t="s">
        <v>2471</v>
      </c>
      <c r="H329" s="1" t="s">
        <v>3068</v>
      </c>
      <c r="I329" s="1" t="s">
        <v>3071</v>
      </c>
      <c r="J329" s="1" t="s">
        <v>3402</v>
      </c>
      <c r="K329" s="1">
        <v>5</v>
      </c>
      <c r="L329" s="1" t="s">
        <v>4275</v>
      </c>
      <c r="M329" s="1" t="s">
        <v>4280</v>
      </c>
      <c r="N329" s="6" t="str">
        <f t="shared" si="11"/>
        <v>Jul</v>
      </c>
      <c r="O329" s="1">
        <v>359.99</v>
      </c>
      <c r="T329" s="4"/>
      <c r="U329" s="1" t="str">
        <f t="shared" si="12"/>
        <v>Normal</v>
      </c>
    </row>
    <row r="330" spans="1:21" x14ac:dyDescent="0.25">
      <c r="A330" s="1" t="s">
        <v>342</v>
      </c>
      <c r="B330" s="4">
        <v>44985</v>
      </c>
      <c r="C330" s="1" t="s">
        <v>1542</v>
      </c>
      <c r="D330" s="1" t="s">
        <v>2405</v>
      </c>
      <c r="E330" s="1">
        <v>5</v>
      </c>
      <c r="F330" s="1">
        <v>674.04</v>
      </c>
      <c r="G330" s="1" t="s">
        <v>2684</v>
      </c>
      <c r="H330" s="1" t="s">
        <v>3066</v>
      </c>
      <c r="I330" s="1" t="s">
        <v>3071</v>
      </c>
      <c r="J330" s="1" t="s">
        <v>3403</v>
      </c>
      <c r="K330" s="1">
        <v>7</v>
      </c>
      <c r="L330" s="1" t="s">
        <v>4275</v>
      </c>
      <c r="M330" s="1" t="s">
        <v>4282</v>
      </c>
      <c r="N330" s="6" t="str">
        <f t="shared" si="11"/>
        <v>Feb</v>
      </c>
      <c r="O330" s="1">
        <v>3370.2</v>
      </c>
      <c r="T330" s="4"/>
      <c r="U330" s="1" t="str">
        <f t="shared" si="12"/>
        <v>Outlier</v>
      </c>
    </row>
    <row r="331" spans="1:21" x14ac:dyDescent="0.25">
      <c r="A331" s="1" t="s">
        <v>343</v>
      </c>
      <c r="B331" s="4">
        <v>45651</v>
      </c>
      <c r="C331" s="1" t="s">
        <v>1543</v>
      </c>
      <c r="D331" s="1" t="s">
        <v>2406</v>
      </c>
      <c r="E331" s="1">
        <v>4</v>
      </c>
      <c r="F331" s="1">
        <v>283.16000000000003</v>
      </c>
      <c r="G331" s="1" t="s">
        <v>2622</v>
      </c>
      <c r="H331" s="1" t="s">
        <v>3067</v>
      </c>
      <c r="I331" s="1" t="s">
        <v>3070</v>
      </c>
      <c r="J331" s="1" t="s">
        <v>3404</v>
      </c>
      <c r="K331" s="1">
        <v>6</v>
      </c>
      <c r="L331" s="1" t="s">
        <v>4283</v>
      </c>
      <c r="M331" s="1" t="s">
        <v>4282</v>
      </c>
      <c r="N331" s="6" t="str">
        <f t="shared" si="11"/>
        <v>Dec</v>
      </c>
      <c r="O331" s="1">
        <v>1132.6400000000001</v>
      </c>
      <c r="T331" s="4"/>
      <c r="U331" s="1" t="str">
        <f t="shared" si="12"/>
        <v>Normal</v>
      </c>
    </row>
    <row r="332" spans="1:21" x14ac:dyDescent="0.25">
      <c r="A332" s="1" t="s">
        <v>344</v>
      </c>
      <c r="B332" s="4">
        <v>45445</v>
      </c>
      <c r="C332" s="1" t="s">
        <v>1544</v>
      </c>
      <c r="D332" s="1" t="s">
        <v>2409</v>
      </c>
      <c r="E332" s="1">
        <v>5</v>
      </c>
      <c r="F332" s="1">
        <v>260.52999999999997</v>
      </c>
      <c r="G332" s="1" t="s">
        <v>2685</v>
      </c>
      <c r="H332" s="1" t="s">
        <v>3068</v>
      </c>
      <c r="I332" s="1" t="s">
        <v>3074</v>
      </c>
      <c r="J332" s="1" t="s">
        <v>3405</v>
      </c>
      <c r="K332" s="1">
        <v>5</v>
      </c>
      <c r="L332" s="1" t="s">
        <v>4275</v>
      </c>
      <c r="M332" s="1" t="s">
        <v>4278</v>
      </c>
      <c r="N332" s="6" t="str">
        <f t="shared" si="11"/>
        <v>Jun</v>
      </c>
      <c r="O332" s="1">
        <v>1302.6500000000001</v>
      </c>
      <c r="T332" s="4"/>
      <c r="U332" s="1" t="str">
        <f t="shared" si="12"/>
        <v>Normal</v>
      </c>
    </row>
    <row r="333" spans="1:21" x14ac:dyDescent="0.25">
      <c r="A333" s="1" t="s">
        <v>345</v>
      </c>
      <c r="B333" s="4">
        <v>45031</v>
      </c>
      <c r="C333" s="1" t="s">
        <v>1545</v>
      </c>
      <c r="D333" s="1" t="s">
        <v>2407</v>
      </c>
      <c r="E333" s="1">
        <v>3</v>
      </c>
      <c r="F333" s="1">
        <v>422.13</v>
      </c>
      <c r="G333" s="1" t="s">
        <v>2522</v>
      </c>
      <c r="H333" s="1" t="s">
        <v>3066</v>
      </c>
      <c r="I333" s="1" t="s">
        <v>3073</v>
      </c>
      <c r="J333" s="1" t="s">
        <v>3406</v>
      </c>
      <c r="K333" s="1">
        <v>7</v>
      </c>
      <c r="L333" s="1" t="s">
        <v>4275</v>
      </c>
      <c r="M333" s="1" t="s">
        <v>4281</v>
      </c>
      <c r="N333" s="6" t="str">
        <f t="shared" si="11"/>
        <v>Apr</v>
      </c>
      <c r="O333" s="1">
        <v>1266.3900000000001</v>
      </c>
      <c r="T333" s="4"/>
      <c r="U333" s="1" t="str">
        <f t="shared" si="12"/>
        <v>Normal</v>
      </c>
    </row>
    <row r="334" spans="1:21" x14ac:dyDescent="0.25">
      <c r="A334" s="1" t="s">
        <v>346</v>
      </c>
      <c r="B334" s="4">
        <v>45476</v>
      </c>
      <c r="C334" s="1" t="s">
        <v>1546</v>
      </c>
      <c r="D334" s="1" t="s">
        <v>2409</v>
      </c>
      <c r="E334" s="1">
        <v>5</v>
      </c>
      <c r="F334" s="1">
        <v>125.02</v>
      </c>
      <c r="G334" s="1" t="s">
        <v>2686</v>
      </c>
      <c r="H334" s="1" t="s">
        <v>3065</v>
      </c>
      <c r="I334" s="1" t="s">
        <v>3074</v>
      </c>
      <c r="J334" s="1" t="s">
        <v>3407</v>
      </c>
      <c r="K334" s="1">
        <v>9</v>
      </c>
      <c r="L334" s="1" t="s">
        <v>4275</v>
      </c>
      <c r="M334" s="1" t="s">
        <v>4282</v>
      </c>
      <c r="N334" s="6" t="str">
        <f t="shared" si="11"/>
        <v>Jul</v>
      </c>
      <c r="O334" s="1">
        <v>625.1</v>
      </c>
      <c r="T334" s="4"/>
      <c r="U334" s="1" t="str">
        <f t="shared" si="12"/>
        <v>Normal</v>
      </c>
    </row>
    <row r="335" spans="1:21" x14ac:dyDescent="0.25">
      <c r="A335" s="1" t="s">
        <v>347</v>
      </c>
      <c r="B335" s="4">
        <v>45398</v>
      </c>
      <c r="C335" s="1" t="s">
        <v>1547</v>
      </c>
      <c r="D335" s="1" t="s">
        <v>2404</v>
      </c>
      <c r="E335" s="1">
        <v>1</v>
      </c>
      <c r="F335" s="1">
        <v>198.51</v>
      </c>
      <c r="G335" s="1" t="s">
        <v>2687</v>
      </c>
      <c r="H335" s="1" t="s">
        <v>3067</v>
      </c>
      <c r="I335" s="1" t="s">
        <v>3072</v>
      </c>
      <c r="J335" s="1" t="s">
        <v>3408</v>
      </c>
      <c r="K335" s="1">
        <v>5</v>
      </c>
      <c r="L335" s="1" t="s">
        <v>4277</v>
      </c>
      <c r="M335" s="1" t="s">
        <v>4278</v>
      </c>
      <c r="N335" s="6" t="str">
        <f t="shared" si="11"/>
        <v>Apr</v>
      </c>
      <c r="O335" s="1">
        <v>198.51</v>
      </c>
      <c r="T335" s="4"/>
      <c r="U335" s="1" t="str">
        <f t="shared" si="12"/>
        <v>Normal</v>
      </c>
    </row>
    <row r="336" spans="1:21" x14ac:dyDescent="0.25">
      <c r="A336" s="1" t="s">
        <v>348</v>
      </c>
      <c r="B336" s="4">
        <v>45377</v>
      </c>
      <c r="C336" s="1" t="s">
        <v>1548</v>
      </c>
      <c r="D336" s="1" t="s">
        <v>2406</v>
      </c>
      <c r="E336" s="1">
        <v>4</v>
      </c>
      <c r="F336" s="1">
        <v>224.75</v>
      </c>
      <c r="G336" s="1" t="s">
        <v>2688</v>
      </c>
      <c r="H336" s="1" t="s">
        <v>3066</v>
      </c>
      <c r="I336" s="1" t="s">
        <v>3073</v>
      </c>
      <c r="J336" s="1" t="s">
        <v>3409</v>
      </c>
      <c r="K336" s="1">
        <v>7</v>
      </c>
      <c r="L336" s="1" t="s">
        <v>4277</v>
      </c>
      <c r="M336" s="1" t="s">
        <v>4281</v>
      </c>
      <c r="N336" s="6" t="str">
        <f t="shared" si="11"/>
        <v>Mar</v>
      </c>
      <c r="O336" s="1">
        <v>899</v>
      </c>
      <c r="T336" s="4"/>
      <c r="U336" s="1" t="str">
        <f t="shared" si="12"/>
        <v>Normal</v>
      </c>
    </row>
    <row r="337" spans="1:21" x14ac:dyDescent="0.25">
      <c r="A337" s="1" t="s">
        <v>349</v>
      </c>
      <c r="B337" s="4">
        <v>45719</v>
      </c>
      <c r="C337" s="1" t="s">
        <v>1549</v>
      </c>
      <c r="D337" s="1" t="s">
        <v>2405</v>
      </c>
      <c r="E337" s="1">
        <v>3</v>
      </c>
      <c r="F337" s="1">
        <v>205.86</v>
      </c>
      <c r="G337" s="1" t="s">
        <v>2674</v>
      </c>
      <c r="H337" s="1" t="s">
        <v>3068</v>
      </c>
      <c r="I337" s="1" t="s">
        <v>3070</v>
      </c>
      <c r="J337" s="1" t="s">
        <v>3410</v>
      </c>
      <c r="K337" s="1">
        <v>4</v>
      </c>
      <c r="L337" s="1" t="s">
        <v>4283</v>
      </c>
      <c r="M337" s="1" t="s">
        <v>4280</v>
      </c>
      <c r="N337" s="6" t="str">
        <f t="shared" si="11"/>
        <v>Mar</v>
      </c>
      <c r="O337" s="1">
        <v>617.58000000000004</v>
      </c>
      <c r="T337" s="4"/>
      <c r="U337" s="1" t="str">
        <f t="shared" si="12"/>
        <v>Normal</v>
      </c>
    </row>
    <row r="338" spans="1:21" x14ac:dyDescent="0.25">
      <c r="A338" s="1" t="s">
        <v>350</v>
      </c>
      <c r="B338" s="4">
        <v>45289</v>
      </c>
      <c r="C338" s="1" t="s">
        <v>1550</v>
      </c>
      <c r="D338" s="1" t="s">
        <v>2408</v>
      </c>
      <c r="E338" s="1">
        <v>1</v>
      </c>
      <c r="F338" s="1">
        <v>18.2</v>
      </c>
      <c r="G338" s="1" t="s">
        <v>2689</v>
      </c>
      <c r="H338" s="1" t="s">
        <v>3065</v>
      </c>
      <c r="I338" s="1" t="s">
        <v>3074</v>
      </c>
      <c r="J338" s="1" t="s">
        <v>3411</v>
      </c>
      <c r="K338" s="1">
        <v>4</v>
      </c>
      <c r="L338" s="1" t="s">
        <v>4275</v>
      </c>
      <c r="M338" s="1" t="s">
        <v>4278</v>
      </c>
      <c r="N338" s="6" t="str">
        <f t="shared" si="11"/>
        <v>Dec</v>
      </c>
      <c r="O338" s="1">
        <v>18.2</v>
      </c>
      <c r="T338" s="4"/>
      <c r="U338" s="1" t="str">
        <f t="shared" si="12"/>
        <v>Normal</v>
      </c>
    </row>
    <row r="339" spans="1:21" x14ac:dyDescent="0.25">
      <c r="A339" s="1" t="s">
        <v>351</v>
      </c>
      <c r="B339" s="4">
        <v>45075</v>
      </c>
      <c r="C339" s="1" t="s">
        <v>1551</v>
      </c>
      <c r="D339" s="1" t="s">
        <v>2405</v>
      </c>
      <c r="E339" s="1">
        <v>3</v>
      </c>
      <c r="F339" s="1">
        <v>502.77</v>
      </c>
      <c r="G339" s="1" t="s">
        <v>2690</v>
      </c>
      <c r="H339" s="1" t="s">
        <v>3065</v>
      </c>
      <c r="I339" s="1" t="s">
        <v>3072</v>
      </c>
      <c r="J339" s="1" t="s">
        <v>3412</v>
      </c>
      <c r="K339" s="1">
        <v>8</v>
      </c>
      <c r="L339" s="1" t="s">
        <v>4277</v>
      </c>
      <c r="M339" s="1" t="s">
        <v>4280</v>
      </c>
      <c r="N339" s="6" t="str">
        <f t="shared" si="11"/>
        <v>May</v>
      </c>
      <c r="O339" s="1">
        <v>1508.31</v>
      </c>
      <c r="T339" s="4"/>
      <c r="U339" s="1" t="str">
        <f t="shared" si="12"/>
        <v>Normal</v>
      </c>
    </row>
    <row r="340" spans="1:21" x14ac:dyDescent="0.25">
      <c r="A340" s="1" t="s">
        <v>352</v>
      </c>
      <c r="B340" s="4">
        <v>45238</v>
      </c>
      <c r="C340" s="1" t="s">
        <v>1552</v>
      </c>
      <c r="D340" s="1" t="s">
        <v>2404</v>
      </c>
      <c r="E340" s="1">
        <v>5</v>
      </c>
      <c r="F340" s="1">
        <v>305.49</v>
      </c>
      <c r="G340" s="1" t="s">
        <v>2691</v>
      </c>
      <c r="H340" s="1" t="s">
        <v>3065</v>
      </c>
      <c r="I340" s="1" t="s">
        <v>3070</v>
      </c>
      <c r="J340" s="1" t="s">
        <v>3413</v>
      </c>
      <c r="K340" s="1">
        <v>10</v>
      </c>
      <c r="L340" s="1" t="s">
        <v>4283</v>
      </c>
      <c r="M340" s="1" t="s">
        <v>4279</v>
      </c>
      <c r="N340" s="6" t="str">
        <f t="shared" si="11"/>
        <v>Nov</v>
      </c>
      <c r="O340" s="1">
        <v>1527.45</v>
      </c>
      <c r="T340" s="4"/>
      <c r="U340" s="1" t="str">
        <f t="shared" si="12"/>
        <v>Normal</v>
      </c>
    </row>
    <row r="341" spans="1:21" x14ac:dyDescent="0.25">
      <c r="A341" s="1" t="s">
        <v>353</v>
      </c>
      <c r="B341" s="4">
        <v>45392</v>
      </c>
      <c r="C341" s="1" t="s">
        <v>1553</v>
      </c>
      <c r="D341" s="1" t="s">
        <v>2407</v>
      </c>
      <c r="E341" s="1">
        <v>2</v>
      </c>
      <c r="F341" s="1">
        <v>236.33</v>
      </c>
      <c r="G341" s="1" t="s">
        <v>2692</v>
      </c>
      <c r="H341" s="1" t="s">
        <v>3066</v>
      </c>
      <c r="I341" s="1" t="s">
        <v>3074</v>
      </c>
      <c r="J341" s="1" t="s">
        <v>3414</v>
      </c>
      <c r="K341" s="1">
        <v>3</v>
      </c>
      <c r="L341" s="1" t="s">
        <v>4275</v>
      </c>
      <c r="M341" s="1" t="s">
        <v>4278</v>
      </c>
      <c r="N341" s="6" t="str">
        <f t="shared" si="11"/>
        <v>Apr</v>
      </c>
      <c r="O341" s="1">
        <v>472.66</v>
      </c>
      <c r="T341" s="4"/>
      <c r="U341" s="1" t="str">
        <f t="shared" si="12"/>
        <v>Normal</v>
      </c>
    </row>
    <row r="342" spans="1:21" x14ac:dyDescent="0.25">
      <c r="A342" s="1" t="s">
        <v>354</v>
      </c>
      <c r="B342" s="4">
        <v>45039</v>
      </c>
      <c r="C342" s="1" t="s">
        <v>1554</v>
      </c>
      <c r="D342" s="1" t="s">
        <v>2408</v>
      </c>
      <c r="E342" s="1">
        <v>5</v>
      </c>
      <c r="F342" s="1">
        <v>521.25</v>
      </c>
      <c r="G342" s="1" t="s">
        <v>2693</v>
      </c>
      <c r="H342" s="1" t="s">
        <v>3069</v>
      </c>
      <c r="I342" s="1" t="s">
        <v>3071</v>
      </c>
      <c r="J342" s="1" t="s">
        <v>3415</v>
      </c>
      <c r="K342" s="1">
        <v>8</v>
      </c>
      <c r="L342" s="1" t="s">
        <v>4283</v>
      </c>
      <c r="M342" s="1" t="s">
        <v>4280</v>
      </c>
      <c r="N342" s="6" t="str">
        <f t="shared" si="11"/>
        <v>Apr</v>
      </c>
      <c r="O342" s="1">
        <v>2606.25</v>
      </c>
      <c r="T342" s="4"/>
      <c r="U342" s="1" t="str">
        <f t="shared" si="12"/>
        <v>Normal</v>
      </c>
    </row>
    <row r="343" spans="1:21" x14ac:dyDescent="0.25">
      <c r="A343" s="1" t="s">
        <v>355</v>
      </c>
      <c r="B343" s="4">
        <v>45558</v>
      </c>
      <c r="C343" s="1" t="s">
        <v>1555</v>
      </c>
      <c r="D343" s="1" t="s">
        <v>2405</v>
      </c>
      <c r="E343" s="1">
        <v>1</v>
      </c>
      <c r="F343" s="1">
        <v>167.15</v>
      </c>
      <c r="G343" s="1" t="s">
        <v>2694</v>
      </c>
      <c r="H343" s="1" t="s">
        <v>3068</v>
      </c>
      <c r="I343" s="1" t="s">
        <v>3070</v>
      </c>
      <c r="J343" s="1" t="s">
        <v>3416</v>
      </c>
      <c r="K343" s="1">
        <v>5</v>
      </c>
      <c r="L343" s="1" t="s">
        <v>4277</v>
      </c>
      <c r="M343" s="1" t="s">
        <v>4280</v>
      </c>
      <c r="N343" s="6" t="str">
        <f t="shared" si="11"/>
        <v>Sep</v>
      </c>
      <c r="O343" s="1">
        <v>167.15</v>
      </c>
      <c r="T343" s="4"/>
      <c r="U343" s="1" t="str">
        <f t="shared" si="12"/>
        <v>Normal</v>
      </c>
    </row>
    <row r="344" spans="1:21" x14ac:dyDescent="0.25">
      <c r="A344" s="1" t="s">
        <v>356</v>
      </c>
      <c r="B344" s="4">
        <v>45832</v>
      </c>
      <c r="C344" s="1" t="s">
        <v>1556</v>
      </c>
      <c r="D344" s="1" t="s">
        <v>2403</v>
      </c>
      <c r="E344" s="1">
        <v>5</v>
      </c>
      <c r="F344" s="1">
        <v>466.42</v>
      </c>
      <c r="G344" s="1" t="s">
        <v>2695</v>
      </c>
      <c r="H344" s="1" t="s">
        <v>3068</v>
      </c>
      <c r="I344" s="1" t="s">
        <v>3072</v>
      </c>
      <c r="J344" s="1" t="s">
        <v>3417</v>
      </c>
      <c r="K344" s="1">
        <v>5</v>
      </c>
      <c r="L344" s="1" t="s">
        <v>4283</v>
      </c>
      <c r="M344" s="1" t="s">
        <v>4279</v>
      </c>
      <c r="N344" s="6" t="str">
        <f t="shared" si="11"/>
        <v>Jun</v>
      </c>
      <c r="O344" s="1">
        <v>2332.1</v>
      </c>
      <c r="T344" s="4"/>
      <c r="U344" s="1" t="str">
        <f t="shared" si="12"/>
        <v>Normal</v>
      </c>
    </row>
    <row r="345" spans="1:21" x14ac:dyDescent="0.25">
      <c r="A345" s="1" t="s">
        <v>357</v>
      </c>
      <c r="B345" s="4">
        <v>44983</v>
      </c>
      <c r="C345" s="1" t="s">
        <v>1557</v>
      </c>
      <c r="D345" s="1" t="s">
        <v>2407</v>
      </c>
      <c r="E345" s="1">
        <v>1</v>
      </c>
      <c r="F345" s="1">
        <v>527.57000000000005</v>
      </c>
      <c r="G345" s="1" t="s">
        <v>2696</v>
      </c>
      <c r="H345" s="1" t="s">
        <v>3065</v>
      </c>
      <c r="I345" s="1" t="s">
        <v>3074</v>
      </c>
      <c r="J345" s="1" t="s">
        <v>3418</v>
      </c>
      <c r="K345" s="1">
        <v>3</v>
      </c>
      <c r="L345" s="1" t="s">
        <v>4276</v>
      </c>
      <c r="M345" s="1" t="s">
        <v>4281</v>
      </c>
      <c r="N345" s="6" t="str">
        <f t="shared" si="11"/>
        <v>Feb</v>
      </c>
      <c r="O345" s="1">
        <v>527.57000000000005</v>
      </c>
      <c r="T345" s="4"/>
      <c r="U345" s="1" t="str">
        <f t="shared" si="12"/>
        <v>Normal</v>
      </c>
    </row>
    <row r="346" spans="1:21" x14ac:dyDescent="0.25">
      <c r="A346" s="1" t="s">
        <v>358</v>
      </c>
      <c r="B346" s="4">
        <v>45722</v>
      </c>
      <c r="C346" s="1" t="s">
        <v>1558</v>
      </c>
      <c r="D346" s="1" t="s">
        <v>2405</v>
      </c>
      <c r="E346" s="1">
        <v>3</v>
      </c>
      <c r="F346" s="1">
        <v>623.34</v>
      </c>
      <c r="G346" s="1" t="s">
        <v>2697</v>
      </c>
      <c r="H346" s="1" t="s">
        <v>3066</v>
      </c>
      <c r="I346" s="1" t="s">
        <v>3071</v>
      </c>
      <c r="J346" s="1" t="s">
        <v>3419</v>
      </c>
      <c r="K346" s="1">
        <v>3</v>
      </c>
      <c r="L346" s="1" t="s">
        <v>4275</v>
      </c>
      <c r="M346" s="1" t="s">
        <v>4278</v>
      </c>
      <c r="N346" s="6" t="str">
        <f t="shared" si="11"/>
        <v>Mar</v>
      </c>
      <c r="O346" s="1">
        <v>1870.02</v>
      </c>
      <c r="T346" s="4"/>
      <c r="U346" s="1" t="str">
        <f t="shared" si="12"/>
        <v>Normal</v>
      </c>
    </row>
    <row r="347" spans="1:21" x14ac:dyDescent="0.25">
      <c r="A347" s="1" t="s">
        <v>359</v>
      </c>
      <c r="B347" s="4">
        <v>45267</v>
      </c>
      <c r="C347" s="1" t="s">
        <v>1559</v>
      </c>
      <c r="D347" s="1" t="s">
        <v>2405</v>
      </c>
      <c r="E347" s="1">
        <v>5</v>
      </c>
      <c r="F347" s="1">
        <v>501.26</v>
      </c>
      <c r="G347" s="1" t="s">
        <v>2698</v>
      </c>
      <c r="H347" s="1" t="s">
        <v>3068</v>
      </c>
      <c r="I347" s="1" t="s">
        <v>3070</v>
      </c>
      <c r="J347" s="1" t="s">
        <v>3420</v>
      </c>
      <c r="K347" s="1">
        <v>10</v>
      </c>
      <c r="L347" s="1" t="s">
        <v>4276</v>
      </c>
      <c r="M347" s="1" t="s">
        <v>4279</v>
      </c>
      <c r="N347" s="6" t="str">
        <f t="shared" si="11"/>
        <v>Dec</v>
      </c>
      <c r="O347" s="1">
        <v>2506.3000000000002</v>
      </c>
      <c r="T347" s="4"/>
      <c r="U347" s="1" t="str">
        <f t="shared" si="12"/>
        <v>Normal</v>
      </c>
    </row>
    <row r="348" spans="1:21" x14ac:dyDescent="0.25">
      <c r="A348" s="1" t="s">
        <v>360</v>
      </c>
      <c r="B348" s="4">
        <v>45632</v>
      </c>
      <c r="C348" s="1" t="s">
        <v>1560</v>
      </c>
      <c r="D348" s="1" t="s">
        <v>2405</v>
      </c>
      <c r="E348" s="1">
        <v>1</v>
      </c>
      <c r="F348" s="1">
        <v>655.09</v>
      </c>
      <c r="G348" s="1" t="s">
        <v>2699</v>
      </c>
      <c r="H348" s="1" t="s">
        <v>3069</v>
      </c>
      <c r="I348" s="1" t="s">
        <v>3074</v>
      </c>
      <c r="J348" s="1" t="s">
        <v>3421</v>
      </c>
      <c r="K348" s="1">
        <v>6</v>
      </c>
      <c r="L348" s="1" t="s">
        <v>4283</v>
      </c>
      <c r="M348" s="1" t="s">
        <v>4279</v>
      </c>
      <c r="N348" s="6" t="str">
        <f t="shared" si="11"/>
        <v>Dec</v>
      </c>
      <c r="O348" s="1">
        <v>655.09</v>
      </c>
      <c r="T348" s="4"/>
      <c r="U348" s="1" t="str">
        <f t="shared" si="12"/>
        <v>Normal</v>
      </c>
    </row>
    <row r="349" spans="1:21" x14ac:dyDescent="0.25">
      <c r="A349" s="1" t="s">
        <v>361</v>
      </c>
      <c r="B349" s="4">
        <v>45325</v>
      </c>
      <c r="C349" s="1" t="s">
        <v>1561</v>
      </c>
      <c r="D349" s="1" t="s">
        <v>2407</v>
      </c>
      <c r="E349" s="1">
        <v>4</v>
      </c>
      <c r="F349" s="1">
        <v>264.79000000000002</v>
      </c>
      <c r="G349" s="1" t="s">
        <v>2700</v>
      </c>
      <c r="H349" s="1" t="s">
        <v>3067</v>
      </c>
      <c r="I349" s="1" t="s">
        <v>3074</v>
      </c>
      <c r="J349" s="1" t="s">
        <v>3422</v>
      </c>
      <c r="K349" s="1">
        <v>5</v>
      </c>
      <c r="L349" s="1" t="s">
        <v>4275</v>
      </c>
      <c r="M349" s="1" t="s">
        <v>4282</v>
      </c>
      <c r="N349" s="6" t="str">
        <f t="shared" si="11"/>
        <v>Feb</v>
      </c>
      <c r="O349" s="1">
        <v>1059.1600000000001</v>
      </c>
      <c r="T349" s="4"/>
      <c r="U349" s="1" t="str">
        <f t="shared" si="12"/>
        <v>Normal</v>
      </c>
    </row>
    <row r="350" spans="1:21" x14ac:dyDescent="0.25">
      <c r="A350" s="1" t="s">
        <v>362</v>
      </c>
      <c r="B350" s="4">
        <v>45364</v>
      </c>
      <c r="C350" s="1" t="s">
        <v>1562</v>
      </c>
      <c r="D350" s="1" t="s">
        <v>2408</v>
      </c>
      <c r="E350" s="1">
        <v>3</v>
      </c>
      <c r="F350" s="1">
        <v>359.73</v>
      </c>
      <c r="G350" s="1" t="s">
        <v>2701</v>
      </c>
      <c r="H350" s="1" t="s">
        <v>3065</v>
      </c>
      <c r="I350" s="1" t="s">
        <v>3072</v>
      </c>
      <c r="J350" s="1" t="s">
        <v>3423</v>
      </c>
      <c r="K350" s="1">
        <v>7</v>
      </c>
      <c r="L350" s="1" t="s">
        <v>4276</v>
      </c>
      <c r="M350" s="1" t="s">
        <v>4280</v>
      </c>
      <c r="N350" s="6" t="str">
        <f t="shared" si="11"/>
        <v>Mar</v>
      </c>
      <c r="O350" s="1">
        <v>1079.19</v>
      </c>
      <c r="T350" s="4"/>
      <c r="U350" s="1" t="str">
        <f t="shared" si="12"/>
        <v>Normal</v>
      </c>
    </row>
    <row r="351" spans="1:21" x14ac:dyDescent="0.25">
      <c r="A351" s="1" t="s">
        <v>363</v>
      </c>
      <c r="B351" s="4">
        <v>45260</v>
      </c>
      <c r="C351" s="1" t="s">
        <v>1563</v>
      </c>
      <c r="D351" s="1" t="s">
        <v>2406</v>
      </c>
      <c r="E351" s="1">
        <v>1</v>
      </c>
      <c r="F351" s="1">
        <v>465.33</v>
      </c>
      <c r="G351" s="1" t="s">
        <v>2702</v>
      </c>
      <c r="H351" s="1" t="s">
        <v>3068</v>
      </c>
      <c r="I351" s="1" t="s">
        <v>3073</v>
      </c>
      <c r="J351" s="1" t="s">
        <v>3424</v>
      </c>
      <c r="K351" s="1">
        <v>2</v>
      </c>
      <c r="L351" s="1" t="s">
        <v>4276</v>
      </c>
      <c r="M351" s="1" t="s">
        <v>4282</v>
      </c>
      <c r="N351" s="6" t="str">
        <f t="shared" si="11"/>
        <v>Nov</v>
      </c>
      <c r="O351" s="1">
        <v>465.33</v>
      </c>
      <c r="T351" s="4"/>
      <c r="U351" s="1" t="str">
        <f t="shared" si="12"/>
        <v>Normal</v>
      </c>
    </row>
    <row r="352" spans="1:21" x14ac:dyDescent="0.25">
      <c r="A352" s="1" t="s">
        <v>364</v>
      </c>
      <c r="B352" s="4">
        <v>45080</v>
      </c>
      <c r="C352" s="1" t="s">
        <v>1564</v>
      </c>
      <c r="D352" s="1" t="s">
        <v>2406</v>
      </c>
      <c r="E352" s="1">
        <v>2</v>
      </c>
      <c r="F352" s="1">
        <v>54.41</v>
      </c>
      <c r="G352" s="1" t="s">
        <v>2703</v>
      </c>
      <c r="H352" s="1" t="s">
        <v>3066</v>
      </c>
      <c r="I352" s="1" t="s">
        <v>3070</v>
      </c>
      <c r="J352" s="1" t="s">
        <v>3425</v>
      </c>
      <c r="K352" s="1">
        <v>6</v>
      </c>
      <c r="L352" s="1" t="s">
        <v>4283</v>
      </c>
      <c r="M352" s="1" t="s">
        <v>4278</v>
      </c>
      <c r="N352" s="6" t="str">
        <f t="shared" si="11"/>
        <v>Jun</v>
      </c>
      <c r="O352" s="1">
        <v>108.82</v>
      </c>
      <c r="T352" s="4"/>
      <c r="U352" s="1" t="str">
        <f t="shared" si="12"/>
        <v>Normal</v>
      </c>
    </row>
    <row r="353" spans="1:21" x14ac:dyDescent="0.25">
      <c r="A353" s="1" t="s">
        <v>365</v>
      </c>
      <c r="B353" s="4">
        <v>45703</v>
      </c>
      <c r="C353" s="1" t="s">
        <v>1565</v>
      </c>
      <c r="D353" s="1" t="s">
        <v>2408</v>
      </c>
      <c r="E353" s="1">
        <v>1</v>
      </c>
      <c r="F353" s="1">
        <v>64.66</v>
      </c>
      <c r="G353" s="1" t="s">
        <v>2704</v>
      </c>
      <c r="H353" s="1" t="s">
        <v>3065</v>
      </c>
      <c r="I353" s="1" t="s">
        <v>3073</v>
      </c>
      <c r="J353" s="1" t="s">
        <v>3426</v>
      </c>
      <c r="K353" s="1">
        <v>4</v>
      </c>
      <c r="L353" s="1" t="s">
        <v>4283</v>
      </c>
      <c r="M353" s="1" t="s">
        <v>4278</v>
      </c>
      <c r="N353" s="6" t="str">
        <f t="shared" si="11"/>
        <v>Feb</v>
      </c>
      <c r="O353" s="1">
        <v>64.66</v>
      </c>
      <c r="T353" s="4"/>
      <c r="U353" s="1" t="str">
        <f t="shared" si="12"/>
        <v>Normal</v>
      </c>
    </row>
    <row r="354" spans="1:21" x14ac:dyDescent="0.25">
      <c r="A354" s="1" t="s">
        <v>366</v>
      </c>
      <c r="B354" s="4">
        <v>45169</v>
      </c>
      <c r="C354" s="1" t="s">
        <v>1566</v>
      </c>
      <c r="D354" s="1" t="s">
        <v>2406</v>
      </c>
      <c r="E354" s="1">
        <v>5</v>
      </c>
      <c r="F354" s="1">
        <v>173.96</v>
      </c>
      <c r="G354" s="1" t="s">
        <v>2705</v>
      </c>
      <c r="H354" s="1" t="s">
        <v>3065</v>
      </c>
      <c r="I354" s="1" t="s">
        <v>3074</v>
      </c>
      <c r="J354" s="1" t="s">
        <v>3427</v>
      </c>
      <c r="K354" s="1">
        <v>8</v>
      </c>
      <c r="L354" s="1" t="s">
        <v>4277</v>
      </c>
      <c r="M354" s="1" t="s">
        <v>4278</v>
      </c>
      <c r="N354" s="6" t="str">
        <f t="shared" si="11"/>
        <v>Aug</v>
      </c>
      <c r="O354" s="1">
        <v>869.80000000000007</v>
      </c>
      <c r="T354" s="4"/>
      <c r="U354" s="1" t="str">
        <f t="shared" si="12"/>
        <v>Normal</v>
      </c>
    </row>
    <row r="355" spans="1:21" x14ac:dyDescent="0.25">
      <c r="A355" s="1" t="s">
        <v>367</v>
      </c>
      <c r="B355" s="4">
        <v>45744</v>
      </c>
      <c r="C355" s="1" t="s">
        <v>1567</v>
      </c>
      <c r="D355" s="1" t="s">
        <v>2405</v>
      </c>
      <c r="E355" s="1">
        <v>1</v>
      </c>
      <c r="F355" s="1">
        <v>630.82000000000005</v>
      </c>
      <c r="G355" s="1" t="s">
        <v>2706</v>
      </c>
      <c r="H355" s="1" t="s">
        <v>3066</v>
      </c>
      <c r="I355" s="1" t="s">
        <v>3073</v>
      </c>
      <c r="J355" s="1" t="s">
        <v>3428</v>
      </c>
      <c r="K355" s="1">
        <v>5</v>
      </c>
      <c r="L355" s="1" t="s">
        <v>4276</v>
      </c>
      <c r="M355" s="1" t="s">
        <v>4282</v>
      </c>
      <c r="N355" s="6" t="str">
        <f t="shared" si="11"/>
        <v>Mar</v>
      </c>
      <c r="O355" s="1">
        <v>630.82000000000005</v>
      </c>
      <c r="T355" s="4"/>
      <c r="U355" s="1" t="str">
        <f t="shared" si="12"/>
        <v>Normal</v>
      </c>
    </row>
    <row r="356" spans="1:21" x14ac:dyDescent="0.25">
      <c r="A356" s="1" t="s">
        <v>368</v>
      </c>
      <c r="B356" s="4">
        <v>45118</v>
      </c>
      <c r="C356" s="1" t="s">
        <v>1568</v>
      </c>
      <c r="D356" s="1" t="s">
        <v>2404</v>
      </c>
      <c r="E356" s="1">
        <v>1</v>
      </c>
      <c r="F356" s="1">
        <v>693.41</v>
      </c>
      <c r="G356" s="1" t="s">
        <v>2707</v>
      </c>
      <c r="H356" s="1" t="s">
        <v>3065</v>
      </c>
      <c r="I356" s="1" t="s">
        <v>3070</v>
      </c>
      <c r="J356" s="1" t="s">
        <v>3429</v>
      </c>
      <c r="K356" s="1">
        <v>4</v>
      </c>
      <c r="L356" s="1" t="s">
        <v>4283</v>
      </c>
      <c r="M356" s="1" t="s">
        <v>4278</v>
      </c>
      <c r="N356" s="6" t="str">
        <f t="shared" si="11"/>
        <v>Jul</v>
      </c>
      <c r="O356" s="1">
        <v>693.41</v>
      </c>
      <c r="T356" s="4"/>
      <c r="U356" s="1" t="str">
        <f t="shared" si="12"/>
        <v>Normal</v>
      </c>
    </row>
    <row r="357" spans="1:21" x14ac:dyDescent="0.25">
      <c r="A357" s="1" t="s">
        <v>369</v>
      </c>
      <c r="B357" s="4">
        <v>45811</v>
      </c>
      <c r="C357" s="1" t="s">
        <v>1569</v>
      </c>
      <c r="D357" s="1" t="s">
        <v>2405</v>
      </c>
      <c r="E357" s="1">
        <v>3</v>
      </c>
      <c r="F357" s="1">
        <v>433.33</v>
      </c>
      <c r="G357" s="1" t="s">
        <v>2708</v>
      </c>
      <c r="H357" s="1" t="s">
        <v>3067</v>
      </c>
      <c r="I357" s="1" t="s">
        <v>3071</v>
      </c>
      <c r="J357" s="1" t="s">
        <v>3430</v>
      </c>
      <c r="K357" s="1">
        <v>4</v>
      </c>
      <c r="L357" s="1" t="s">
        <v>4276</v>
      </c>
      <c r="M357" s="1" t="s">
        <v>4279</v>
      </c>
      <c r="N357" s="6" t="str">
        <f t="shared" si="11"/>
        <v>Jun</v>
      </c>
      <c r="O357" s="1">
        <v>1299.99</v>
      </c>
      <c r="T357" s="4"/>
      <c r="U357" s="1" t="str">
        <f t="shared" si="12"/>
        <v>Normal</v>
      </c>
    </row>
    <row r="358" spans="1:21" x14ac:dyDescent="0.25">
      <c r="A358" s="1" t="s">
        <v>370</v>
      </c>
      <c r="B358" s="4">
        <v>45052</v>
      </c>
      <c r="C358" s="1" t="s">
        <v>1570</v>
      </c>
      <c r="D358" s="1" t="s">
        <v>2407</v>
      </c>
      <c r="E358" s="1">
        <v>5</v>
      </c>
      <c r="F358" s="1">
        <v>374.58</v>
      </c>
      <c r="G358" s="1" t="s">
        <v>2709</v>
      </c>
      <c r="H358" s="1" t="s">
        <v>3068</v>
      </c>
      <c r="I358" s="1" t="s">
        <v>3071</v>
      </c>
      <c r="J358" s="1" t="s">
        <v>3431</v>
      </c>
      <c r="K358" s="1">
        <v>10</v>
      </c>
      <c r="L358" s="1" t="s">
        <v>4276</v>
      </c>
      <c r="M358" s="1" t="s">
        <v>4278</v>
      </c>
      <c r="N358" s="6" t="str">
        <f t="shared" si="11"/>
        <v>May</v>
      </c>
      <c r="O358" s="1">
        <v>1872.9</v>
      </c>
      <c r="T358" s="4"/>
      <c r="U358" s="1" t="str">
        <f t="shared" si="12"/>
        <v>Normal</v>
      </c>
    </row>
    <row r="359" spans="1:21" x14ac:dyDescent="0.25">
      <c r="A359" s="1" t="s">
        <v>371</v>
      </c>
      <c r="B359" s="4">
        <v>45115</v>
      </c>
      <c r="C359" s="1" t="s">
        <v>1571</v>
      </c>
      <c r="D359" s="1" t="s">
        <v>2408</v>
      </c>
      <c r="E359" s="1">
        <v>5</v>
      </c>
      <c r="F359" s="1">
        <v>408.56</v>
      </c>
      <c r="G359" s="1" t="s">
        <v>2692</v>
      </c>
      <c r="H359" s="1" t="s">
        <v>3065</v>
      </c>
      <c r="I359" s="1" t="s">
        <v>3073</v>
      </c>
      <c r="J359" s="1" t="s">
        <v>3432</v>
      </c>
      <c r="K359" s="1">
        <v>8</v>
      </c>
      <c r="L359" s="1" t="s">
        <v>4276</v>
      </c>
      <c r="M359" s="1" t="s">
        <v>4278</v>
      </c>
      <c r="N359" s="6" t="str">
        <f t="shared" si="11"/>
        <v>Jul</v>
      </c>
      <c r="O359" s="1">
        <v>2042.8</v>
      </c>
      <c r="T359" s="4"/>
      <c r="U359" s="1" t="str">
        <f t="shared" si="12"/>
        <v>Normal</v>
      </c>
    </row>
    <row r="360" spans="1:21" x14ac:dyDescent="0.25">
      <c r="A360" s="1" t="s">
        <v>372</v>
      </c>
      <c r="B360" s="4">
        <v>45389</v>
      </c>
      <c r="C360" s="1" t="s">
        <v>1572</v>
      </c>
      <c r="D360" s="1" t="s">
        <v>2405</v>
      </c>
      <c r="E360" s="1">
        <v>2</v>
      </c>
      <c r="F360" s="1">
        <v>183.67</v>
      </c>
      <c r="G360" s="1" t="s">
        <v>2710</v>
      </c>
      <c r="H360" s="1" t="s">
        <v>3066</v>
      </c>
      <c r="I360" s="1" t="s">
        <v>3071</v>
      </c>
      <c r="J360" s="1" t="s">
        <v>3433</v>
      </c>
      <c r="K360" s="1">
        <v>3</v>
      </c>
      <c r="L360" s="1" t="s">
        <v>4275</v>
      </c>
      <c r="M360" s="1" t="s">
        <v>4282</v>
      </c>
      <c r="N360" s="6" t="str">
        <f t="shared" si="11"/>
        <v>Apr</v>
      </c>
      <c r="O360" s="1">
        <v>367.34</v>
      </c>
      <c r="T360" s="4"/>
      <c r="U360" s="1" t="str">
        <f t="shared" si="12"/>
        <v>Normal</v>
      </c>
    </row>
    <row r="361" spans="1:21" x14ac:dyDescent="0.25">
      <c r="A361" s="1" t="s">
        <v>373</v>
      </c>
      <c r="B361" s="4">
        <v>45086</v>
      </c>
      <c r="C361" s="1" t="s">
        <v>1573</v>
      </c>
      <c r="D361" s="1" t="s">
        <v>2409</v>
      </c>
      <c r="E361" s="1">
        <v>4</v>
      </c>
      <c r="F361" s="1">
        <v>606.57000000000005</v>
      </c>
      <c r="G361" s="1" t="s">
        <v>2711</v>
      </c>
      <c r="H361" s="1" t="s">
        <v>3065</v>
      </c>
      <c r="I361" s="1" t="s">
        <v>3073</v>
      </c>
      <c r="J361" s="1" t="s">
        <v>3434</v>
      </c>
      <c r="K361" s="1">
        <v>5</v>
      </c>
      <c r="L361" s="1" t="s">
        <v>4277</v>
      </c>
      <c r="M361" s="1" t="s">
        <v>4279</v>
      </c>
      <c r="N361" s="6" t="str">
        <f t="shared" si="11"/>
        <v>Jun</v>
      </c>
      <c r="O361" s="1">
        <v>2426.2800000000002</v>
      </c>
      <c r="T361" s="4"/>
      <c r="U361" s="1" t="str">
        <f t="shared" si="12"/>
        <v>Normal</v>
      </c>
    </row>
    <row r="362" spans="1:21" x14ac:dyDescent="0.25">
      <c r="A362" s="1" t="s">
        <v>374</v>
      </c>
      <c r="B362" s="4">
        <v>45449</v>
      </c>
      <c r="C362" s="1" t="s">
        <v>1574</v>
      </c>
      <c r="D362" s="1" t="s">
        <v>2404</v>
      </c>
      <c r="E362" s="1">
        <v>4</v>
      </c>
      <c r="F362" s="1">
        <v>589.57000000000005</v>
      </c>
      <c r="G362" s="1" t="s">
        <v>2712</v>
      </c>
      <c r="H362" s="1" t="s">
        <v>3069</v>
      </c>
      <c r="I362" s="1" t="s">
        <v>3074</v>
      </c>
      <c r="J362" s="1" t="s">
        <v>3435</v>
      </c>
      <c r="K362" s="1">
        <v>8</v>
      </c>
      <c r="L362" s="1" t="s">
        <v>4283</v>
      </c>
      <c r="M362" s="1" t="s">
        <v>4278</v>
      </c>
      <c r="N362" s="6" t="str">
        <f t="shared" si="11"/>
        <v>Jun</v>
      </c>
      <c r="O362" s="1">
        <v>2358.2800000000002</v>
      </c>
      <c r="T362" s="4"/>
      <c r="U362" s="1" t="str">
        <f t="shared" si="12"/>
        <v>Normal</v>
      </c>
    </row>
    <row r="363" spans="1:21" x14ac:dyDescent="0.25">
      <c r="A363" s="1" t="s">
        <v>375</v>
      </c>
      <c r="B363" s="4">
        <v>45472</v>
      </c>
      <c r="C363" s="1" t="s">
        <v>1575</v>
      </c>
      <c r="D363" s="1" t="s">
        <v>2407</v>
      </c>
      <c r="E363" s="1">
        <v>5</v>
      </c>
      <c r="F363" s="1">
        <v>659.85</v>
      </c>
      <c r="G363" s="1" t="s">
        <v>2713</v>
      </c>
      <c r="H363" s="1" t="s">
        <v>3067</v>
      </c>
      <c r="I363" s="1" t="s">
        <v>3073</v>
      </c>
      <c r="J363" s="1" t="s">
        <v>3436</v>
      </c>
      <c r="K363" s="1">
        <v>9</v>
      </c>
      <c r="L363" s="1" t="s">
        <v>4275</v>
      </c>
      <c r="M363" s="1" t="s">
        <v>4281</v>
      </c>
      <c r="N363" s="6" t="str">
        <f t="shared" si="11"/>
        <v>Jun</v>
      </c>
      <c r="O363" s="1">
        <v>3299.25</v>
      </c>
      <c r="T363" s="4"/>
      <c r="U363" s="1" t="str">
        <f t="shared" si="12"/>
        <v>Normal</v>
      </c>
    </row>
    <row r="364" spans="1:21" x14ac:dyDescent="0.25">
      <c r="A364" s="1" t="s">
        <v>376</v>
      </c>
      <c r="B364" s="4">
        <v>45104</v>
      </c>
      <c r="C364" s="1" t="s">
        <v>1576</v>
      </c>
      <c r="D364" s="1" t="s">
        <v>2403</v>
      </c>
      <c r="E364" s="1">
        <v>4</v>
      </c>
      <c r="F364" s="1">
        <v>206.84</v>
      </c>
      <c r="G364" s="1" t="s">
        <v>2714</v>
      </c>
      <c r="H364" s="1" t="s">
        <v>3069</v>
      </c>
      <c r="I364" s="1" t="s">
        <v>3071</v>
      </c>
      <c r="J364" s="1" t="s">
        <v>3437</v>
      </c>
      <c r="K364" s="1">
        <v>5</v>
      </c>
      <c r="L364" s="1" t="s">
        <v>4277</v>
      </c>
      <c r="M364" s="1" t="s">
        <v>4278</v>
      </c>
      <c r="N364" s="6" t="str">
        <f t="shared" si="11"/>
        <v>Jun</v>
      </c>
      <c r="O364" s="1">
        <v>827.36</v>
      </c>
      <c r="T364" s="4"/>
      <c r="U364" s="1" t="str">
        <f t="shared" si="12"/>
        <v>Normal</v>
      </c>
    </row>
    <row r="365" spans="1:21" x14ac:dyDescent="0.25">
      <c r="A365" s="1" t="s">
        <v>377</v>
      </c>
      <c r="B365" s="4">
        <v>45436</v>
      </c>
      <c r="C365" s="1" t="s">
        <v>1577</v>
      </c>
      <c r="D365" s="1" t="s">
        <v>2408</v>
      </c>
      <c r="E365" s="1">
        <v>5</v>
      </c>
      <c r="F365" s="1">
        <v>113.87</v>
      </c>
      <c r="G365" s="1" t="s">
        <v>2452</v>
      </c>
      <c r="H365" s="1" t="s">
        <v>3067</v>
      </c>
      <c r="I365" s="1" t="s">
        <v>3074</v>
      </c>
      <c r="J365" s="1" t="s">
        <v>3438</v>
      </c>
      <c r="K365" s="1">
        <v>6</v>
      </c>
      <c r="L365" s="1" t="s">
        <v>4275</v>
      </c>
      <c r="M365" s="1" t="s">
        <v>4280</v>
      </c>
      <c r="N365" s="6" t="str">
        <f t="shared" si="11"/>
        <v>May</v>
      </c>
      <c r="O365" s="1">
        <v>569.35</v>
      </c>
      <c r="T365" s="4"/>
      <c r="U365" s="1" t="str">
        <f t="shared" si="12"/>
        <v>Normal</v>
      </c>
    </row>
    <row r="366" spans="1:21" x14ac:dyDescent="0.25">
      <c r="A366" s="1" t="s">
        <v>378</v>
      </c>
      <c r="B366" s="4">
        <v>45254</v>
      </c>
      <c r="C366" s="1" t="s">
        <v>1578</v>
      </c>
      <c r="D366" s="1" t="s">
        <v>2404</v>
      </c>
      <c r="E366" s="1">
        <v>5</v>
      </c>
      <c r="F366" s="1">
        <v>628.74</v>
      </c>
      <c r="G366" s="1" t="s">
        <v>2650</v>
      </c>
      <c r="H366" s="1" t="s">
        <v>3069</v>
      </c>
      <c r="I366" s="1" t="s">
        <v>3071</v>
      </c>
      <c r="J366" s="1" t="s">
        <v>3439</v>
      </c>
      <c r="K366" s="1">
        <v>9</v>
      </c>
      <c r="L366" s="1" t="s">
        <v>4276</v>
      </c>
      <c r="M366" s="1" t="s">
        <v>4281</v>
      </c>
      <c r="N366" s="6" t="str">
        <f t="shared" si="11"/>
        <v>Nov</v>
      </c>
      <c r="O366" s="1">
        <v>3143.7</v>
      </c>
      <c r="T366" s="4"/>
      <c r="U366" s="1" t="str">
        <f t="shared" si="12"/>
        <v>Normal</v>
      </c>
    </row>
    <row r="367" spans="1:21" x14ac:dyDescent="0.25">
      <c r="A367" s="1" t="s">
        <v>379</v>
      </c>
      <c r="B367" s="4">
        <v>45702</v>
      </c>
      <c r="C367" s="1" t="s">
        <v>1579</v>
      </c>
      <c r="D367" s="1" t="s">
        <v>2404</v>
      </c>
      <c r="E367" s="1">
        <v>1</v>
      </c>
      <c r="F367" s="1">
        <v>678.38</v>
      </c>
      <c r="G367" s="1" t="s">
        <v>2686</v>
      </c>
      <c r="H367" s="1" t="s">
        <v>3067</v>
      </c>
      <c r="I367" s="1" t="s">
        <v>3071</v>
      </c>
      <c r="J367" s="1" t="s">
        <v>3440</v>
      </c>
      <c r="K367" s="1">
        <v>4</v>
      </c>
      <c r="L367" s="1" t="s">
        <v>4275</v>
      </c>
      <c r="M367" s="1" t="s">
        <v>4279</v>
      </c>
      <c r="N367" s="6" t="str">
        <f t="shared" si="11"/>
        <v>Feb</v>
      </c>
      <c r="O367" s="1">
        <v>678.38</v>
      </c>
      <c r="T367" s="4"/>
      <c r="U367" s="1" t="str">
        <f t="shared" si="12"/>
        <v>Normal</v>
      </c>
    </row>
    <row r="368" spans="1:21" x14ac:dyDescent="0.25">
      <c r="A368" s="1" t="s">
        <v>380</v>
      </c>
      <c r="B368" s="4">
        <v>44967</v>
      </c>
      <c r="C368" s="1" t="s">
        <v>1580</v>
      </c>
      <c r="D368" s="1" t="s">
        <v>2407</v>
      </c>
      <c r="E368" s="1">
        <v>3</v>
      </c>
      <c r="F368" s="1">
        <v>602.24</v>
      </c>
      <c r="G368" s="1" t="s">
        <v>2715</v>
      </c>
      <c r="H368" s="1" t="s">
        <v>3065</v>
      </c>
      <c r="I368" s="1" t="s">
        <v>3074</v>
      </c>
      <c r="J368" s="1" t="s">
        <v>3441</v>
      </c>
      <c r="K368" s="1">
        <v>8</v>
      </c>
      <c r="L368" s="1" t="s">
        <v>4283</v>
      </c>
      <c r="M368" s="1" t="s">
        <v>4279</v>
      </c>
      <c r="N368" s="6" t="str">
        <f t="shared" si="11"/>
        <v>Feb</v>
      </c>
      <c r="O368" s="1">
        <v>1806.72</v>
      </c>
      <c r="T368" s="4"/>
      <c r="U368" s="1" t="str">
        <f t="shared" si="12"/>
        <v>Normal</v>
      </c>
    </row>
    <row r="369" spans="1:21" x14ac:dyDescent="0.25">
      <c r="A369" s="1" t="s">
        <v>381</v>
      </c>
      <c r="B369" s="4">
        <v>45407</v>
      </c>
      <c r="C369" s="1" t="s">
        <v>1581</v>
      </c>
      <c r="D369" s="1" t="s">
        <v>2408</v>
      </c>
      <c r="E369" s="1">
        <v>5</v>
      </c>
      <c r="F369" s="1">
        <v>658.77</v>
      </c>
      <c r="G369" s="1" t="s">
        <v>2630</v>
      </c>
      <c r="H369" s="1" t="s">
        <v>3068</v>
      </c>
      <c r="I369" s="1" t="s">
        <v>3074</v>
      </c>
      <c r="J369" s="1" t="s">
        <v>3442</v>
      </c>
      <c r="K369" s="1">
        <v>10</v>
      </c>
      <c r="L369" s="1" t="s">
        <v>4276</v>
      </c>
      <c r="M369" s="1" t="s">
        <v>4278</v>
      </c>
      <c r="N369" s="6" t="str">
        <f t="shared" si="11"/>
        <v>Apr</v>
      </c>
      <c r="O369" s="1">
        <v>3293.85</v>
      </c>
      <c r="T369" s="4"/>
      <c r="U369" s="1" t="str">
        <f t="shared" si="12"/>
        <v>Normal</v>
      </c>
    </row>
    <row r="370" spans="1:21" x14ac:dyDescent="0.25">
      <c r="A370" s="1" t="s">
        <v>382</v>
      </c>
      <c r="B370" s="4">
        <v>45047</v>
      </c>
      <c r="C370" s="1" t="s">
        <v>1582</v>
      </c>
      <c r="D370" s="1" t="s">
        <v>2403</v>
      </c>
      <c r="E370" s="1">
        <v>3</v>
      </c>
      <c r="F370" s="1">
        <v>271.02</v>
      </c>
      <c r="G370" s="1" t="s">
        <v>2716</v>
      </c>
      <c r="H370" s="1" t="s">
        <v>3067</v>
      </c>
      <c r="I370" s="1" t="s">
        <v>3071</v>
      </c>
      <c r="J370" s="1" t="s">
        <v>3443</v>
      </c>
      <c r="K370" s="1">
        <v>6</v>
      </c>
      <c r="L370" s="1" t="s">
        <v>4283</v>
      </c>
      <c r="M370" s="1" t="s">
        <v>4282</v>
      </c>
      <c r="N370" s="6" t="str">
        <f t="shared" si="11"/>
        <v>May</v>
      </c>
      <c r="O370" s="1">
        <v>813.06</v>
      </c>
      <c r="T370" s="4"/>
      <c r="U370" s="1" t="str">
        <f t="shared" si="12"/>
        <v>Normal</v>
      </c>
    </row>
    <row r="371" spans="1:21" x14ac:dyDescent="0.25">
      <c r="A371" s="1" t="s">
        <v>383</v>
      </c>
      <c r="B371" s="4">
        <v>45648</v>
      </c>
      <c r="C371" s="1" t="s">
        <v>1583</v>
      </c>
      <c r="D371" s="1" t="s">
        <v>2403</v>
      </c>
      <c r="E371" s="1">
        <v>5</v>
      </c>
      <c r="F371" s="1">
        <v>375.25</v>
      </c>
      <c r="G371" s="1" t="s">
        <v>2717</v>
      </c>
      <c r="H371" s="1" t="s">
        <v>3068</v>
      </c>
      <c r="I371" s="1" t="s">
        <v>3074</v>
      </c>
      <c r="J371" s="1" t="s">
        <v>3444</v>
      </c>
      <c r="K371" s="1">
        <v>9</v>
      </c>
      <c r="L371" s="1" t="s">
        <v>4275</v>
      </c>
      <c r="M371" s="1" t="s">
        <v>4280</v>
      </c>
      <c r="N371" s="6" t="str">
        <f t="shared" si="11"/>
        <v>Dec</v>
      </c>
      <c r="O371" s="1">
        <v>1876.25</v>
      </c>
      <c r="T371" s="4"/>
      <c r="U371" s="1" t="str">
        <f t="shared" si="12"/>
        <v>Normal</v>
      </c>
    </row>
    <row r="372" spans="1:21" x14ac:dyDescent="0.25">
      <c r="A372" s="1" t="s">
        <v>384</v>
      </c>
      <c r="B372" s="4">
        <v>45780</v>
      </c>
      <c r="C372" s="1" t="s">
        <v>1584</v>
      </c>
      <c r="D372" s="1" t="s">
        <v>2404</v>
      </c>
      <c r="E372" s="1">
        <v>1</v>
      </c>
      <c r="F372" s="1">
        <v>312.11</v>
      </c>
      <c r="G372" s="1" t="s">
        <v>2718</v>
      </c>
      <c r="H372" s="1" t="s">
        <v>3066</v>
      </c>
      <c r="I372" s="1" t="s">
        <v>3071</v>
      </c>
      <c r="J372" s="1" t="s">
        <v>3445</v>
      </c>
      <c r="K372" s="1">
        <v>4</v>
      </c>
      <c r="L372" s="1" t="s">
        <v>4277</v>
      </c>
      <c r="M372" s="1" t="s">
        <v>4281</v>
      </c>
      <c r="N372" s="6" t="str">
        <f t="shared" si="11"/>
        <v>May</v>
      </c>
      <c r="O372" s="1">
        <v>312.11</v>
      </c>
      <c r="T372" s="4"/>
      <c r="U372" s="1" t="str">
        <f t="shared" si="12"/>
        <v>Normal</v>
      </c>
    </row>
    <row r="373" spans="1:21" x14ac:dyDescent="0.25">
      <c r="A373" s="1" t="s">
        <v>385</v>
      </c>
      <c r="B373" s="4">
        <v>44931</v>
      </c>
      <c r="C373" s="1" t="s">
        <v>1585</v>
      </c>
      <c r="D373" s="1" t="s">
        <v>2404</v>
      </c>
      <c r="E373" s="1">
        <v>5</v>
      </c>
      <c r="F373" s="1">
        <v>307.76</v>
      </c>
      <c r="G373" s="1" t="s">
        <v>2422</v>
      </c>
      <c r="H373" s="1" t="s">
        <v>3068</v>
      </c>
      <c r="I373" s="1" t="s">
        <v>3074</v>
      </c>
      <c r="J373" s="1" t="s">
        <v>3446</v>
      </c>
      <c r="K373" s="1">
        <v>9</v>
      </c>
      <c r="L373" s="1" t="s">
        <v>4276</v>
      </c>
      <c r="M373" s="1" t="s">
        <v>4282</v>
      </c>
      <c r="N373" s="6" t="str">
        <f t="shared" si="11"/>
        <v>Jan</v>
      </c>
      <c r="O373" s="1">
        <v>1538.8</v>
      </c>
      <c r="T373" s="4"/>
      <c r="U373" s="1" t="str">
        <f t="shared" si="12"/>
        <v>Normal</v>
      </c>
    </row>
    <row r="374" spans="1:21" x14ac:dyDescent="0.25">
      <c r="A374" s="1" t="s">
        <v>386</v>
      </c>
      <c r="B374" s="4">
        <v>45702</v>
      </c>
      <c r="C374" s="1" t="s">
        <v>1586</v>
      </c>
      <c r="D374" s="1" t="s">
        <v>2406</v>
      </c>
      <c r="E374" s="1">
        <v>3</v>
      </c>
      <c r="F374" s="1">
        <v>483.53</v>
      </c>
      <c r="G374" s="1" t="s">
        <v>2719</v>
      </c>
      <c r="H374" s="1" t="s">
        <v>3069</v>
      </c>
      <c r="I374" s="1" t="s">
        <v>3072</v>
      </c>
      <c r="J374" s="1" t="s">
        <v>3447</v>
      </c>
      <c r="K374" s="1">
        <v>4</v>
      </c>
      <c r="L374" s="1" t="s">
        <v>4283</v>
      </c>
      <c r="M374" s="1" t="s">
        <v>4279</v>
      </c>
      <c r="N374" s="6" t="str">
        <f t="shared" si="11"/>
        <v>Feb</v>
      </c>
      <c r="O374" s="1">
        <v>1450.59</v>
      </c>
      <c r="T374" s="4"/>
      <c r="U374" s="1" t="str">
        <f t="shared" si="12"/>
        <v>Normal</v>
      </c>
    </row>
    <row r="375" spans="1:21" x14ac:dyDescent="0.25">
      <c r="A375" s="1" t="s">
        <v>387</v>
      </c>
      <c r="B375" s="4">
        <v>44928</v>
      </c>
      <c r="C375" s="1" t="s">
        <v>1587</v>
      </c>
      <c r="D375" s="1" t="s">
        <v>2408</v>
      </c>
      <c r="E375" s="1">
        <v>3</v>
      </c>
      <c r="F375" s="1">
        <v>341.15</v>
      </c>
      <c r="G375" s="1" t="s">
        <v>2720</v>
      </c>
      <c r="H375" s="1" t="s">
        <v>3069</v>
      </c>
      <c r="I375" s="1" t="s">
        <v>3074</v>
      </c>
      <c r="J375" s="1" t="s">
        <v>3448</v>
      </c>
      <c r="K375" s="1">
        <v>4</v>
      </c>
      <c r="L375" s="1" t="s">
        <v>4276</v>
      </c>
      <c r="M375" s="1" t="s">
        <v>4278</v>
      </c>
      <c r="N375" s="6" t="str">
        <f t="shared" si="11"/>
        <v>Jan</v>
      </c>
      <c r="O375" s="1">
        <v>1023.45</v>
      </c>
      <c r="T375" s="4"/>
      <c r="U375" s="1" t="str">
        <f t="shared" si="12"/>
        <v>Normal</v>
      </c>
    </row>
    <row r="376" spans="1:21" x14ac:dyDescent="0.25">
      <c r="A376" s="1" t="s">
        <v>388</v>
      </c>
      <c r="B376" s="4">
        <v>45551</v>
      </c>
      <c r="C376" s="1" t="s">
        <v>1588</v>
      </c>
      <c r="D376" s="1" t="s">
        <v>2403</v>
      </c>
      <c r="E376" s="1">
        <v>1</v>
      </c>
      <c r="F376" s="1">
        <v>571.9</v>
      </c>
      <c r="G376" s="1" t="s">
        <v>2477</v>
      </c>
      <c r="H376" s="1" t="s">
        <v>3068</v>
      </c>
      <c r="I376" s="1" t="s">
        <v>3074</v>
      </c>
      <c r="J376" s="1" t="s">
        <v>3449</v>
      </c>
      <c r="K376" s="1">
        <v>1</v>
      </c>
      <c r="L376" s="1" t="s">
        <v>4277</v>
      </c>
      <c r="M376" s="1" t="s">
        <v>4278</v>
      </c>
      <c r="N376" s="6" t="str">
        <f t="shared" si="11"/>
        <v>Sep</v>
      </c>
      <c r="O376" s="1">
        <v>571.9</v>
      </c>
      <c r="T376" s="4"/>
      <c r="U376" s="1" t="str">
        <f t="shared" si="12"/>
        <v>Normal</v>
      </c>
    </row>
    <row r="377" spans="1:21" x14ac:dyDescent="0.25">
      <c r="A377" s="1" t="s">
        <v>389</v>
      </c>
      <c r="B377" s="4">
        <v>45673</v>
      </c>
      <c r="C377" s="1" t="s">
        <v>1589</v>
      </c>
      <c r="D377" s="1" t="s">
        <v>2403</v>
      </c>
      <c r="E377" s="1">
        <v>4</v>
      </c>
      <c r="F377" s="1">
        <v>95.03</v>
      </c>
      <c r="G377" s="1" t="s">
        <v>2721</v>
      </c>
      <c r="H377" s="1" t="s">
        <v>3066</v>
      </c>
      <c r="I377" s="1" t="s">
        <v>3070</v>
      </c>
      <c r="J377" s="1" t="s">
        <v>3450</v>
      </c>
      <c r="K377" s="1">
        <v>8</v>
      </c>
      <c r="L377" s="1" t="s">
        <v>4276</v>
      </c>
      <c r="M377" s="1" t="s">
        <v>4281</v>
      </c>
      <c r="N377" s="6" t="str">
        <f t="shared" si="11"/>
        <v>Jan</v>
      </c>
      <c r="O377" s="1">
        <v>380.12</v>
      </c>
      <c r="T377" s="4"/>
      <c r="U377" s="1" t="str">
        <f t="shared" si="12"/>
        <v>Normal</v>
      </c>
    </row>
    <row r="378" spans="1:21" x14ac:dyDescent="0.25">
      <c r="A378" s="1" t="s">
        <v>390</v>
      </c>
      <c r="B378" s="4">
        <v>45162</v>
      </c>
      <c r="C378" s="1" t="s">
        <v>1590</v>
      </c>
      <c r="D378" s="1" t="s">
        <v>2403</v>
      </c>
      <c r="E378" s="1">
        <v>5</v>
      </c>
      <c r="F378" s="1">
        <v>201.22</v>
      </c>
      <c r="G378" s="1" t="s">
        <v>2722</v>
      </c>
      <c r="H378" s="1" t="s">
        <v>3065</v>
      </c>
      <c r="I378" s="1" t="s">
        <v>3074</v>
      </c>
      <c r="J378" s="1" t="s">
        <v>3451</v>
      </c>
      <c r="K378" s="1">
        <v>6</v>
      </c>
      <c r="L378" s="1" t="s">
        <v>4276</v>
      </c>
      <c r="M378" s="1" t="s">
        <v>4281</v>
      </c>
      <c r="N378" s="6" t="str">
        <f t="shared" si="11"/>
        <v>Aug</v>
      </c>
      <c r="O378" s="1">
        <v>1006.1</v>
      </c>
      <c r="T378" s="4"/>
      <c r="U378" s="1" t="str">
        <f t="shared" si="12"/>
        <v>Normal</v>
      </c>
    </row>
    <row r="379" spans="1:21" x14ac:dyDescent="0.25">
      <c r="A379" s="1" t="s">
        <v>391</v>
      </c>
      <c r="B379" s="4">
        <v>45495</v>
      </c>
      <c r="C379" s="1" t="s">
        <v>1591</v>
      </c>
      <c r="D379" s="1" t="s">
        <v>2403</v>
      </c>
      <c r="E379" s="1">
        <v>1</v>
      </c>
      <c r="F379" s="1">
        <v>260.26</v>
      </c>
      <c r="G379" s="1" t="s">
        <v>2671</v>
      </c>
      <c r="H379" s="1" t="s">
        <v>3066</v>
      </c>
      <c r="I379" s="1" t="s">
        <v>3074</v>
      </c>
      <c r="J379" s="1" t="s">
        <v>3452</v>
      </c>
      <c r="K379" s="1">
        <v>5</v>
      </c>
      <c r="L379" s="1" t="s">
        <v>4277</v>
      </c>
      <c r="M379" s="1" t="s">
        <v>4278</v>
      </c>
      <c r="N379" s="6" t="str">
        <f t="shared" si="11"/>
        <v>Jul</v>
      </c>
      <c r="O379" s="1">
        <v>260.26</v>
      </c>
      <c r="T379" s="4"/>
      <c r="U379" s="1" t="str">
        <f t="shared" si="12"/>
        <v>Normal</v>
      </c>
    </row>
    <row r="380" spans="1:21" x14ac:dyDescent="0.25">
      <c r="A380" s="1" t="s">
        <v>392</v>
      </c>
      <c r="B380" s="4">
        <v>45323</v>
      </c>
      <c r="C380" s="1" t="s">
        <v>1592</v>
      </c>
      <c r="D380" s="1" t="s">
        <v>2406</v>
      </c>
      <c r="E380" s="1">
        <v>5</v>
      </c>
      <c r="F380" s="1">
        <v>64.5</v>
      </c>
      <c r="G380" s="1" t="s">
        <v>2723</v>
      </c>
      <c r="H380" s="1" t="s">
        <v>3067</v>
      </c>
      <c r="I380" s="1" t="s">
        <v>3074</v>
      </c>
      <c r="J380" s="1" t="s">
        <v>3453</v>
      </c>
      <c r="K380" s="1">
        <v>8</v>
      </c>
      <c r="L380" s="1" t="s">
        <v>4277</v>
      </c>
      <c r="M380" s="1" t="s">
        <v>4278</v>
      </c>
      <c r="N380" s="6" t="str">
        <f t="shared" si="11"/>
        <v>Feb</v>
      </c>
      <c r="O380" s="1">
        <v>322.5</v>
      </c>
      <c r="T380" s="4"/>
      <c r="U380" s="1" t="str">
        <f t="shared" si="12"/>
        <v>Normal</v>
      </c>
    </row>
    <row r="381" spans="1:21" x14ac:dyDescent="0.25">
      <c r="A381" s="1" t="s">
        <v>393</v>
      </c>
      <c r="B381" s="4">
        <v>45556</v>
      </c>
      <c r="C381" s="1" t="s">
        <v>1593</v>
      </c>
      <c r="D381" s="1" t="s">
        <v>2404</v>
      </c>
      <c r="E381" s="1">
        <v>3</v>
      </c>
      <c r="F381" s="1">
        <v>297.67</v>
      </c>
      <c r="G381" s="1" t="s">
        <v>2571</v>
      </c>
      <c r="H381" s="1" t="s">
        <v>3066</v>
      </c>
      <c r="I381" s="1" t="s">
        <v>3070</v>
      </c>
      <c r="J381" s="1" t="s">
        <v>3454</v>
      </c>
      <c r="K381" s="1">
        <v>6</v>
      </c>
      <c r="L381" s="1" t="s">
        <v>4283</v>
      </c>
      <c r="M381" s="1" t="s">
        <v>4282</v>
      </c>
      <c r="N381" s="6" t="str">
        <f t="shared" si="11"/>
        <v>Sep</v>
      </c>
      <c r="O381" s="1">
        <v>893.01</v>
      </c>
      <c r="T381" s="4"/>
      <c r="U381" s="1" t="str">
        <f t="shared" si="12"/>
        <v>Normal</v>
      </c>
    </row>
    <row r="382" spans="1:21" x14ac:dyDescent="0.25">
      <c r="A382" s="1" t="s">
        <v>394</v>
      </c>
      <c r="B382" s="4">
        <v>45402</v>
      </c>
      <c r="C382" s="1" t="s">
        <v>1594</v>
      </c>
      <c r="D382" s="1" t="s">
        <v>2407</v>
      </c>
      <c r="E382" s="1">
        <v>4</v>
      </c>
      <c r="F382" s="1">
        <v>331.9</v>
      </c>
      <c r="G382" s="1" t="s">
        <v>2640</v>
      </c>
      <c r="H382" s="1" t="s">
        <v>3069</v>
      </c>
      <c r="I382" s="1" t="s">
        <v>3074</v>
      </c>
      <c r="J382" s="1" t="s">
        <v>3455</v>
      </c>
      <c r="K382" s="1">
        <v>5</v>
      </c>
      <c r="L382" s="1" t="s">
        <v>4275</v>
      </c>
      <c r="M382" s="1" t="s">
        <v>4278</v>
      </c>
      <c r="N382" s="6" t="str">
        <f t="shared" si="11"/>
        <v>Apr</v>
      </c>
      <c r="O382" s="1">
        <v>1327.6</v>
      </c>
      <c r="T382" s="4"/>
      <c r="U382" s="1" t="str">
        <f t="shared" si="12"/>
        <v>Normal</v>
      </c>
    </row>
    <row r="383" spans="1:21" x14ac:dyDescent="0.25">
      <c r="A383" s="1" t="s">
        <v>395</v>
      </c>
      <c r="B383" s="4">
        <v>45084</v>
      </c>
      <c r="C383" s="1" t="s">
        <v>1595</v>
      </c>
      <c r="D383" s="1" t="s">
        <v>2406</v>
      </c>
      <c r="E383" s="1">
        <v>1</v>
      </c>
      <c r="F383" s="1">
        <v>191.76</v>
      </c>
      <c r="G383" s="1" t="s">
        <v>2454</v>
      </c>
      <c r="H383" s="1" t="s">
        <v>3067</v>
      </c>
      <c r="I383" s="1" t="s">
        <v>3072</v>
      </c>
      <c r="J383" s="1" t="s">
        <v>3456</v>
      </c>
      <c r="K383" s="1">
        <v>1</v>
      </c>
      <c r="L383" s="1" t="s">
        <v>4276</v>
      </c>
      <c r="M383" s="1" t="s">
        <v>4278</v>
      </c>
      <c r="N383" s="6" t="str">
        <f t="shared" si="11"/>
        <v>Jun</v>
      </c>
      <c r="O383" s="1">
        <v>191.76</v>
      </c>
      <c r="T383" s="4"/>
      <c r="U383" s="1" t="str">
        <f t="shared" si="12"/>
        <v>Normal</v>
      </c>
    </row>
    <row r="384" spans="1:21" x14ac:dyDescent="0.25">
      <c r="A384" s="1" t="s">
        <v>396</v>
      </c>
      <c r="B384" s="4">
        <v>45687</v>
      </c>
      <c r="C384" s="1" t="s">
        <v>1596</v>
      </c>
      <c r="D384" s="1" t="s">
        <v>2407</v>
      </c>
      <c r="E384" s="1">
        <v>4</v>
      </c>
      <c r="F384" s="1">
        <v>263.08999999999997</v>
      </c>
      <c r="G384" s="1" t="s">
        <v>2724</v>
      </c>
      <c r="H384" s="1" t="s">
        <v>3065</v>
      </c>
      <c r="I384" s="1" t="s">
        <v>3070</v>
      </c>
      <c r="J384" s="1" t="s">
        <v>3457</v>
      </c>
      <c r="K384" s="1">
        <v>8</v>
      </c>
      <c r="L384" s="1" t="s">
        <v>4275</v>
      </c>
      <c r="M384" s="1" t="s">
        <v>4282</v>
      </c>
      <c r="N384" s="6" t="str">
        <f t="shared" si="11"/>
        <v>Jan</v>
      </c>
      <c r="O384" s="1">
        <v>1052.3599999999999</v>
      </c>
      <c r="T384" s="4"/>
      <c r="U384" s="1" t="str">
        <f t="shared" si="12"/>
        <v>Normal</v>
      </c>
    </row>
    <row r="385" spans="1:21" x14ac:dyDescent="0.25">
      <c r="A385" s="1" t="s">
        <v>397</v>
      </c>
      <c r="B385" s="4">
        <v>44946</v>
      </c>
      <c r="C385" s="1" t="s">
        <v>1597</v>
      </c>
      <c r="D385" s="1" t="s">
        <v>2406</v>
      </c>
      <c r="E385" s="1">
        <v>4</v>
      </c>
      <c r="F385" s="1">
        <v>393.8</v>
      </c>
      <c r="G385" s="1" t="s">
        <v>2497</v>
      </c>
      <c r="H385" s="1" t="s">
        <v>3067</v>
      </c>
      <c r="I385" s="1" t="s">
        <v>3074</v>
      </c>
      <c r="J385" s="1" t="s">
        <v>3458</v>
      </c>
      <c r="K385" s="1">
        <v>7</v>
      </c>
      <c r="L385" s="1" t="s">
        <v>4275</v>
      </c>
      <c r="M385" s="1" t="s">
        <v>4280</v>
      </c>
      <c r="N385" s="6" t="str">
        <f t="shared" si="11"/>
        <v>Jan</v>
      </c>
      <c r="O385" s="1">
        <v>1575.2</v>
      </c>
      <c r="T385" s="4"/>
      <c r="U385" s="1" t="str">
        <f t="shared" si="12"/>
        <v>Normal</v>
      </c>
    </row>
    <row r="386" spans="1:21" x14ac:dyDescent="0.25">
      <c r="A386" s="1" t="s">
        <v>398</v>
      </c>
      <c r="B386" s="4">
        <v>45620</v>
      </c>
      <c r="C386" s="1" t="s">
        <v>1598</v>
      </c>
      <c r="D386" s="1" t="s">
        <v>2406</v>
      </c>
      <c r="E386" s="1">
        <v>3</v>
      </c>
      <c r="F386" s="1">
        <v>553.57000000000005</v>
      </c>
      <c r="G386" s="1" t="s">
        <v>2725</v>
      </c>
      <c r="H386" s="1" t="s">
        <v>3067</v>
      </c>
      <c r="I386" s="1" t="s">
        <v>3072</v>
      </c>
      <c r="J386" s="1" t="s">
        <v>3459</v>
      </c>
      <c r="K386" s="1">
        <v>4</v>
      </c>
      <c r="L386" s="1" t="s">
        <v>4276</v>
      </c>
      <c r="M386" s="1" t="s">
        <v>4281</v>
      </c>
      <c r="N386" s="6" t="str">
        <f t="shared" ref="N386:N449" si="13">TEXT(B386,"MMM")</f>
        <v>Nov</v>
      </c>
      <c r="O386" s="1">
        <v>1660.71</v>
      </c>
      <c r="T386" s="4"/>
      <c r="U386" s="1" t="str">
        <f t="shared" si="12"/>
        <v>Normal</v>
      </c>
    </row>
    <row r="387" spans="1:21" x14ac:dyDescent="0.25">
      <c r="A387" s="1" t="s">
        <v>399</v>
      </c>
      <c r="B387" s="4">
        <v>45230</v>
      </c>
      <c r="C387" s="1" t="s">
        <v>1599</v>
      </c>
      <c r="D387" s="1" t="s">
        <v>2406</v>
      </c>
      <c r="E387" s="1">
        <v>5</v>
      </c>
      <c r="F387" s="1">
        <v>191.63</v>
      </c>
      <c r="G387" s="1" t="s">
        <v>2470</v>
      </c>
      <c r="H387" s="1" t="s">
        <v>3068</v>
      </c>
      <c r="I387" s="1" t="s">
        <v>3073</v>
      </c>
      <c r="J387" s="1" t="s">
        <v>3460</v>
      </c>
      <c r="K387" s="1">
        <v>6</v>
      </c>
      <c r="L387" s="1" t="s">
        <v>4276</v>
      </c>
      <c r="M387" s="1" t="s">
        <v>4281</v>
      </c>
      <c r="N387" s="6" t="str">
        <f t="shared" si="13"/>
        <v>Oct</v>
      </c>
      <c r="O387" s="1">
        <v>958.15</v>
      </c>
      <c r="T387" s="4"/>
      <c r="U387" s="1" t="str">
        <f t="shared" ref="U387:U450" si="14">IF(O387&gt;$S$2,"Outlier","Normal")</f>
        <v>Normal</v>
      </c>
    </row>
    <row r="388" spans="1:21" x14ac:dyDescent="0.25">
      <c r="A388" s="1" t="s">
        <v>400</v>
      </c>
      <c r="B388" s="4">
        <v>45044</v>
      </c>
      <c r="C388" s="1" t="s">
        <v>1600</v>
      </c>
      <c r="D388" s="1" t="s">
        <v>2405</v>
      </c>
      <c r="E388" s="1">
        <v>1</v>
      </c>
      <c r="F388" s="1">
        <v>93.02</v>
      </c>
      <c r="G388" s="1" t="s">
        <v>2726</v>
      </c>
      <c r="H388" s="1" t="s">
        <v>3066</v>
      </c>
      <c r="I388" s="1" t="s">
        <v>3072</v>
      </c>
      <c r="J388" s="1" t="s">
        <v>3461</v>
      </c>
      <c r="K388" s="1">
        <v>4</v>
      </c>
      <c r="L388" s="1" t="s">
        <v>4283</v>
      </c>
      <c r="M388" s="1" t="s">
        <v>4280</v>
      </c>
      <c r="N388" s="6" t="str">
        <f t="shared" si="13"/>
        <v>Apr</v>
      </c>
      <c r="O388" s="1">
        <v>93.02</v>
      </c>
      <c r="T388" s="4"/>
      <c r="U388" s="1" t="str">
        <f t="shared" si="14"/>
        <v>Normal</v>
      </c>
    </row>
    <row r="389" spans="1:21" x14ac:dyDescent="0.25">
      <c r="A389" s="1" t="s">
        <v>401</v>
      </c>
      <c r="B389" s="4">
        <v>45470</v>
      </c>
      <c r="C389" s="1" t="s">
        <v>1601</v>
      </c>
      <c r="D389" s="1" t="s">
        <v>2407</v>
      </c>
      <c r="E389" s="1">
        <v>2</v>
      </c>
      <c r="F389" s="1">
        <v>39.53</v>
      </c>
      <c r="G389" s="1" t="s">
        <v>2418</v>
      </c>
      <c r="H389" s="1" t="s">
        <v>3067</v>
      </c>
      <c r="I389" s="1" t="s">
        <v>3070</v>
      </c>
      <c r="J389" s="1" t="s">
        <v>3462</v>
      </c>
      <c r="K389" s="1">
        <v>3</v>
      </c>
      <c r="L389" s="1" t="s">
        <v>4277</v>
      </c>
      <c r="M389" s="1" t="s">
        <v>4282</v>
      </c>
      <c r="N389" s="6" t="str">
        <f t="shared" si="13"/>
        <v>Jun</v>
      </c>
      <c r="O389" s="1">
        <v>79.06</v>
      </c>
      <c r="T389" s="4"/>
      <c r="U389" s="1" t="str">
        <f t="shared" si="14"/>
        <v>Normal</v>
      </c>
    </row>
    <row r="390" spans="1:21" x14ac:dyDescent="0.25">
      <c r="A390" s="1" t="s">
        <v>402</v>
      </c>
      <c r="B390" s="4">
        <v>45288</v>
      </c>
      <c r="C390" s="1" t="s">
        <v>1602</v>
      </c>
      <c r="D390" s="1" t="s">
        <v>2407</v>
      </c>
      <c r="E390" s="1">
        <v>3</v>
      </c>
      <c r="F390" s="1">
        <v>633.97</v>
      </c>
      <c r="G390" s="1" t="s">
        <v>2504</v>
      </c>
      <c r="H390" s="1" t="s">
        <v>3069</v>
      </c>
      <c r="I390" s="1" t="s">
        <v>3074</v>
      </c>
      <c r="J390" s="1" t="s">
        <v>3463</v>
      </c>
      <c r="K390" s="1">
        <v>7</v>
      </c>
      <c r="L390" s="1" t="s">
        <v>4277</v>
      </c>
      <c r="M390" s="1" t="s">
        <v>4281</v>
      </c>
      <c r="N390" s="6" t="str">
        <f t="shared" si="13"/>
        <v>Dec</v>
      </c>
      <c r="O390" s="1">
        <v>1901.91</v>
      </c>
      <c r="T390" s="4"/>
      <c r="U390" s="1" t="str">
        <f t="shared" si="14"/>
        <v>Normal</v>
      </c>
    </row>
    <row r="391" spans="1:21" x14ac:dyDescent="0.25">
      <c r="A391" s="1" t="s">
        <v>403</v>
      </c>
      <c r="B391" s="4">
        <v>45277</v>
      </c>
      <c r="C391" s="1" t="s">
        <v>1603</v>
      </c>
      <c r="D391" s="1" t="s">
        <v>2409</v>
      </c>
      <c r="E391" s="1">
        <v>4</v>
      </c>
      <c r="F391" s="1">
        <v>697.5</v>
      </c>
      <c r="G391" s="1" t="s">
        <v>2727</v>
      </c>
      <c r="H391" s="1" t="s">
        <v>3069</v>
      </c>
      <c r="I391" s="1" t="s">
        <v>3070</v>
      </c>
      <c r="J391" s="1" t="s">
        <v>3464</v>
      </c>
      <c r="K391" s="1">
        <v>7</v>
      </c>
      <c r="L391" s="1" t="s">
        <v>4276</v>
      </c>
      <c r="M391" s="1" t="s">
        <v>4279</v>
      </c>
      <c r="N391" s="6" t="str">
        <f t="shared" si="13"/>
        <v>Dec</v>
      </c>
      <c r="O391" s="1">
        <v>2790</v>
      </c>
      <c r="T391" s="4"/>
      <c r="U391" s="1" t="str">
        <f t="shared" si="14"/>
        <v>Normal</v>
      </c>
    </row>
    <row r="392" spans="1:21" x14ac:dyDescent="0.25">
      <c r="A392" s="1" t="s">
        <v>404</v>
      </c>
      <c r="B392" s="4">
        <v>45121</v>
      </c>
      <c r="C392" s="1" t="s">
        <v>1604</v>
      </c>
      <c r="D392" s="1" t="s">
        <v>2407</v>
      </c>
      <c r="E392" s="1">
        <v>5</v>
      </c>
      <c r="F392" s="1">
        <v>508.69</v>
      </c>
      <c r="G392" s="1" t="s">
        <v>2701</v>
      </c>
      <c r="H392" s="1" t="s">
        <v>3069</v>
      </c>
      <c r="I392" s="1" t="s">
        <v>3073</v>
      </c>
      <c r="J392" s="1" t="s">
        <v>3465</v>
      </c>
      <c r="K392" s="1">
        <v>10</v>
      </c>
      <c r="L392" s="1" t="s">
        <v>4276</v>
      </c>
      <c r="M392" s="1" t="s">
        <v>4282</v>
      </c>
      <c r="N392" s="6" t="str">
        <f t="shared" si="13"/>
        <v>Jul</v>
      </c>
      <c r="O392" s="1">
        <v>2543.4499999999998</v>
      </c>
      <c r="T392" s="4"/>
      <c r="U392" s="1" t="str">
        <f t="shared" si="14"/>
        <v>Normal</v>
      </c>
    </row>
    <row r="393" spans="1:21" x14ac:dyDescent="0.25">
      <c r="A393" s="1" t="s">
        <v>405</v>
      </c>
      <c r="B393" s="4">
        <v>45673</v>
      </c>
      <c r="C393" s="1" t="s">
        <v>1605</v>
      </c>
      <c r="D393" s="1" t="s">
        <v>2408</v>
      </c>
      <c r="E393" s="1">
        <v>2</v>
      </c>
      <c r="F393" s="1">
        <v>527.46</v>
      </c>
      <c r="G393" s="1" t="s">
        <v>2654</v>
      </c>
      <c r="H393" s="1" t="s">
        <v>3065</v>
      </c>
      <c r="I393" s="1" t="s">
        <v>3071</v>
      </c>
      <c r="J393" s="1" t="s">
        <v>3466</v>
      </c>
      <c r="K393" s="1">
        <v>3</v>
      </c>
      <c r="L393" s="1" t="s">
        <v>4276</v>
      </c>
      <c r="M393" s="1" t="s">
        <v>4279</v>
      </c>
      <c r="N393" s="6" t="str">
        <f t="shared" si="13"/>
        <v>Jan</v>
      </c>
      <c r="O393" s="1">
        <v>1054.92</v>
      </c>
      <c r="T393" s="4"/>
      <c r="U393" s="1" t="str">
        <f t="shared" si="14"/>
        <v>Normal</v>
      </c>
    </row>
    <row r="394" spans="1:21" x14ac:dyDescent="0.25">
      <c r="A394" s="1" t="s">
        <v>406</v>
      </c>
      <c r="B394" s="4">
        <v>45350</v>
      </c>
      <c r="C394" s="1" t="s">
        <v>1606</v>
      </c>
      <c r="D394" s="1" t="s">
        <v>2404</v>
      </c>
      <c r="E394" s="1">
        <v>1</v>
      </c>
      <c r="F394" s="1">
        <v>627.20000000000005</v>
      </c>
      <c r="G394" s="1" t="s">
        <v>2713</v>
      </c>
      <c r="H394" s="1" t="s">
        <v>3066</v>
      </c>
      <c r="I394" s="1" t="s">
        <v>3073</v>
      </c>
      <c r="J394" s="1" t="s">
        <v>3467</v>
      </c>
      <c r="K394" s="1">
        <v>1</v>
      </c>
      <c r="L394" s="1" t="s">
        <v>4277</v>
      </c>
      <c r="M394" s="1" t="s">
        <v>4280</v>
      </c>
      <c r="N394" s="6" t="str">
        <f t="shared" si="13"/>
        <v>Feb</v>
      </c>
      <c r="O394" s="1">
        <v>627.20000000000005</v>
      </c>
      <c r="T394" s="4"/>
      <c r="U394" s="1" t="str">
        <f t="shared" si="14"/>
        <v>Normal</v>
      </c>
    </row>
    <row r="395" spans="1:21" x14ac:dyDescent="0.25">
      <c r="A395" s="1" t="s">
        <v>407</v>
      </c>
      <c r="B395" s="4">
        <v>45487</v>
      </c>
      <c r="C395" s="1" t="s">
        <v>1607</v>
      </c>
      <c r="D395" s="1" t="s">
        <v>2407</v>
      </c>
      <c r="E395" s="1">
        <v>1</v>
      </c>
      <c r="F395" s="1">
        <v>75.010000000000005</v>
      </c>
      <c r="G395" s="1" t="s">
        <v>2728</v>
      </c>
      <c r="H395" s="1" t="s">
        <v>3067</v>
      </c>
      <c r="I395" s="1" t="s">
        <v>3072</v>
      </c>
      <c r="J395" s="1" t="s">
        <v>3468</v>
      </c>
      <c r="K395" s="1">
        <v>3</v>
      </c>
      <c r="L395" s="1" t="s">
        <v>4283</v>
      </c>
      <c r="M395" s="1" t="s">
        <v>4282</v>
      </c>
      <c r="N395" s="6" t="str">
        <f t="shared" si="13"/>
        <v>Jul</v>
      </c>
      <c r="O395" s="1">
        <v>75.010000000000005</v>
      </c>
      <c r="T395" s="4"/>
      <c r="U395" s="1" t="str">
        <f t="shared" si="14"/>
        <v>Normal</v>
      </c>
    </row>
    <row r="396" spans="1:21" x14ac:dyDescent="0.25">
      <c r="A396" s="1" t="s">
        <v>408</v>
      </c>
      <c r="B396" s="4">
        <v>45112</v>
      </c>
      <c r="C396" s="1" t="s">
        <v>1608</v>
      </c>
      <c r="D396" s="1" t="s">
        <v>2409</v>
      </c>
      <c r="E396" s="1">
        <v>5</v>
      </c>
      <c r="F396" s="1">
        <v>529.54999999999995</v>
      </c>
      <c r="G396" s="1" t="s">
        <v>2729</v>
      </c>
      <c r="H396" s="1" t="s">
        <v>3068</v>
      </c>
      <c r="I396" s="1" t="s">
        <v>3070</v>
      </c>
      <c r="J396" s="1" t="s">
        <v>3469</v>
      </c>
      <c r="K396" s="1">
        <v>10</v>
      </c>
      <c r="L396" s="1" t="s">
        <v>4283</v>
      </c>
      <c r="M396" s="1" t="s">
        <v>4281</v>
      </c>
      <c r="N396" s="6" t="str">
        <f t="shared" si="13"/>
        <v>Jul</v>
      </c>
      <c r="O396" s="1">
        <v>2647.75</v>
      </c>
      <c r="T396" s="4"/>
      <c r="U396" s="1" t="str">
        <f t="shared" si="14"/>
        <v>Normal</v>
      </c>
    </row>
    <row r="397" spans="1:21" x14ac:dyDescent="0.25">
      <c r="A397" s="1" t="s">
        <v>409</v>
      </c>
      <c r="B397" s="4">
        <v>45772</v>
      </c>
      <c r="C397" s="1" t="s">
        <v>1609</v>
      </c>
      <c r="D397" s="1" t="s">
        <v>2404</v>
      </c>
      <c r="E397" s="1">
        <v>3</v>
      </c>
      <c r="F397" s="1">
        <v>127.41</v>
      </c>
      <c r="G397" s="1" t="s">
        <v>2442</v>
      </c>
      <c r="H397" s="1" t="s">
        <v>3068</v>
      </c>
      <c r="I397" s="1" t="s">
        <v>3073</v>
      </c>
      <c r="J397" s="1" t="s">
        <v>3470</v>
      </c>
      <c r="K397" s="1">
        <v>7</v>
      </c>
      <c r="L397" s="1" t="s">
        <v>4275</v>
      </c>
      <c r="M397" s="1" t="s">
        <v>4279</v>
      </c>
      <c r="N397" s="6" t="str">
        <f t="shared" si="13"/>
        <v>Apr</v>
      </c>
      <c r="O397" s="1">
        <v>382.23</v>
      </c>
      <c r="T397" s="4"/>
      <c r="U397" s="1" t="str">
        <f t="shared" si="14"/>
        <v>Normal</v>
      </c>
    </row>
    <row r="398" spans="1:21" x14ac:dyDescent="0.25">
      <c r="A398" s="1" t="s">
        <v>410</v>
      </c>
      <c r="B398" s="4">
        <v>45261</v>
      </c>
      <c r="C398" s="1" t="s">
        <v>1610</v>
      </c>
      <c r="D398" s="1" t="s">
        <v>2405</v>
      </c>
      <c r="E398" s="1">
        <v>5</v>
      </c>
      <c r="F398" s="1">
        <v>287.13</v>
      </c>
      <c r="G398" s="1" t="s">
        <v>2730</v>
      </c>
      <c r="H398" s="1" t="s">
        <v>3066</v>
      </c>
      <c r="I398" s="1" t="s">
        <v>3070</v>
      </c>
      <c r="J398" s="1" t="s">
        <v>3471</v>
      </c>
      <c r="K398" s="1">
        <v>10</v>
      </c>
      <c r="L398" s="1" t="s">
        <v>4275</v>
      </c>
      <c r="M398" s="1" t="s">
        <v>4280</v>
      </c>
      <c r="N398" s="6" t="str">
        <f t="shared" si="13"/>
        <v>Dec</v>
      </c>
      <c r="O398" s="1">
        <v>1435.65</v>
      </c>
      <c r="T398" s="4"/>
      <c r="U398" s="1" t="str">
        <f t="shared" si="14"/>
        <v>Normal</v>
      </c>
    </row>
    <row r="399" spans="1:21" x14ac:dyDescent="0.25">
      <c r="A399" s="1" t="s">
        <v>411</v>
      </c>
      <c r="B399" s="4">
        <v>45197</v>
      </c>
      <c r="C399" s="1" t="s">
        <v>1611</v>
      </c>
      <c r="D399" s="1" t="s">
        <v>2403</v>
      </c>
      <c r="E399" s="1">
        <v>1</v>
      </c>
      <c r="F399" s="1">
        <v>427.06</v>
      </c>
      <c r="G399" s="1" t="s">
        <v>2731</v>
      </c>
      <c r="H399" s="1" t="s">
        <v>3066</v>
      </c>
      <c r="I399" s="1" t="s">
        <v>3071</v>
      </c>
      <c r="J399" s="1" t="s">
        <v>3472</v>
      </c>
      <c r="K399" s="1">
        <v>1</v>
      </c>
      <c r="L399" s="1" t="s">
        <v>4277</v>
      </c>
      <c r="M399" s="1" t="s">
        <v>4279</v>
      </c>
      <c r="N399" s="6" t="str">
        <f t="shared" si="13"/>
        <v>Sep</v>
      </c>
      <c r="O399" s="1">
        <v>427.06</v>
      </c>
      <c r="T399" s="4"/>
      <c r="U399" s="1" t="str">
        <f t="shared" si="14"/>
        <v>Normal</v>
      </c>
    </row>
    <row r="400" spans="1:21" x14ac:dyDescent="0.25">
      <c r="A400" s="1" t="s">
        <v>412</v>
      </c>
      <c r="B400" s="4">
        <v>45539</v>
      </c>
      <c r="C400" s="1" t="s">
        <v>1612</v>
      </c>
      <c r="D400" s="1" t="s">
        <v>2404</v>
      </c>
      <c r="E400" s="1">
        <v>5</v>
      </c>
      <c r="F400" s="1">
        <v>53.93</v>
      </c>
      <c r="G400" s="1" t="s">
        <v>2592</v>
      </c>
      <c r="H400" s="1" t="s">
        <v>3068</v>
      </c>
      <c r="I400" s="1" t="s">
        <v>3070</v>
      </c>
      <c r="J400" s="1" t="s">
        <v>3473</v>
      </c>
      <c r="K400" s="1">
        <v>7</v>
      </c>
      <c r="L400" s="1" t="s">
        <v>4275</v>
      </c>
      <c r="M400" s="1" t="s">
        <v>4278</v>
      </c>
      <c r="N400" s="6" t="str">
        <f t="shared" si="13"/>
        <v>Sep</v>
      </c>
      <c r="O400" s="1">
        <v>269.64999999999998</v>
      </c>
      <c r="T400" s="4"/>
      <c r="U400" s="1" t="str">
        <f t="shared" si="14"/>
        <v>Normal</v>
      </c>
    </row>
    <row r="401" spans="1:21" x14ac:dyDescent="0.25">
      <c r="A401" s="1" t="s">
        <v>413</v>
      </c>
      <c r="B401" s="4">
        <v>45298</v>
      </c>
      <c r="C401" s="1" t="s">
        <v>1613</v>
      </c>
      <c r="D401" s="1" t="s">
        <v>2405</v>
      </c>
      <c r="E401" s="1">
        <v>5</v>
      </c>
      <c r="F401" s="1">
        <v>423.93</v>
      </c>
      <c r="G401" s="1" t="s">
        <v>2732</v>
      </c>
      <c r="H401" s="1" t="s">
        <v>3065</v>
      </c>
      <c r="I401" s="1" t="s">
        <v>3072</v>
      </c>
      <c r="J401" s="1" t="s">
        <v>3474</v>
      </c>
      <c r="K401" s="1">
        <v>5</v>
      </c>
      <c r="L401" s="1" t="s">
        <v>4276</v>
      </c>
      <c r="M401" s="1" t="s">
        <v>4281</v>
      </c>
      <c r="N401" s="6" t="str">
        <f t="shared" si="13"/>
        <v>Jan</v>
      </c>
      <c r="O401" s="1">
        <v>2119.65</v>
      </c>
      <c r="T401" s="4"/>
      <c r="U401" s="1" t="str">
        <f t="shared" si="14"/>
        <v>Normal</v>
      </c>
    </row>
    <row r="402" spans="1:21" x14ac:dyDescent="0.25">
      <c r="A402" s="1" t="s">
        <v>414</v>
      </c>
      <c r="B402" s="4">
        <v>45563</v>
      </c>
      <c r="C402" s="1" t="s">
        <v>1614</v>
      </c>
      <c r="D402" s="1" t="s">
        <v>2409</v>
      </c>
      <c r="E402" s="1">
        <v>4</v>
      </c>
      <c r="F402" s="1">
        <v>160.22</v>
      </c>
      <c r="G402" s="1" t="s">
        <v>2733</v>
      </c>
      <c r="H402" s="1" t="s">
        <v>3065</v>
      </c>
      <c r="I402" s="1" t="s">
        <v>3072</v>
      </c>
      <c r="J402" s="1" t="s">
        <v>3475</v>
      </c>
      <c r="K402" s="1">
        <v>9</v>
      </c>
      <c r="L402" s="1" t="s">
        <v>4277</v>
      </c>
      <c r="M402" s="1" t="s">
        <v>4278</v>
      </c>
      <c r="N402" s="6" t="str">
        <f t="shared" si="13"/>
        <v>Sep</v>
      </c>
      <c r="O402" s="1">
        <v>640.88</v>
      </c>
      <c r="T402" s="4"/>
      <c r="U402" s="1" t="str">
        <f t="shared" si="14"/>
        <v>Normal</v>
      </c>
    </row>
    <row r="403" spans="1:21" x14ac:dyDescent="0.25">
      <c r="A403" s="1" t="s">
        <v>415</v>
      </c>
      <c r="B403" s="4">
        <v>45756</v>
      </c>
      <c r="C403" s="1" t="s">
        <v>1615</v>
      </c>
      <c r="D403" s="1" t="s">
        <v>2407</v>
      </c>
      <c r="E403" s="1">
        <v>1</v>
      </c>
      <c r="F403" s="1">
        <v>538.67999999999995</v>
      </c>
      <c r="G403" s="1" t="s">
        <v>2713</v>
      </c>
      <c r="H403" s="1" t="s">
        <v>3065</v>
      </c>
      <c r="I403" s="1" t="s">
        <v>3072</v>
      </c>
      <c r="J403" s="1" t="s">
        <v>3476</v>
      </c>
      <c r="K403" s="1">
        <v>6</v>
      </c>
      <c r="L403" s="1" t="s">
        <v>4283</v>
      </c>
      <c r="M403" s="1" t="s">
        <v>4279</v>
      </c>
      <c r="N403" s="6" t="str">
        <f t="shared" si="13"/>
        <v>Apr</v>
      </c>
      <c r="O403" s="1">
        <v>538.67999999999995</v>
      </c>
      <c r="T403" s="4"/>
      <c r="U403" s="1" t="str">
        <f t="shared" si="14"/>
        <v>Normal</v>
      </c>
    </row>
    <row r="404" spans="1:21" x14ac:dyDescent="0.25">
      <c r="A404" s="1" t="s">
        <v>416</v>
      </c>
      <c r="B404" s="4">
        <v>45025</v>
      </c>
      <c r="C404" s="1" t="s">
        <v>1616</v>
      </c>
      <c r="D404" s="1" t="s">
        <v>2407</v>
      </c>
      <c r="E404" s="1">
        <v>5</v>
      </c>
      <c r="F404" s="1">
        <v>337.38</v>
      </c>
      <c r="G404" s="1" t="s">
        <v>2734</v>
      </c>
      <c r="H404" s="1" t="s">
        <v>3068</v>
      </c>
      <c r="I404" s="1" t="s">
        <v>3070</v>
      </c>
      <c r="J404" s="1" t="s">
        <v>3477</v>
      </c>
      <c r="K404" s="1">
        <v>5</v>
      </c>
      <c r="L404" s="1" t="s">
        <v>4283</v>
      </c>
      <c r="M404" s="1" t="s">
        <v>4279</v>
      </c>
      <c r="N404" s="6" t="str">
        <f t="shared" si="13"/>
        <v>Apr</v>
      </c>
      <c r="O404" s="1">
        <v>1686.9</v>
      </c>
      <c r="T404" s="4"/>
      <c r="U404" s="1" t="str">
        <f t="shared" si="14"/>
        <v>Normal</v>
      </c>
    </row>
    <row r="405" spans="1:21" x14ac:dyDescent="0.25">
      <c r="A405" s="1" t="s">
        <v>417</v>
      </c>
      <c r="B405" s="4">
        <v>45606</v>
      </c>
      <c r="C405" s="1" t="s">
        <v>1617</v>
      </c>
      <c r="D405" s="1" t="s">
        <v>2405</v>
      </c>
      <c r="E405" s="1">
        <v>1</v>
      </c>
      <c r="F405" s="1">
        <v>620.21</v>
      </c>
      <c r="G405" s="1" t="s">
        <v>2650</v>
      </c>
      <c r="H405" s="1" t="s">
        <v>3066</v>
      </c>
      <c r="I405" s="1" t="s">
        <v>3072</v>
      </c>
      <c r="J405" s="1" t="s">
        <v>3478</v>
      </c>
      <c r="K405" s="1">
        <v>1</v>
      </c>
      <c r="L405" s="1" t="s">
        <v>4276</v>
      </c>
      <c r="M405" s="1" t="s">
        <v>4279</v>
      </c>
      <c r="N405" s="6" t="str">
        <f t="shared" si="13"/>
        <v>Nov</v>
      </c>
      <c r="O405" s="1">
        <v>620.21</v>
      </c>
      <c r="T405" s="4"/>
      <c r="U405" s="1" t="str">
        <f t="shared" si="14"/>
        <v>Normal</v>
      </c>
    </row>
    <row r="406" spans="1:21" x14ac:dyDescent="0.25">
      <c r="A406" s="1" t="s">
        <v>418</v>
      </c>
      <c r="B406" s="4">
        <v>44994</v>
      </c>
      <c r="C406" s="1" t="s">
        <v>1618</v>
      </c>
      <c r="D406" s="1" t="s">
        <v>2403</v>
      </c>
      <c r="E406" s="1">
        <v>2</v>
      </c>
      <c r="F406" s="1">
        <v>99.1</v>
      </c>
      <c r="G406" s="1" t="s">
        <v>2473</v>
      </c>
      <c r="H406" s="1" t="s">
        <v>3069</v>
      </c>
      <c r="I406" s="1" t="s">
        <v>3073</v>
      </c>
      <c r="J406" s="1" t="s">
        <v>3479</v>
      </c>
      <c r="K406" s="1">
        <v>6</v>
      </c>
      <c r="L406" s="1" t="s">
        <v>4283</v>
      </c>
      <c r="M406" s="1" t="s">
        <v>4278</v>
      </c>
      <c r="N406" s="6" t="str">
        <f t="shared" si="13"/>
        <v>Mar</v>
      </c>
      <c r="O406" s="1">
        <v>198.2</v>
      </c>
      <c r="T406" s="4"/>
      <c r="U406" s="1" t="str">
        <f t="shared" si="14"/>
        <v>Normal</v>
      </c>
    </row>
    <row r="407" spans="1:21" x14ac:dyDescent="0.25">
      <c r="A407" s="1" t="s">
        <v>419</v>
      </c>
      <c r="B407" s="4">
        <v>45683</v>
      </c>
      <c r="C407" s="1" t="s">
        <v>1619</v>
      </c>
      <c r="D407" s="1" t="s">
        <v>2403</v>
      </c>
      <c r="E407" s="1">
        <v>4</v>
      </c>
      <c r="F407" s="1">
        <v>451.97</v>
      </c>
      <c r="G407" s="1" t="s">
        <v>2715</v>
      </c>
      <c r="H407" s="1" t="s">
        <v>3066</v>
      </c>
      <c r="I407" s="1" t="s">
        <v>3071</v>
      </c>
      <c r="J407" s="1" t="s">
        <v>3480</v>
      </c>
      <c r="K407" s="1">
        <v>7</v>
      </c>
      <c r="L407" s="1" t="s">
        <v>4277</v>
      </c>
      <c r="M407" s="1" t="s">
        <v>4280</v>
      </c>
      <c r="N407" s="6" t="str">
        <f t="shared" si="13"/>
        <v>Jan</v>
      </c>
      <c r="O407" s="1">
        <v>1807.88</v>
      </c>
      <c r="T407" s="4"/>
      <c r="U407" s="1" t="str">
        <f t="shared" si="14"/>
        <v>Normal</v>
      </c>
    </row>
    <row r="408" spans="1:21" x14ac:dyDescent="0.25">
      <c r="A408" s="1" t="s">
        <v>420</v>
      </c>
      <c r="B408" s="4">
        <v>45270</v>
      </c>
      <c r="C408" s="1" t="s">
        <v>1620</v>
      </c>
      <c r="D408" s="1" t="s">
        <v>2405</v>
      </c>
      <c r="E408" s="1">
        <v>4</v>
      </c>
      <c r="F408" s="1">
        <v>66.099999999999994</v>
      </c>
      <c r="G408" s="1" t="s">
        <v>2577</v>
      </c>
      <c r="H408" s="1" t="s">
        <v>3069</v>
      </c>
      <c r="I408" s="1" t="s">
        <v>3072</v>
      </c>
      <c r="J408" s="1" t="s">
        <v>3481</v>
      </c>
      <c r="K408" s="1">
        <v>9</v>
      </c>
      <c r="L408" s="1" t="s">
        <v>4277</v>
      </c>
      <c r="M408" s="1" t="s">
        <v>4282</v>
      </c>
      <c r="N408" s="6" t="str">
        <f t="shared" si="13"/>
        <v>Dec</v>
      </c>
      <c r="O408" s="1">
        <v>264.39999999999998</v>
      </c>
      <c r="T408" s="4"/>
      <c r="U408" s="1" t="str">
        <f t="shared" si="14"/>
        <v>Normal</v>
      </c>
    </row>
    <row r="409" spans="1:21" x14ac:dyDescent="0.25">
      <c r="A409" s="1" t="s">
        <v>421</v>
      </c>
      <c r="B409" s="4">
        <v>45151</v>
      </c>
      <c r="C409" s="1" t="s">
        <v>1621</v>
      </c>
      <c r="D409" s="1" t="s">
        <v>2405</v>
      </c>
      <c r="E409" s="1">
        <v>4</v>
      </c>
      <c r="F409" s="1">
        <v>547.32000000000005</v>
      </c>
      <c r="G409" s="1" t="s">
        <v>2634</v>
      </c>
      <c r="H409" s="1" t="s">
        <v>3069</v>
      </c>
      <c r="I409" s="1" t="s">
        <v>3072</v>
      </c>
      <c r="J409" s="1" t="s">
        <v>3482</v>
      </c>
      <c r="K409" s="1">
        <v>8</v>
      </c>
      <c r="L409" s="1" t="s">
        <v>4276</v>
      </c>
      <c r="M409" s="1" t="s">
        <v>4278</v>
      </c>
      <c r="N409" s="6" t="str">
        <f t="shared" si="13"/>
        <v>Aug</v>
      </c>
      <c r="O409" s="1">
        <v>2189.2800000000002</v>
      </c>
      <c r="T409" s="4"/>
      <c r="U409" s="1" t="str">
        <f t="shared" si="14"/>
        <v>Normal</v>
      </c>
    </row>
    <row r="410" spans="1:21" x14ac:dyDescent="0.25">
      <c r="A410" s="1" t="s">
        <v>422</v>
      </c>
      <c r="B410" s="4">
        <v>45658</v>
      </c>
      <c r="C410" s="1" t="s">
        <v>1622</v>
      </c>
      <c r="D410" s="1" t="s">
        <v>2407</v>
      </c>
      <c r="E410" s="1">
        <v>3</v>
      </c>
      <c r="F410" s="1">
        <v>412.53</v>
      </c>
      <c r="G410" s="1" t="s">
        <v>2735</v>
      </c>
      <c r="H410" s="1" t="s">
        <v>3066</v>
      </c>
      <c r="I410" s="1" t="s">
        <v>3074</v>
      </c>
      <c r="J410" s="1" t="s">
        <v>3483</v>
      </c>
      <c r="K410" s="1">
        <v>6</v>
      </c>
      <c r="L410" s="1" t="s">
        <v>4277</v>
      </c>
      <c r="M410" s="1" t="s">
        <v>4282</v>
      </c>
      <c r="N410" s="6" t="str">
        <f t="shared" si="13"/>
        <v>Jan</v>
      </c>
      <c r="O410" s="1">
        <v>1237.5899999999999</v>
      </c>
      <c r="T410" s="4"/>
      <c r="U410" s="1" t="str">
        <f t="shared" si="14"/>
        <v>Normal</v>
      </c>
    </row>
    <row r="411" spans="1:21" x14ac:dyDescent="0.25">
      <c r="A411" s="1" t="s">
        <v>423</v>
      </c>
      <c r="B411" s="4">
        <v>45105</v>
      </c>
      <c r="C411" s="1" t="s">
        <v>1623</v>
      </c>
      <c r="D411" s="1" t="s">
        <v>2409</v>
      </c>
      <c r="E411" s="1">
        <v>5</v>
      </c>
      <c r="F411" s="1">
        <v>84.13</v>
      </c>
      <c r="G411" s="1" t="s">
        <v>2736</v>
      </c>
      <c r="H411" s="1" t="s">
        <v>3066</v>
      </c>
      <c r="I411" s="1" t="s">
        <v>3073</v>
      </c>
      <c r="J411" s="1" t="s">
        <v>3484</v>
      </c>
      <c r="K411" s="1">
        <v>9</v>
      </c>
      <c r="L411" s="1" t="s">
        <v>4275</v>
      </c>
      <c r="M411" s="1" t="s">
        <v>4282</v>
      </c>
      <c r="N411" s="6" t="str">
        <f t="shared" si="13"/>
        <v>Jun</v>
      </c>
      <c r="O411" s="1">
        <v>420.65</v>
      </c>
      <c r="T411" s="4"/>
      <c r="U411" s="1" t="str">
        <f t="shared" si="14"/>
        <v>Normal</v>
      </c>
    </row>
    <row r="412" spans="1:21" x14ac:dyDescent="0.25">
      <c r="A412" s="1" t="s">
        <v>424</v>
      </c>
      <c r="B412" s="4">
        <v>45309</v>
      </c>
      <c r="C412" s="1" t="s">
        <v>1624</v>
      </c>
      <c r="D412" s="1" t="s">
        <v>2405</v>
      </c>
      <c r="E412" s="1">
        <v>2</v>
      </c>
      <c r="F412" s="1">
        <v>518.23</v>
      </c>
      <c r="G412" s="1" t="s">
        <v>2737</v>
      </c>
      <c r="H412" s="1" t="s">
        <v>3065</v>
      </c>
      <c r="I412" s="1" t="s">
        <v>3070</v>
      </c>
      <c r="J412" s="1" t="s">
        <v>3485</v>
      </c>
      <c r="K412" s="1">
        <v>5</v>
      </c>
      <c r="L412" s="1" t="s">
        <v>4283</v>
      </c>
      <c r="M412" s="1" t="s">
        <v>4280</v>
      </c>
      <c r="N412" s="6" t="str">
        <f t="shared" si="13"/>
        <v>Jan</v>
      </c>
      <c r="O412" s="1">
        <v>1036.46</v>
      </c>
      <c r="T412" s="4"/>
      <c r="U412" s="1" t="str">
        <f t="shared" si="14"/>
        <v>Normal</v>
      </c>
    </row>
    <row r="413" spans="1:21" x14ac:dyDescent="0.25">
      <c r="A413" s="1" t="s">
        <v>425</v>
      </c>
      <c r="B413" s="4">
        <v>45462</v>
      </c>
      <c r="C413" s="1" t="s">
        <v>1625</v>
      </c>
      <c r="D413" s="1" t="s">
        <v>2409</v>
      </c>
      <c r="E413" s="1">
        <v>2</v>
      </c>
      <c r="F413" s="1">
        <v>39.51</v>
      </c>
      <c r="G413" s="1" t="s">
        <v>2549</v>
      </c>
      <c r="H413" s="1" t="s">
        <v>3066</v>
      </c>
      <c r="I413" s="1" t="s">
        <v>3070</v>
      </c>
      <c r="J413" s="1" t="s">
        <v>3486</v>
      </c>
      <c r="K413" s="1">
        <v>5</v>
      </c>
      <c r="L413" s="1" t="s">
        <v>4283</v>
      </c>
      <c r="M413" s="1" t="s">
        <v>4281</v>
      </c>
      <c r="N413" s="6" t="str">
        <f t="shared" si="13"/>
        <v>Jun</v>
      </c>
      <c r="O413" s="1">
        <v>79.02</v>
      </c>
      <c r="T413" s="4"/>
      <c r="U413" s="1" t="str">
        <f t="shared" si="14"/>
        <v>Normal</v>
      </c>
    </row>
    <row r="414" spans="1:21" x14ac:dyDescent="0.25">
      <c r="A414" s="1" t="s">
        <v>426</v>
      </c>
      <c r="B414" s="4">
        <v>45758</v>
      </c>
      <c r="C414" s="1" t="s">
        <v>1626</v>
      </c>
      <c r="D414" s="1" t="s">
        <v>2405</v>
      </c>
      <c r="E414" s="1">
        <v>5</v>
      </c>
      <c r="F414" s="1">
        <v>133.01</v>
      </c>
      <c r="G414" s="1" t="s">
        <v>2738</v>
      </c>
      <c r="H414" s="1" t="s">
        <v>3067</v>
      </c>
      <c r="I414" s="1" t="s">
        <v>3072</v>
      </c>
      <c r="J414" s="1" t="s">
        <v>3487</v>
      </c>
      <c r="K414" s="1">
        <v>10</v>
      </c>
      <c r="L414" s="1" t="s">
        <v>4283</v>
      </c>
      <c r="M414" s="1" t="s">
        <v>4281</v>
      </c>
      <c r="N414" s="6" t="str">
        <f t="shared" si="13"/>
        <v>Apr</v>
      </c>
      <c r="O414" s="1">
        <v>665.05</v>
      </c>
      <c r="T414" s="4"/>
      <c r="U414" s="1" t="str">
        <f t="shared" si="14"/>
        <v>Normal</v>
      </c>
    </row>
    <row r="415" spans="1:21" x14ac:dyDescent="0.25">
      <c r="A415" s="1" t="s">
        <v>427</v>
      </c>
      <c r="B415" s="4">
        <v>45207</v>
      </c>
      <c r="C415" s="1" t="s">
        <v>1627</v>
      </c>
      <c r="D415" s="1" t="s">
        <v>2405</v>
      </c>
      <c r="E415" s="1">
        <v>1</v>
      </c>
      <c r="F415" s="1">
        <v>118.8</v>
      </c>
      <c r="G415" s="1" t="s">
        <v>2739</v>
      </c>
      <c r="H415" s="1" t="s">
        <v>3066</v>
      </c>
      <c r="I415" s="1" t="s">
        <v>3073</v>
      </c>
      <c r="J415" s="1" t="s">
        <v>3488</v>
      </c>
      <c r="K415" s="1">
        <v>6</v>
      </c>
      <c r="L415" s="1" t="s">
        <v>4275</v>
      </c>
      <c r="M415" s="1" t="s">
        <v>4280</v>
      </c>
      <c r="N415" s="6" t="str">
        <f t="shared" si="13"/>
        <v>Oct</v>
      </c>
      <c r="O415" s="1">
        <v>118.8</v>
      </c>
      <c r="T415" s="4"/>
      <c r="U415" s="1" t="str">
        <f t="shared" si="14"/>
        <v>Normal</v>
      </c>
    </row>
    <row r="416" spans="1:21" x14ac:dyDescent="0.25">
      <c r="A416" s="1" t="s">
        <v>428</v>
      </c>
      <c r="B416" s="4">
        <v>45781</v>
      </c>
      <c r="C416" s="1" t="s">
        <v>1628</v>
      </c>
      <c r="D416" s="1" t="s">
        <v>2409</v>
      </c>
      <c r="E416" s="1">
        <v>2</v>
      </c>
      <c r="F416" s="1">
        <v>139.57</v>
      </c>
      <c r="G416" s="1" t="s">
        <v>2740</v>
      </c>
      <c r="H416" s="1" t="s">
        <v>3069</v>
      </c>
      <c r="I416" s="1" t="s">
        <v>3073</v>
      </c>
      <c r="J416" s="1" t="s">
        <v>3489</v>
      </c>
      <c r="K416" s="1">
        <v>4</v>
      </c>
      <c r="L416" s="1" t="s">
        <v>4277</v>
      </c>
      <c r="M416" s="1" t="s">
        <v>4281</v>
      </c>
      <c r="N416" s="6" t="str">
        <f t="shared" si="13"/>
        <v>May</v>
      </c>
      <c r="O416" s="1">
        <v>279.14</v>
      </c>
      <c r="T416" s="4"/>
      <c r="U416" s="1" t="str">
        <f t="shared" si="14"/>
        <v>Normal</v>
      </c>
    </row>
    <row r="417" spans="1:21" x14ac:dyDescent="0.25">
      <c r="A417" s="1" t="s">
        <v>429</v>
      </c>
      <c r="B417" s="4">
        <v>45753</v>
      </c>
      <c r="C417" s="1" t="s">
        <v>1629</v>
      </c>
      <c r="D417" s="1" t="s">
        <v>2406</v>
      </c>
      <c r="E417" s="1">
        <v>1</v>
      </c>
      <c r="F417" s="1">
        <v>184.15</v>
      </c>
      <c r="G417" s="1" t="s">
        <v>2639</v>
      </c>
      <c r="H417" s="1" t="s">
        <v>3068</v>
      </c>
      <c r="I417" s="1" t="s">
        <v>3070</v>
      </c>
      <c r="J417" s="1" t="s">
        <v>3490</v>
      </c>
      <c r="K417" s="1">
        <v>5</v>
      </c>
      <c r="L417" s="1" t="s">
        <v>4276</v>
      </c>
      <c r="M417" s="1" t="s">
        <v>4281</v>
      </c>
      <c r="N417" s="6" t="str">
        <f t="shared" si="13"/>
        <v>Apr</v>
      </c>
      <c r="O417" s="1">
        <v>184.15</v>
      </c>
      <c r="T417" s="4"/>
      <c r="U417" s="1" t="str">
        <f t="shared" si="14"/>
        <v>Normal</v>
      </c>
    </row>
    <row r="418" spans="1:21" x14ac:dyDescent="0.25">
      <c r="A418" s="1" t="s">
        <v>430</v>
      </c>
      <c r="B418" s="4">
        <v>45125</v>
      </c>
      <c r="C418" s="1" t="s">
        <v>1630</v>
      </c>
      <c r="D418" s="1" t="s">
        <v>2408</v>
      </c>
      <c r="E418" s="1">
        <v>2</v>
      </c>
      <c r="F418" s="1">
        <v>644.04999999999995</v>
      </c>
      <c r="G418" s="1" t="s">
        <v>2741</v>
      </c>
      <c r="H418" s="1" t="s">
        <v>3068</v>
      </c>
      <c r="I418" s="1" t="s">
        <v>3071</v>
      </c>
      <c r="J418" s="1" t="s">
        <v>3491</v>
      </c>
      <c r="K418" s="1">
        <v>5</v>
      </c>
      <c r="L418" s="1" t="s">
        <v>4277</v>
      </c>
      <c r="M418" s="1" t="s">
        <v>4279</v>
      </c>
      <c r="N418" s="6" t="str">
        <f t="shared" si="13"/>
        <v>Jul</v>
      </c>
      <c r="O418" s="1">
        <v>1288.0999999999999</v>
      </c>
      <c r="T418" s="4"/>
      <c r="U418" s="1" t="str">
        <f t="shared" si="14"/>
        <v>Normal</v>
      </c>
    </row>
    <row r="419" spans="1:21" x14ac:dyDescent="0.25">
      <c r="A419" s="1" t="s">
        <v>431</v>
      </c>
      <c r="B419" s="4">
        <v>45223</v>
      </c>
      <c r="C419" s="1" t="s">
        <v>1631</v>
      </c>
      <c r="D419" s="1" t="s">
        <v>2408</v>
      </c>
      <c r="E419" s="1">
        <v>5</v>
      </c>
      <c r="F419" s="1">
        <v>55.41</v>
      </c>
      <c r="G419" s="1" t="s">
        <v>2742</v>
      </c>
      <c r="H419" s="1" t="s">
        <v>3066</v>
      </c>
      <c r="I419" s="1" t="s">
        <v>3071</v>
      </c>
      <c r="J419" s="1" t="s">
        <v>3492</v>
      </c>
      <c r="K419" s="1">
        <v>5</v>
      </c>
      <c r="L419" s="1" t="s">
        <v>4283</v>
      </c>
      <c r="M419" s="1" t="s">
        <v>4282</v>
      </c>
      <c r="N419" s="6" t="str">
        <f t="shared" si="13"/>
        <v>Oct</v>
      </c>
      <c r="O419" s="1">
        <v>277.05</v>
      </c>
      <c r="T419" s="4"/>
      <c r="U419" s="1" t="str">
        <f t="shared" si="14"/>
        <v>Normal</v>
      </c>
    </row>
    <row r="420" spans="1:21" x14ac:dyDescent="0.25">
      <c r="A420" s="1" t="s">
        <v>432</v>
      </c>
      <c r="B420" s="4">
        <v>44937</v>
      </c>
      <c r="C420" s="1" t="s">
        <v>1632</v>
      </c>
      <c r="D420" s="1" t="s">
        <v>2407</v>
      </c>
      <c r="E420" s="1">
        <v>1</v>
      </c>
      <c r="F420" s="1">
        <v>310.93</v>
      </c>
      <c r="G420" s="1" t="s">
        <v>2743</v>
      </c>
      <c r="H420" s="1" t="s">
        <v>3066</v>
      </c>
      <c r="I420" s="1" t="s">
        <v>3071</v>
      </c>
      <c r="J420" s="1" t="s">
        <v>3493</v>
      </c>
      <c r="K420" s="1">
        <v>3</v>
      </c>
      <c r="L420" s="1" t="s">
        <v>4283</v>
      </c>
      <c r="M420" s="1" t="s">
        <v>4281</v>
      </c>
      <c r="N420" s="6" t="str">
        <f t="shared" si="13"/>
        <v>Jan</v>
      </c>
      <c r="O420" s="1">
        <v>310.93</v>
      </c>
      <c r="T420" s="4"/>
      <c r="U420" s="1" t="str">
        <f t="shared" si="14"/>
        <v>Normal</v>
      </c>
    </row>
    <row r="421" spans="1:21" x14ac:dyDescent="0.25">
      <c r="A421" s="1" t="s">
        <v>433</v>
      </c>
      <c r="B421" s="4">
        <v>45399</v>
      </c>
      <c r="C421" s="1" t="s">
        <v>1633</v>
      </c>
      <c r="D421" s="1" t="s">
        <v>2405</v>
      </c>
      <c r="E421" s="1">
        <v>2</v>
      </c>
      <c r="F421" s="1">
        <v>216.66</v>
      </c>
      <c r="G421" s="1" t="s">
        <v>2701</v>
      </c>
      <c r="H421" s="1" t="s">
        <v>3065</v>
      </c>
      <c r="I421" s="1" t="s">
        <v>3074</v>
      </c>
      <c r="J421" s="1" t="s">
        <v>3494</v>
      </c>
      <c r="K421" s="1">
        <v>6</v>
      </c>
      <c r="L421" s="1" t="s">
        <v>4276</v>
      </c>
      <c r="M421" s="1" t="s">
        <v>4278</v>
      </c>
      <c r="N421" s="6" t="str">
        <f t="shared" si="13"/>
        <v>Apr</v>
      </c>
      <c r="O421" s="1">
        <v>433.32</v>
      </c>
      <c r="T421" s="4"/>
      <c r="U421" s="1" t="str">
        <f t="shared" si="14"/>
        <v>Normal</v>
      </c>
    </row>
    <row r="422" spans="1:21" x14ac:dyDescent="0.25">
      <c r="A422" s="1" t="s">
        <v>434</v>
      </c>
      <c r="B422" s="4">
        <v>45625</v>
      </c>
      <c r="C422" s="1" t="s">
        <v>1634</v>
      </c>
      <c r="D422" s="1" t="s">
        <v>2404</v>
      </c>
      <c r="E422" s="1">
        <v>1</v>
      </c>
      <c r="F422" s="1">
        <v>452.7</v>
      </c>
      <c r="G422" s="1" t="s">
        <v>2744</v>
      </c>
      <c r="H422" s="1" t="s">
        <v>3065</v>
      </c>
      <c r="I422" s="1" t="s">
        <v>3070</v>
      </c>
      <c r="J422" s="1" t="s">
        <v>3495</v>
      </c>
      <c r="K422" s="1">
        <v>5</v>
      </c>
      <c r="L422" s="1" t="s">
        <v>4276</v>
      </c>
      <c r="M422" s="1" t="s">
        <v>4278</v>
      </c>
      <c r="N422" s="6" t="str">
        <f t="shared" si="13"/>
        <v>Nov</v>
      </c>
      <c r="O422" s="1">
        <v>452.7</v>
      </c>
      <c r="T422" s="4"/>
      <c r="U422" s="1" t="str">
        <f t="shared" si="14"/>
        <v>Normal</v>
      </c>
    </row>
    <row r="423" spans="1:21" x14ac:dyDescent="0.25">
      <c r="A423" s="1" t="s">
        <v>435</v>
      </c>
      <c r="B423" s="4">
        <v>45214</v>
      </c>
      <c r="C423" s="1" t="s">
        <v>1635</v>
      </c>
      <c r="D423" s="1" t="s">
        <v>2406</v>
      </c>
      <c r="E423" s="1">
        <v>2</v>
      </c>
      <c r="F423" s="1">
        <v>288.20999999999998</v>
      </c>
      <c r="G423" s="1" t="s">
        <v>2745</v>
      </c>
      <c r="H423" s="1" t="s">
        <v>3065</v>
      </c>
      <c r="I423" s="1" t="s">
        <v>3071</v>
      </c>
      <c r="J423" s="1" t="s">
        <v>3496</v>
      </c>
      <c r="K423" s="1">
        <v>5</v>
      </c>
      <c r="L423" s="1" t="s">
        <v>4283</v>
      </c>
      <c r="M423" s="1" t="s">
        <v>4280</v>
      </c>
      <c r="N423" s="6" t="str">
        <f t="shared" si="13"/>
        <v>Oct</v>
      </c>
      <c r="O423" s="1">
        <v>576.41999999999996</v>
      </c>
      <c r="T423" s="4"/>
      <c r="U423" s="1" t="str">
        <f t="shared" si="14"/>
        <v>Normal</v>
      </c>
    </row>
    <row r="424" spans="1:21" x14ac:dyDescent="0.25">
      <c r="A424" s="1" t="s">
        <v>436</v>
      </c>
      <c r="B424" s="4">
        <v>45082</v>
      </c>
      <c r="C424" s="1" t="s">
        <v>1636</v>
      </c>
      <c r="D424" s="1" t="s">
        <v>2404</v>
      </c>
      <c r="E424" s="1">
        <v>4</v>
      </c>
      <c r="F424" s="1">
        <v>206.6</v>
      </c>
      <c r="G424" s="1" t="s">
        <v>2426</v>
      </c>
      <c r="H424" s="1" t="s">
        <v>3068</v>
      </c>
      <c r="I424" s="1" t="s">
        <v>3072</v>
      </c>
      <c r="J424" s="1" t="s">
        <v>3497</v>
      </c>
      <c r="K424" s="1">
        <v>6</v>
      </c>
      <c r="L424" s="1" t="s">
        <v>4277</v>
      </c>
      <c r="M424" s="1" t="s">
        <v>4279</v>
      </c>
      <c r="N424" s="6" t="str">
        <f t="shared" si="13"/>
        <v>Jun</v>
      </c>
      <c r="O424" s="1">
        <v>826.4</v>
      </c>
      <c r="T424" s="4"/>
      <c r="U424" s="1" t="str">
        <f t="shared" si="14"/>
        <v>Normal</v>
      </c>
    </row>
    <row r="425" spans="1:21" x14ac:dyDescent="0.25">
      <c r="A425" s="1" t="s">
        <v>437</v>
      </c>
      <c r="B425" s="4">
        <v>45493</v>
      </c>
      <c r="C425" s="1" t="s">
        <v>1637</v>
      </c>
      <c r="D425" s="1" t="s">
        <v>2407</v>
      </c>
      <c r="E425" s="1">
        <v>4</v>
      </c>
      <c r="F425" s="1">
        <v>685.2</v>
      </c>
      <c r="G425" s="1" t="s">
        <v>2651</v>
      </c>
      <c r="H425" s="1" t="s">
        <v>3068</v>
      </c>
      <c r="I425" s="1" t="s">
        <v>3071</v>
      </c>
      <c r="J425" s="1" t="s">
        <v>3498</v>
      </c>
      <c r="K425" s="1">
        <v>6</v>
      </c>
      <c r="L425" s="1" t="s">
        <v>4277</v>
      </c>
      <c r="M425" s="1" t="s">
        <v>4282</v>
      </c>
      <c r="N425" s="6" t="str">
        <f t="shared" si="13"/>
        <v>Jul</v>
      </c>
      <c r="O425" s="1">
        <v>2740.8</v>
      </c>
      <c r="T425" s="4"/>
      <c r="U425" s="1" t="str">
        <f t="shared" si="14"/>
        <v>Normal</v>
      </c>
    </row>
    <row r="426" spans="1:21" x14ac:dyDescent="0.25">
      <c r="A426" s="1" t="s">
        <v>438</v>
      </c>
      <c r="B426" s="4">
        <v>45028</v>
      </c>
      <c r="C426" s="1" t="s">
        <v>1638</v>
      </c>
      <c r="D426" s="1" t="s">
        <v>2406</v>
      </c>
      <c r="E426" s="1">
        <v>5</v>
      </c>
      <c r="F426" s="1">
        <v>22.94</v>
      </c>
      <c r="G426" s="1" t="s">
        <v>2678</v>
      </c>
      <c r="H426" s="1" t="s">
        <v>3069</v>
      </c>
      <c r="I426" s="1" t="s">
        <v>3074</v>
      </c>
      <c r="J426" s="1" t="s">
        <v>3499</v>
      </c>
      <c r="K426" s="1">
        <v>10</v>
      </c>
      <c r="L426" s="1" t="s">
        <v>4283</v>
      </c>
      <c r="M426" s="1" t="s">
        <v>4280</v>
      </c>
      <c r="N426" s="6" t="str">
        <f t="shared" si="13"/>
        <v>Apr</v>
      </c>
      <c r="O426" s="1">
        <v>114.7</v>
      </c>
      <c r="T426" s="4"/>
      <c r="U426" s="1" t="str">
        <f t="shared" si="14"/>
        <v>Normal</v>
      </c>
    </row>
    <row r="427" spans="1:21" x14ac:dyDescent="0.25">
      <c r="A427" s="1" t="s">
        <v>439</v>
      </c>
      <c r="B427" s="4">
        <v>44994</v>
      </c>
      <c r="C427" s="1" t="s">
        <v>1639</v>
      </c>
      <c r="D427" s="1" t="s">
        <v>2408</v>
      </c>
      <c r="E427" s="1">
        <v>2</v>
      </c>
      <c r="F427" s="1">
        <v>301.88</v>
      </c>
      <c r="G427" s="1" t="s">
        <v>2746</v>
      </c>
      <c r="H427" s="1" t="s">
        <v>3068</v>
      </c>
      <c r="I427" s="1" t="s">
        <v>3072</v>
      </c>
      <c r="J427" s="1" t="s">
        <v>3500</v>
      </c>
      <c r="K427" s="1">
        <v>5</v>
      </c>
      <c r="L427" s="1" t="s">
        <v>4277</v>
      </c>
      <c r="M427" s="1" t="s">
        <v>4280</v>
      </c>
      <c r="N427" s="6" t="str">
        <f t="shared" si="13"/>
        <v>Mar</v>
      </c>
      <c r="O427" s="1">
        <v>603.76</v>
      </c>
      <c r="T427" s="4"/>
      <c r="U427" s="1" t="str">
        <f t="shared" si="14"/>
        <v>Normal</v>
      </c>
    </row>
    <row r="428" spans="1:21" x14ac:dyDescent="0.25">
      <c r="A428" s="1" t="s">
        <v>440</v>
      </c>
      <c r="B428" s="4">
        <v>45732</v>
      </c>
      <c r="C428" s="1" t="s">
        <v>1640</v>
      </c>
      <c r="D428" s="1" t="s">
        <v>2403</v>
      </c>
      <c r="E428" s="1">
        <v>5</v>
      </c>
      <c r="F428" s="1">
        <v>57.45</v>
      </c>
      <c r="G428" s="1" t="s">
        <v>2747</v>
      </c>
      <c r="H428" s="1" t="s">
        <v>3069</v>
      </c>
      <c r="I428" s="1" t="s">
        <v>3071</v>
      </c>
      <c r="J428" s="1" t="s">
        <v>3501</v>
      </c>
      <c r="K428" s="1">
        <v>10</v>
      </c>
      <c r="L428" s="1" t="s">
        <v>4283</v>
      </c>
      <c r="M428" s="1" t="s">
        <v>4281</v>
      </c>
      <c r="N428" s="6" t="str">
        <f t="shared" si="13"/>
        <v>Mar</v>
      </c>
      <c r="O428" s="1">
        <v>287.25</v>
      </c>
      <c r="T428" s="4"/>
      <c r="U428" s="1" t="str">
        <f t="shared" si="14"/>
        <v>Normal</v>
      </c>
    </row>
    <row r="429" spans="1:21" x14ac:dyDescent="0.25">
      <c r="A429" s="1" t="s">
        <v>441</v>
      </c>
      <c r="B429" s="4">
        <v>45644</v>
      </c>
      <c r="C429" s="1" t="s">
        <v>1641</v>
      </c>
      <c r="D429" s="1" t="s">
        <v>2409</v>
      </c>
      <c r="E429" s="1">
        <v>1</v>
      </c>
      <c r="F429" s="1">
        <v>161.24</v>
      </c>
      <c r="G429" s="1" t="s">
        <v>2748</v>
      </c>
      <c r="H429" s="1" t="s">
        <v>3067</v>
      </c>
      <c r="I429" s="1" t="s">
        <v>3074</v>
      </c>
      <c r="J429" s="1" t="s">
        <v>3502</v>
      </c>
      <c r="K429" s="1">
        <v>3</v>
      </c>
      <c r="L429" s="1" t="s">
        <v>4277</v>
      </c>
      <c r="M429" s="1" t="s">
        <v>4278</v>
      </c>
      <c r="N429" s="6" t="str">
        <f t="shared" si="13"/>
        <v>Dec</v>
      </c>
      <c r="O429" s="1">
        <v>161.24</v>
      </c>
      <c r="T429" s="4"/>
      <c r="U429" s="1" t="str">
        <f t="shared" si="14"/>
        <v>Normal</v>
      </c>
    </row>
    <row r="430" spans="1:21" x14ac:dyDescent="0.25">
      <c r="A430" s="1" t="s">
        <v>442</v>
      </c>
      <c r="B430" s="4">
        <v>45622</v>
      </c>
      <c r="C430" s="1" t="s">
        <v>1642</v>
      </c>
      <c r="D430" s="1" t="s">
        <v>2406</v>
      </c>
      <c r="E430" s="1">
        <v>4</v>
      </c>
      <c r="F430" s="1">
        <v>262.58</v>
      </c>
      <c r="G430" s="1" t="s">
        <v>2440</v>
      </c>
      <c r="H430" s="1" t="s">
        <v>3066</v>
      </c>
      <c r="I430" s="1" t="s">
        <v>3071</v>
      </c>
      <c r="J430" s="1" t="s">
        <v>3503</v>
      </c>
      <c r="K430" s="1">
        <v>8</v>
      </c>
      <c r="L430" s="1" t="s">
        <v>4277</v>
      </c>
      <c r="M430" s="1" t="s">
        <v>4280</v>
      </c>
      <c r="N430" s="6" t="str">
        <f t="shared" si="13"/>
        <v>Nov</v>
      </c>
      <c r="O430" s="1">
        <v>1050.32</v>
      </c>
      <c r="T430" s="4"/>
      <c r="U430" s="1" t="str">
        <f t="shared" si="14"/>
        <v>Normal</v>
      </c>
    </row>
    <row r="431" spans="1:21" x14ac:dyDescent="0.25">
      <c r="A431" s="1" t="s">
        <v>443</v>
      </c>
      <c r="B431" s="4">
        <v>45645</v>
      </c>
      <c r="C431" s="1" t="s">
        <v>1643</v>
      </c>
      <c r="D431" s="1" t="s">
        <v>2407</v>
      </c>
      <c r="E431" s="1">
        <v>4</v>
      </c>
      <c r="F431" s="1">
        <v>515.19000000000005</v>
      </c>
      <c r="G431" s="1" t="s">
        <v>2511</v>
      </c>
      <c r="H431" s="1" t="s">
        <v>3067</v>
      </c>
      <c r="I431" s="1" t="s">
        <v>3074</v>
      </c>
      <c r="J431" s="1" t="s">
        <v>3504</v>
      </c>
      <c r="K431" s="1">
        <v>9</v>
      </c>
      <c r="L431" s="1" t="s">
        <v>4275</v>
      </c>
      <c r="M431" s="1" t="s">
        <v>4281</v>
      </c>
      <c r="N431" s="6" t="str">
        <f t="shared" si="13"/>
        <v>Dec</v>
      </c>
      <c r="O431" s="1">
        <v>2060.7600000000002</v>
      </c>
      <c r="T431" s="4"/>
      <c r="U431" s="1" t="str">
        <f t="shared" si="14"/>
        <v>Normal</v>
      </c>
    </row>
    <row r="432" spans="1:21" x14ac:dyDescent="0.25">
      <c r="A432" s="1" t="s">
        <v>444</v>
      </c>
      <c r="B432" s="4">
        <v>45084</v>
      </c>
      <c r="C432" s="1" t="s">
        <v>1644</v>
      </c>
      <c r="D432" s="1" t="s">
        <v>2404</v>
      </c>
      <c r="E432" s="1">
        <v>1</v>
      </c>
      <c r="F432" s="1">
        <v>450.07</v>
      </c>
      <c r="G432" s="1" t="s">
        <v>2749</v>
      </c>
      <c r="H432" s="1" t="s">
        <v>3068</v>
      </c>
      <c r="I432" s="1" t="s">
        <v>3070</v>
      </c>
      <c r="J432" s="1" t="s">
        <v>3505</v>
      </c>
      <c r="K432" s="1">
        <v>6</v>
      </c>
      <c r="L432" s="1" t="s">
        <v>4276</v>
      </c>
      <c r="M432" s="1" t="s">
        <v>4282</v>
      </c>
      <c r="N432" s="6" t="str">
        <f t="shared" si="13"/>
        <v>Jun</v>
      </c>
      <c r="O432" s="1">
        <v>450.07</v>
      </c>
      <c r="T432" s="4"/>
      <c r="U432" s="1" t="str">
        <f t="shared" si="14"/>
        <v>Normal</v>
      </c>
    </row>
    <row r="433" spans="1:21" x14ac:dyDescent="0.25">
      <c r="A433" s="1" t="s">
        <v>445</v>
      </c>
      <c r="B433" s="4">
        <v>45571</v>
      </c>
      <c r="C433" s="1" t="s">
        <v>1645</v>
      </c>
      <c r="D433" s="1" t="s">
        <v>2407</v>
      </c>
      <c r="E433" s="1">
        <v>1</v>
      </c>
      <c r="F433" s="1">
        <v>52.54</v>
      </c>
      <c r="G433" s="1" t="s">
        <v>2553</v>
      </c>
      <c r="H433" s="1" t="s">
        <v>3065</v>
      </c>
      <c r="I433" s="1" t="s">
        <v>3071</v>
      </c>
      <c r="J433" s="1" t="s">
        <v>3506</v>
      </c>
      <c r="K433" s="1">
        <v>6</v>
      </c>
      <c r="L433" s="1" t="s">
        <v>4277</v>
      </c>
      <c r="M433" s="1" t="s">
        <v>4281</v>
      </c>
      <c r="N433" s="6" t="str">
        <f t="shared" si="13"/>
        <v>Oct</v>
      </c>
      <c r="O433" s="1">
        <v>52.54</v>
      </c>
      <c r="T433" s="4"/>
      <c r="U433" s="1" t="str">
        <f t="shared" si="14"/>
        <v>Normal</v>
      </c>
    </row>
    <row r="434" spans="1:21" x14ac:dyDescent="0.25">
      <c r="A434" s="1" t="s">
        <v>446</v>
      </c>
      <c r="B434" s="4">
        <v>45173</v>
      </c>
      <c r="C434" s="1" t="s">
        <v>1646</v>
      </c>
      <c r="D434" s="1" t="s">
        <v>2405</v>
      </c>
      <c r="E434" s="1">
        <v>2</v>
      </c>
      <c r="F434" s="1">
        <v>424.32</v>
      </c>
      <c r="G434" s="1" t="s">
        <v>2750</v>
      </c>
      <c r="H434" s="1" t="s">
        <v>3067</v>
      </c>
      <c r="I434" s="1" t="s">
        <v>3072</v>
      </c>
      <c r="J434" s="1" t="s">
        <v>3507</v>
      </c>
      <c r="K434" s="1">
        <v>6</v>
      </c>
      <c r="L434" s="1" t="s">
        <v>4283</v>
      </c>
      <c r="M434" s="1" t="s">
        <v>4279</v>
      </c>
      <c r="N434" s="6" t="str">
        <f t="shared" si="13"/>
        <v>Sep</v>
      </c>
      <c r="O434" s="1">
        <v>848.64</v>
      </c>
      <c r="T434" s="4"/>
      <c r="U434" s="1" t="str">
        <f t="shared" si="14"/>
        <v>Normal</v>
      </c>
    </row>
    <row r="435" spans="1:21" x14ac:dyDescent="0.25">
      <c r="A435" s="1" t="s">
        <v>447</v>
      </c>
      <c r="B435" s="4">
        <v>45164</v>
      </c>
      <c r="C435" s="1" t="s">
        <v>1647</v>
      </c>
      <c r="D435" s="1" t="s">
        <v>2403</v>
      </c>
      <c r="E435" s="1">
        <v>3</v>
      </c>
      <c r="F435" s="1">
        <v>631.64</v>
      </c>
      <c r="G435" s="1" t="s">
        <v>2624</v>
      </c>
      <c r="H435" s="1" t="s">
        <v>3067</v>
      </c>
      <c r="I435" s="1" t="s">
        <v>3072</v>
      </c>
      <c r="J435" s="1" t="s">
        <v>3508</v>
      </c>
      <c r="K435" s="1">
        <v>3</v>
      </c>
      <c r="L435" s="1" t="s">
        <v>4276</v>
      </c>
      <c r="M435" s="1" t="s">
        <v>4281</v>
      </c>
      <c r="N435" s="6" t="str">
        <f t="shared" si="13"/>
        <v>Aug</v>
      </c>
      <c r="O435" s="1">
        <v>1894.92</v>
      </c>
      <c r="T435" s="4"/>
      <c r="U435" s="1" t="str">
        <f t="shared" si="14"/>
        <v>Normal</v>
      </c>
    </row>
    <row r="436" spans="1:21" x14ac:dyDescent="0.25">
      <c r="A436" s="1" t="s">
        <v>448</v>
      </c>
      <c r="B436" s="4">
        <v>45221</v>
      </c>
      <c r="C436" s="1" t="s">
        <v>1648</v>
      </c>
      <c r="D436" s="1" t="s">
        <v>2407</v>
      </c>
      <c r="E436" s="1">
        <v>5</v>
      </c>
      <c r="F436" s="1">
        <v>327.68</v>
      </c>
      <c r="G436" s="1" t="s">
        <v>2475</v>
      </c>
      <c r="H436" s="1" t="s">
        <v>3067</v>
      </c>
      <c r="I436" s="1" t="s">
        <v>3072</v>
      </c>
      <c r="J436" s="1" t="s">
        <v>3509</v>
      </c>
      <c r="K436" s="1">
        <v>6</v>
      </c>
      <c r="L436" s="1" t="s">
        <v>4283</v>
      </c>
      <c r="M436" s="1" t="s">
        <v>4281</v>
      </c>
      <c r="N436" s="6" t="str">
        <f t="shared" si="13"/>
        <v>Oct</v>
      </c>
      <c r="O436" s="1">
        <v>1638.4</v>
      </c>
      <c r="T436" s="4"/>
      <c r="U436" s="1" t="str">
        <f t="shared" si="14"/>
        <v>Normal</v>
      </c>
    </row>
    <row r="437" spans="1:21" x14ac:dyDescent="0.25">
      <c r="A437" s="1" t="s">
        <v>449</v>
      </c>
      <c r="B437" s="4">
        <v>45073</v>
      </c>
      <c r="C437" s="1" t="s">
        <v>1649</v>
      </c>
      <c r="D437" s="1" t="s">
        <v>2407</v>
      </c>
      <c r="E437" s="1">
        <v>1</v>
      </c>
      <c r="F437" s="1">
        <v>414.47</v>
      </c>
      <c r="G437" s="1" t="s">
        <v>2677</v>
      </c>
      <c r="H437" s="1" t="s">
        <v>3065</v>
      </c>
      <c r="I437" s="1" t="s">
        <v>3072</v>
      </c>
      <c r="J437" s="1" t="s">
        <v>3510</v>
      </c>
      <c r="K437" s="1">
        <v>3</v>
      </c>
      <c r="L437" s="1" t="s">
        <v>4276</v>
      </c>
      <c r="M437" s="1" t="s">
        <v>4278</v>
      </c>
      <c r="N437" s="6" t="str">
        <f t="shared" si="13"/>
        <v>May</v>
      </c>
      <c r="O437" s="1">
        <v>414.47</v>
      </c>
      <c r="T437" s="4"/>
      <c r="U437" s="1" t="str">
        <f t="shared" si="14"/>
        <v>Normal</v>
      </c>
    </row>
    <row r="438" spans="1:21" x14ac:dyDescent="0.25">
      <c r="A438" s="1" t="s">
        <v>450</v>
      </c>
      <c r="B438" s="4">
        <v>44968</v>
      </c>
      <c r="C438" s="1" t="s">
        <v>1650</v>
      </c>
      <c r="D438" s="1" t="s">
        <v>2408</v>
      </c>
      <c r="E438" s="1">
        <v>4</v>
      </c>
      <c r="F438" s="1">
        <v>221.33</v>
      </c>
      <c r="G438" s="1" t="s">
        <v>2553</v>
      </c>
      <c r="H438" s="1" t="s">
        <v>3066</v>
      </c>
      <c r="I438" s="1" t="s">
        <v>3074</v>
      </c>
      <c r="J438" s="1" t="s">
        <v>3511</v>
      </c>
      <c r="K438" s="1">
        <v>5</v>
      </c>
      <c r="L438" s="1" t="s">
        <v>4283</v>
      </c>
      <c r="M438" s="1" t="s">
        <v>4282</v>
      </c>
      <c r="N438" s="6" t="str">
        <f t="shared" si="13"/>
        <v>Feb</v>
      </c>
      <c r="O438" s="1">
        <v>885.32</v>
      </c>
      <c r="T438" s="4"/>
      <c r="U438" s="1" t="str">
        <f t="shared" si="14"/>
        <v>Normal</v>
      </c>
    </row>
    <row r="439" spans="1:21" x14ac:dyDescent="0.25">
      <c r="A439" s="1" t="s">
        <v>451</v>
      </c>
      <c r="B439" s="4">
        <v>45400</v>
      </c>
      <c r="C439" s="1" t="s">
        <v>1651</v>
      </c>
      <c r="D439" s="1" t="s">
        <v>2404</v>
      </c>
      <c r="E439" s="1">
        <v>1</v>
      </c>
      <c r="F439" s="1">
        <v>512.39</v>
      </c>
      <c r="G439" s="1" t="s">
        <v>2751</v>
      </c>
      <c r="H439" s="1" t="s">
        <v>3066</v>
      </c>
      <c r="I439" s="1" t="s">
        <v>3073</v>
      </c>
      <c r="J439" s="1" t="s">
        <v>3512</v>
      </c>
      <c r="K439" s="1">
        <v>2</v>
      </c>
      <c r="L439" s="1" t="s">
        <v>4276</v>
      </c>
      <c r="M439" s="1" t="s">
        <v>4278</v>
      </c>
      <c r="N439" s="6" t="str">
        <f t="shared" si="13"/>
        <v>Apr</v>
      </c>
      <c r="O439" s="1">
        <v>512.39</v>
      </c>
      <c r="T439" s="4"/>
      <c r="U439" s="1" t="str">
        <f t="shared" si="14"/>
        <v>Normal</v>
      </c>
    </row>
    <row r="440" spans="1:21" x14ac:dyDescent="0.25">
      <c r="A440" s="1" t="s">
        <v>452</v>
      </c>
      <c r="B440" s="4">
        <v>45660</v>
      </c>
      <c r="C440" s="1" t="s">
        <v>1652</v>
      </c>
      <c r="D440" s="1" t="s">
        <v>2405</v>
      </c>
      <c r="E440" s="1">
        <v>3</v>
      </c>
      <c r="F440" s="1">
        <v>459.34</v>
      </c>
      <c r="G440" s="1" t="s">
        <v>2752</v>
      </c>
      <c r="H440" s="1" t="s">
        <v>3068</v>
      </c>
      <c r="I440" s="1" t="s">
        <v>3074</v>
      </c>
      <c r="J440" s="1" t="s">
        <v>3513</v>
      </c>
      <c r="K440" s="1">
        <v>3</v>
      </c>
      <c r="L440" s="1" t="s">
        <v>4275</v>
      </c>
      <c r="M440" s="1" t="s">
        <v>4278</v>
      </c>
      <c r="N440" s="6" t="str">
        <f t="shared" si="13"/>
        <v>Jan</v>
      </c>
      <c r="O440" s="1">
        <v>1378.02</v>
      </c>
      <c r="T440" s="4"/>
      <c r="U440" s="1" t="str">
        <f t="shared" si="14"/>
        <v>Normal</v>
      </c>
    </row>
    <row r="441" spans="1:21" x14ac:dyDescent="0.25">
      <c r="A441" s="1" t="s">
        <v>453</v>
      </c>
      <c r="B441" s="4">
        <v>45543</v>
      </c>
      <c r="C441" s="1" t="s">
        <v>1653</v>
      </c>
      <c r="D441" s="1" t="s">
        <v>2405</v>
      </c>
      <c r="E441" s="1">
        <v>1</v>
      </c>
      <c r="F441" s="1">
        <v>146.32</v>
      </c>
      <c r="G441" s="1" t="s">
        <v>2753</v>
      </c>
      <c r="H441" s="1" t="s">
        <v>3066</v>
      </c>
      <c r="I441" s="1" t="s">
        <v>3070</v>
      </c>
      <c r="J441" s="1" t="s">
        <v>3514</v>
      </c>
      <c r="K441" s="1">
        <v>4</v>
      </c>
      <c r="L441" s="1" t="s">
        <v>4277</v>
      </c>
      <c r="M441" s="1" t="s">
        <v>4281</v>
      </c>
      <c r="N441" s="6" t="str">
        <f t="shared" si="13"/>
        <v>Sep</v>
      </c>
      <c r="O441" s="1">
        <v>146.32</v>
      </c>
      <c r="T441" s="4"/>
      <c r="U441" s="1" t="str">
        <f t="shared" si="14"/>
        <v>Normal</v>
      </c>
    </row>
    <row r="442" spans="1:21" x14ac:dyDescent="0.25">
      <c r="A442" s="1" t="s">
        <v>454</v>
      </c>
      <c r="B442" s="4">
        <v>45601</v>
      </c>
      <c r="C442" s="1" t="s">
        <v>1654</v>
      </c>
      <c r="D442" s="1" t="s">
        <v>2409</v>
      </c>
      <c r="E442" s="1">
        <v>4</v>
      </c>
      <c r="F442" s="1">
        <v>83.6</v>
      </c>
      <c r="G442" s="1" t="s">
        <v>2674</v>
      </c>
      <c r="H442" s="1" t="s">
        <v>3065</v>
      </c>
      <c r="I442" s="1" t="s">
        <v>3074</v>
      </c>
      <c r="J442" s="1" t="s">
        <v>3515</v>
      </c>
      <c r="K442" s="1">
        <v>4</v>
      </c>
      <c r="L442" s="1" t="s">
        <v>4275</v>
      </c>
      <c r="M442" s="1" t="s">
        <v>4281</v>
      </c>
      <c r="N442" s="6" t="str">
        <f t="shared" si="13"/>
        <v>Nov</v>
      </c>
      <c r="O442" s="1">
        <v>334.4</v>
      </c>
      <c r="T442" s="4"/>
      <c r="U442" s="1" t="str">
        <f t="shared" si="14"/>
        <v>Normal</v>
      </c>
    </row>
    <row r="443" spans="1:21" x14ac:dyDescent="0.25">
      <c r="A443" s="1" t="s">
        <v>455</v>
      </c>
      <c r="B443" s="4">
        <v>45273</v>
      </c>
      <c r="C443" s="1" t="s">
        <v>1655</v>
      </c>
      <c r="D443" s="1" t="s">
        <v>2407</v>
      </c>
      <c r="E443" s="1">
        <v>2</v>
      </c>
      <c r="F443" s="1">
        <v>328.54</v>
      </c>
      <c r="G443" s="1" t="s">
        <v>2754</v>
      </c>
      <c r="H443" s="1" t="s">
        <v>3068</v>
      </c>
      <c r="I443" s="1" t="s">
        <v>3072</v>
      </c>
      <c r="J443" s="1" t="s">
        <v>3516</v>
      </c>
      <c r="K443" s="1">
        <v>6</v>
      </c>
      <c r="L443" s="1" t="s">
        <v>4276</v>
      </c>
      <c r="M443" s="1" t="s">
        <v>4280</v>
      </c>
      <c r="N443" s="6" t="str">
        <f t="shared" si="13"/>
        <v>Dec</v>
      </c>
      <c r="O443" s="1">
        <v>657.08</v>
      </c>
      <c r="T443" s="4"/>
      <c r="U443" s="1" t="str">
        <f t="shared" si="14"/>
        <v>Normal</v>
      </c>
    </row>
    <row r="444" spans="1:21" x14ac:dyDescent="0.25">
      <c r="A444" s="1" t="s">
        <v>456</v>
      </c>
      <c r="B444" s="4">
        <v>45418</v>
      </c>
      <c r="C444" s="1" t="s">
        <v>1656</v>
      </c>
      <c r="D444" s="1" t="s">
        <v>2406</v>
      </c>
      <c r="E444" s="1">
        <v>5</v>
      </c>
      <c r="F444" s="1">
        <v>314.94</v>
      </c>
      <c r="G444" s="1" t="s">
        <v>2755</v>
      </c>
      <c r="H444" s="1" t="s">
        <v>3069</v>
      </c>
      <c r="I444" s="1" t="s">
        <v>3074</v>
      </c>
      <c r="J444" s="1" t="s">
        <v>3517</v>
      </c>
      <c r="K444" s="1">
        <v>8</v>
      </c>
      <c r="L444" s="1" t="s">
        <v>4275</v>
      </c>
      <c r="M444" s="1" t="s">
        <v>4278</v>
      </c>
      <c r="N444" s="6" t="str">
        <f t="shared" si="13"/>
        <v>May</v>
      </c>
      <c r="O444" s="1">
        <v>1574.7</v>
      </c>
      <c r="T444" s="4"/>
      <c r="U444" s="1" t="str">
        <f t="shared" si="14"/>
        <v>Normal</v>
      </c>
    </row>
    <row r="445" spans="1:21" x14ac:dyDescent="0.25">
      <c r="A445" s="1" t="s">
        <v>457</v>
      </c>
      <c r="B445" s="4">
        <v>45426</v>
      </c>
      <c r="C445" s="1" t="s">
        <v>1657</v>
      </c>
      <c r="D445" s="1" t="s">
        <v>2406</v>
      </c>
      <c r="E445" s="1">
        <v>2</v>
      </c>
      <c r="F445" s="1">
        <v>69.64</v>
      </c>
      <c r="G445" s="1" t="s">
        <v>2469</v>
      </c>
      <c r="H445" s="1" t="s">
        <v>3069</v>
      </c>
      <c r="I445" s="1" t="s">
        <v>3072</v>
      </c>
      <c r="J445" s="1" t="s">
        <v>3518</v>
      </c>
      <c r="K445" s="1">
        <v>6</v>
      </c>
      <c r="L445" s="1" t="s">
        <v>4283</v>
      </c>
      <c r="M445" s="1" t="s">
        <v>4281</v>
      </c>
      <c r="N445" s="6" t="str">
        <f t="shared" si="13"/>
        <v>May</v>
      </c>
      <c r="O445" s="1">
        <v>139.28</v>
      </c>
      <c r="T445" s="4"/>
      <c r="U445" s="1" t="str">
        <f t="shared" si="14"/>
        <v>Normal</v>
      </c>
    </row>
    <row r="446" spans="1:21" x14ac:dyDescent="0.25">
      <c r="A446" s="1" t="s">
        <v>458</v>
      </c>
      <c r="B446" s="4">
        <v>45451</v>
      </c>
      <c r="C446" s="1" t="s">
        <v>1658</v>
      </c>
      <c r="D446" s="1" t="s">
        <v>2407</v>
      </c>
      <c r="E446" s="1">
        <v>1</v>
      </c>
      <c r="F446" s="1">
        <v>135.16999999999999</v>
      </c>
      <c r="G446" s="1" t="s">
        <v>2756</v>
      </c>
      <c r="H446" s="1" t="s">
        <v>3066</v>
      </c>
      <c r="I446" s="1" t="s">
        <v>3070</v>
      </c>
      <c r="J446" s="1" t="s">
        <v>3519</v>
      </c>
      <c r="K446" s="1">
        <v>6</v>
      </c>
      <c r="L446" s="1" t="s">
        <v>4276</v>
      </c>
      <c r="M446" s="1" t="s">
        <v>4278</v>
      </c>
      <c r="N446" s="6" t="str">
        <f t="shared" si="13"/>
        <v>Jun</v>
      </c>
      <c r="O446" s="1">
        <v>135.16999999999999</v>
      </c>
      <c r="T446" s="4"/>
      <c r="U446" s="1" t="str">
        <f t="shared" si="14"/>
        <v>Normal</v>
      </c>
    </row>
    <row r="447" spans="1:21" x14ac:dyDescent="0.25">
      <c r="A447" s="1" t="s">
        <v>459</v>
      </c>
      <c r="B447" s="4">
        <v>45374</v>
      </c>
      <c r="C447" s="1" t="s">
        <v>1659</v>
      </c>
      <c r="D447" s="1" t="s">
        <v>2404</v>
      </c>
      <c r="E447" s="1">
        <v>1</v>
      </c>
      <c r="F447" s="1">
        <v>487.21</v>
      </c>
      <c r="G447" s="1" t="s">
        <v>2757</v>
      </c>
      <c r="H447" s="1" t="s">
        <v>3069</v>
      </c>
      <c r="I447" s="1" t="s">
        <v>3073</v>
      </c>
      <c r="J447" s="1" t="s">
        <v>3520</v>
      </c>
      <c r="K447" s="1">
        <v>3</v>
      </c>
      <c r="L447" s="1" t="s">
        <v>4275</v>
      </c>
      <c r="M447" s="1" t="s">
        <v>4279</v>
      </c>
      <c r="N447" s="6" t="str">
        <f t="shared" si="13"/>
        <v>Mar</v>
      </c>
      <c r="O447" s="1">
        <v>487.21</v>
      </c>
      <c r="T447" s="4"/>
      <c r="U447" s="1" t="str">
        <f t="shared" si="14"/>
        <v>Normal</v>
      </c>
    </row>
    <row r="448" spans="1:21" x14ac:dyDescent="0.25">
      <c r="A448" s="1" t="s">
        <v>460</v>
      </c>
      <c r="B448" s="4">
        <v>45217</v>
      </c>
      <c r="C448" s="1" t="s">
        <v>1660</v>
      </c>
      <c r="D448" s="1" t="s">
        <v>2408</v>
      </c>
      <c r="E448" s="1">
        <v>5</v>
      </c>
      <c r="F448" s="1">
        <v>509.58</v>
      </c>
      <c r="G448" s="1" t="s">
        <v>2758</v>
      </c>
      <c r="H448" s="1" t="s">
        <v>3066</v>
      </c>
      <c r="I448" s="1" t="s">
        <v>3073</v>
      </c>
      <c r="J448" s="1" t="s">
        <v>3521</v>
      </c>
      <c r="K448" s="1">
        <v>6</v>
      </c>
      <c r="L448" s="1" t="s">
        <v>4276</v>
      </c>
      <c r="M448" s="1" t="s">
        <v>4278</v>
      </c>
      <c r="N448" s="6" t="str">
        <f t="shared" si="13"/>
        <v>Oct</v>
      </c>
      <c r="O448" s="1">
        <v>2547.9</v>
      </c>
      <c r="T448" s="4"/>
      <c r="U448" s="1" t="str">
        <f t="shared" si="14"/>
        <v>Normal</v>
      </c>
    </row>
    <row r="449" spans="1:21" x14ac:dyDescent="0.25">
      <c r="A449" s="1" t="s">
        <v>461</v>
      </c>
      <c r="B449" s="4">
        <v>45389</v>
      </c>
      <c r="C449" s="1" t="s">
        <v>1661</v>
      </c>
      <c r="D449" s="1" t="s">
        <v>2407</v>
      </c>
      <c r="E449" s="1">
        <v>2</v>
      </c>
      <c r="F449" s="1">
        <v>416.81</v>
      </c>
      <c r="G449" s="1" t="s">
        <v>2759</v>
      </c>
      <c r="H449" s="1" t="s">
        <v>3069</v>
      </c>
      <c r="I449" s="1" t="s">
        <v>3072</v>
      </c>
      <c r="J449" s="1" t="s">
        <v>3522</v>
      </c>
      <c r="K449" s="1">
        <v>2</v>
      </c>
      <c r="L449" s="1" t="s">
        <v>4283</v>
      </c>
      <c r="M449" s="1" t="s">
        <v>4281</v>
      </c>
      <c r="N449" s="6" t="str">
        <f t="shared" si="13"/>
        <v>Apr</v>
      </c>
      <c r="O449" s="1">
        <v>833.62</v>
      </c>
      <c r="T449" s="4"/>
      <c r="U449" s="1" t="str">
        <f t="shared" si="14"/>
        <v>Normal</v>
      </c>
    </row>
    <row r="450" spans="1:21" x14ac:dyDescent="0.25">
      <c r="A450" s="1" t="s">
        <v>462</v>
      </c>
      <c r="B450" s="4">
        <v>45173</v>
      </c>
      <c r="C450" s="1" t="s">
        <v>1662</v>
      </c>
      <c r="D450" s="1" t="s">
        <v>2408</v>
      </c>
      <c r="E450" s="1">
        <v>2</v>
      </c>
      <c r="F450" s="1">
        <v>160</v>
      </c>
      <c r="G450" s="1" t="s">
        <v>2760</v>
      </c>
      <c r="H450" s="1" t="s">
        <v>3069</v>
      </c>
      <c r="I450" s="1" t="s">
        <v>3074</v>
      </c>
      <c r="J450" s="1" t="s">
        <v>3523</v>
      </c>
      <c r="K450" s="1">
        <v>4</v>
      </c>
      <c r="L450" s="1" t="s">
        <v>4275</v>
      </c>
      <c r="M450" s="1" t="s">
        <v>4278</v>
      </c>
      <c r="N450" s="6" t="str">
        <f t="shared" ref="N450:N513" si="15">TEXT(B450,"MMM")</f>
        <v>Sep</v>
      </c>
      <c r="O450" s="1">
        <v>320</v>
      </c>
      <c r="T450" s="4"/>
      <c r="U450" s="1" t="str">
        <f t="shared" si="14"/>
        <v>Normal</v>
      </c>
    </row>
    <row r="451" spans="1:21" x14ac:dyDescent="0.25">
      <c r="A451" s="1" t="s">
        <v>463</v>
      </c>
      <c r="B451" s="4">
        <v>45530</v>
      </c>
      <c r="C451" s="1" t="s">
        <v>1663</v>
      </c>
      <c r="D451" s="1" t="s">
        <v>2405</v>
      </c>
      <c r="E451" s="1">
        <v>3</v>
      </c>
      <c r="F451" s="1">
        <v>253.05</v>
      </c>
      <c r="G451" s="1" t="s">
        <v>2761</v>
      </c>
      <c r="H451" s="1" t="s">
        <v>3066</v>
      </c>
      <c r="I451" s="1" t="s">
        <v>3074</v>
      </c>
      <c r="J451" s="1" t="s">
        <v>3524</v>
      </c>
      <c r="K451" s="1">
        <v>3</v>
      </c>
      <c r="L451" s="1" t="s">
        <v>4283</v>
      </c>
      <c r="M451" s="1" t="s">
        <v>4278</v>
      </c>
      <c r="N451" s="6" t="str">
        <f t="shared" si="15"/>
        <v>Aug</v>
      </c>
      <c r="O451" s="1">
        <v>759.15000000000009</v>
      </c>
      <c r="T451" s="4"/>
      <c r="U451" s="1" t="str">
        <f t="shared" ref="U451:U514" si="16">IF(O451&gt;$S$2,"Outlier","Normal")</f>
        <v>Normal</v>
      </c>
    </row>
    <row r="452" spans="1:21" x14ac:dyDescent="0.25">
      <c r="A452" s="1" t="s">
        <v>464</v>
      </c>
      <c r="B452" s="4">
        <v>45306</v>
      </c>
      <c r="C452" s="1" t="s">
        <v>1664</v>
      </c>
      <c r="D452" s="1" t="s">
        <v>2403</v>
      </c>
      <c r="E452" s="1">
        <v>5</v>
      </c>
      <c r="F452" s="1">
        <v>615.1</v>
      </c>
      <c r="G452" s="1" t="s">
        <v>2762</v>
      </c>
      <c r="H452" s="1" t="s">
        <v>3068</v>
      </c>
      <c r="I452" s="1" t="s">
        <v>3072</v>
      </c>
      <c r="J452" s="1" t="s">
        <v>3525</v>
      </c>
      <c r="K452" s="1">
        <v>10</v>
      </c>
      <c r="L452" s="1" t="s">
        <v>4277</v>
      </c>
      <c r="M452" s="1" t="s">
        <v>4278</v>
      </c>
      <c r="N452" s="6" t="str">
        <f t="shared" si="15"/>
        <v>Jan</v>
      </c>
      <c r="O452" s="1">
        <v>3075.5</v>
      </c>
      <c r="T452" s="4"/>
      <c r="U452" s="1" t="str">
        <f t="shared" si="16"/>
        <v>Normal</v>
      </c>
    </row>
    <row r="453" spans="1:21" x14ac:dyDescent="0.25">
      <c r="A453" s="1" t="s">
        <v>465</v>
      </c>
      <c r="B453" s="4">
        <v>45017</v>
      </c>
      <c r="C453" s="1" t="s">
        <v>1665</v>
      </c>
      <c r="D453" s="1" t="s">
        <v>2403</v>
      </c>
      <c r="E453" s="1">
        <v>1</v>
      </c>
      <c r="F453" s="1">
        <v>183.18</v>
      </c>
      <c r="G453" s="1" t="s">
        <v>2507</v>
      </c>
      <c r="H453" s="1" t="s">
        <v>3065</v>
      </c>
      <c r="I453" s="1" t="s">
        <v>3071</v>
      </c>
      <c r="J453" s="1" t="s">
        <v>3526</v>
      </c>
      <c r="K453" s="1">
        <v>6</v>
      </c>
      <c r="L453" s="1" t="s">
        <v>4275</v>
      </c>
      <c r="M453" s="1" t="s">
        <v>4280</v>
      </c>
      <c r="N453" s="6" t="str">
        <f t="shared" si="15"/>
        <v>Apr</v>
      </c>
      <c r="O453" s="1">
        <v>183.18</v>
      </c>
      <c r="T453" s="4"/>
      <c r="U453" s="1" t="str">
        <f t="shared" si="16"/>
        <v>Normal</v>
      </c>
    </row>
    <row r="454" spans="1:21" x14ac:dyDescent="0.25">
      <c r="A454" s="1" t="s">
        <v>466</v>
      </c>
      <c r="B454" s="4">
        <v>45130</v>
      </c>
      <c r="C454" s="1" t="s">
        <v>1666</v>
      </c>
      <c r="D454" s="1" t="s">
        <v>2407</v>
      </c>
      <c r="E454" s="1">
        <v>1</v>
      </c>
      <c r="F454" s="1">
        <v>75.78</v>
      </c>
      <c r="G454" s="1" t="s">
        <v>2763</v>
      </c>
      <c r="H454" s="1" t="s">
        <v>3069</v>
      </c>
      <c r="I454" s="1" t="s">
        <v>3074</v>
      </c>
      <c r="J454" s="1" t="s">
        <v>3527</v>
      </c>
      <c r="K454" s="1">
        <v>5</v>
      </c>
      <c r="L454" s="1" t="s">
        <v>4275</v>
      </c>
      <c r="M454" s="1" t="s">
        <v>4282</v>
      </c>
      <c r="N454" s="6" t="str">
        <f t="shared" si="15"/>
        <v>Jul</v>
      </c>
      <c r="O454" s="1">
        <v>75.78</v>
      </c>
      <c r="T454" s="4"/>
      <c r="U454" s="1" t="str">
        <f t="shared" si="16"/>
        <v>Normal</v>
      </c>
    </row>
    <row r="455" spans="1:21" x14ac:dyDescent="0.25">
      <c r="A455" s="1" t="s">
        <v>467</v>
      </c>
      <c r="B455" s="4">
        <v>45779</v>
      </c>
      <c r="C455" s="1" t="s">
        <v>1667</v>
      </c>
      <c r="D455" s="1" t="s">
        <v>2405</v>
      </c>
      <c r="E455" s="1">
        <v>1</v>
      </c>
      <c r="F455" s="1">
        <v>675.57</v>
      </c>
      <c r="G455" s="1" t="s">
        <v>2764</v>
      </c>
      <c r="H455" s="1" t="s">
        <v>3069</v>
      </c>
      <c r="I455" s="1" t="s">
        <v>3070</v>
      </c>
      <c r="J455" s="1" t="s">
        <v>3528</v>
      </c>
      <c r="K455" s="1">
        <v>1</v>
      </c>
      <c r="L455" s="1" t="s">
        <v>4277</v>
      </c>
      <c r="M455" s="1" t="s">
        <v>4281</v>
      </c>
      <c r="N455" s="6" t="str">
        <f t="shared" si="15"/>
        <v>May</v>
      </c>
      <c r="O455" s="1">
        <v>675.57</v>
      </c>
      <c r="T455" s="4"/>
      <c r="U455" s="1" t="str">
        <f t="shared" si="16"/>
        <v>Normal</v>
      </c>
    </row>
    <row r="456" spans="1:21" x14ac:dyDescent="0.25">
      <c r="A456" s="1" t="s">
        <v>468</v>
      </c>
      <c r="B456" s="4">
        <v>45623</v>
      </c>
      <c r="C456" s="1" t="s">
        <v>1668</v>
      </c>
      <c r="D456" s="1" t="s">
        <v>2408</v>
      </c>
      <c r="E456" s="1">
        <v>1</v>
      </c>
      <c r="F456" s="1">
        <v>109.29</v>
      </c>
      <c r="G456" s="1" t="s">
        <v>2765</v>
      </c>
      <c r="H456" s="1" t="s">
        <v>3065</v>
      </c>
      <c r="I456" s="1" t="s">
        <v>3071</v>
      </c>
      <c r="J456" s="1" t="s">
        <v>3529</v>
      </c>
      <c r="K456" s="1">
        <v>5</v>
      </c>
      <c r="L456" s="1" t="s">
        <v>4276</v>
      </c>
      <c r="M456" s="1" t="s">
        <v>4282</v>
      </c>
      <c r="N456" s="6" t="str">
        <f t="shared" si="15"/>
        <v>Nov</v>
      </c>
      <c r="O456" s="1">
        <v>109.29</v>
      </c>
      <c r="T456" s="4"/>
      <c r="U456" s="1" t="str">
        <f t="shared" si="16"/>
        <v>Normal</v>
      </c>
    </row>
    <row r="457" spans="1:21" x14ac:dyDescent="0.25">
      <c r="A457" s="1" t="s">
        <v>469</v>
      </c>
      <c r="B457" s="4">
        <v>45377</v>
      </c>
      <c r="C457" s="1" t="s">
        <v>1669</v>
      </c>
      <c r="D457" s="1" t="s">
        <v>2404</v>
      </c>
      <c r="E457" s="1">
        <v>1</v>
      </c>
      <c r="F457" s="1">
        <v>639.83000000000004</v>
      </c>
      <c r="G457" s="1" t="s">
        <v>2766</v>
      </c>
      <c r="H457" s="1" t="s">
        <v>3065</v>
      </c>
      <c r="I457" s="1" t="s">
        <v>3074</v>
      </c>
      <c r="J457" s="1" t="s">
        <v>3530</v>
      </c>
      <c r="K457" s="1">
        <v>2</v>
      </c>
      <c r="L457" s="1" t="s">
        <v>4275</v>
      </c>
      <c r="M457" s="1" t="s">
        <v>4279</v>
      </c>
      <c r="N457" s="6" t="str">
        <f t="shared" si="15"/>
        <v>Mar</v>
      </c>
      <c r="O457" s="1">
        <v>639.83000000000004</v>
      </c>
      <c r="T457" s="4"/>
      <c r="U457" s="1" t="str">
        <f t="shared" si="16"/>
        <v>Normal</v>
      </c>
    </row>
    <row r="458" spans="1:21" x14ac:dyDescent="0.25">
      <c r="A458" s="1" t="s">
        <v>470</v>
      </c>
      <c r="B458" s="4">
        <v>45103</v>
      </c>
      <c r="C458" s="1" t="s">
        <v>1670</v>
      </c>
      <c r="D458" s="1" t="s">
        <v>2409</v>
      </c>
      <c r="E458" s="1">
        <v>5</v>
      </c>
      <c r="F458" s="1">
        <v>62.81</v>
      </c>
      <c r="G458" s="1" t="s">
        <v>2698</v>
      </c>
      <c r="H458" s="1" t="s">
        <v>3067</v>
      </c>
      <c r="I458" s="1" t="s">
        <v>3070</v>
      </c>
      <c r="J458" s="1" t="s">
        <v>3531</v>
      </c>
      <c r="K458" s="1">
        <v>9</v>
      </c>
      <c r="L458" s="1" t="s">
        <v>4275</v>
      </c>
      <c r="M458" s="1" t="s">
        <v>4281</v>
      </c>
      <c r="N458" s="6" t="str">
        <f t="shared" si="15"/>
        <v>Jun</v>
      </c>
      <c r="O458" s="1">
        <v>314.05</v>
      </c>
      <c r="T458" s="4"/>
      <c r="U458" s="1" t="str">
        <f t="shared" si="16"/>
        <v>Normal</v>
      </c>
    </row>
    <row r="459" spans="1:21" x14ac:dyDescent="0.25">
      <c r="A459" s="1" t="s">
        <v>471</v>
      </c>
      <c r="B459" s="4">
        <v>45802</v>
      </c>
      <c r="C459" s="1" t="s">
        <v>1671</v>
      </c>
      <c r="D459" s="1" t="s">
        <v>2409</v>
      </c>
      <c r="E459" s="1">
        <v>4</v>
      </c>
      <c r="F459" s="1">
        <v>615.83000000000004</v>
      </c>
      <c r="G459" s="1" t="s">
        <v>2767</v>
      </c>
      <c r="H459" s="1" t="s">
        <v>3066</v>
      </c>
      <c r="I459" s="1" t="s">
        <v>3072</v>
      </c>
      <c r="J459" s="1" t="s">
        <v>3532</v>
      </c>
      <c r="K459" s="1">
        <v>4</v>
      </c>
      <c r="L459" s="1" t="s">
        <v>4277</v>
      </c>
      <c r="M459" s="1" t="s">
        <v>4278</v>
      </c>
      <c r="N459" s="6" t="str">
        <f t="shared" si="15"/>
        <v>May</v>
      </c>
      <c r="O459" s="1">
        <v>2463.3200000000002</v>
      </c>
      <c r="T459" s="4"/>
      <c r="U459" s="1" t="str">
        <f t="shared" si="16"/>
        <v>Normal</v>
      </c>
    </row>
    <row r="460" spans="1:21" x14ac:dyDescent="0.25">
      <c r="A460" s="1" t="s">
        <v>472</v>
      </c>
      <c r="B460" s="4">
        <v>45475</v>
      </c>
      <c r="C460" s="1" t="s">
        <v>1672</v>
      </c>
      <c r="D460" s="1" t="s">
        <v>2403</v>
      </c>
      <c r="E460" s="1">
        <v>4</v>
      </c>
      <c r="F460" s="1">
        <v>510.58</v>
      </c>
      <c r="G460" s="1" t="s">
        <v>2495</v>
      </c>
      <c r="H460" s="1" t="s">
        <v>3067</v>
      </c>
      <c r="I460" s="1" t="s">
        <v>3072</v>
      </c>
      <c r="J460" s="1" t="s">
        <v>3533</v>
      </c>
      <c r="K460" s="1">
        <v>7</v>
      </c>
      <c r="L460" s="1" t="s">
        <v>4277</v>
      </c>
      <c r="M460" s="1" t="s">
        <v>4280</v>
      </c>
      <c r="N460" s="6" t="str">
        <f t="shared" si="15"/>
        <v>Jul</v>
      </c>
      <c r="O460" s="1">
        <v>2042.32</v>
      </c>
      <c r="T460" s="4"/>
      <c r="U460" s="1" t="str">
        <f t="shared" si="16"/>
        <v>Normal</v>
      </c>
    </row>
    <row r="461" spans="1:21" x14ac:dyDescent="0.25">
      <c r="A461" s="1" t="s">
        <v>473</v>
      </c>
      <c r="B461" s="4">
        <v>45497</v>
      </c>
      <c r="C461" s="1" t="s">
        <v>1673</v>
      </c>
      <c r="D461" s="1" t="s">
        <v>2409</v>
      </c>
      <c r="E461" s="1">
        <v>1</v>
      </c>
      <c r="F461" s="1">
        <v>334.39</v>
      </c>
      <c r="G461" s="1" t="s">
        <v>2749</v>
      </c>
      <c r="H461" s="1" t="s">
        <v>3067</v>
      </c>
      <c r="I461" s="1" t="s">
        <v>3072</v>
      </c>
      <c r="J461" s="1" t="s">
        <v>3534</v>
      </c>
      <c r="K461" s="1">
        <v>2</v>
      </c>
      <c r="L461" s="1" t="s">
        <v>4283</v>
      </c>
      <c r="M461" s="1" t="s">
        <v>4278</v>
      </c>
      <c r="N461" s="6" t="str">
        <f t="shared" si="15"/>
        <v>Jul</v>
      </c>
      <c r="O461" s="1">
        <v>334.39</v>
      </c>
      <c r="T461" s="4"/>
      <c r="U461" s="1" t="str">
        <f t="shared" si="16"/>
        <v>Normal</v>
      </c>
    </row>
    <row r="462" spans="1:21" x14ac:dyDescent="0.25">
      <c r="A462" s="1" t="s">
        <v>474</v>
      </c>
      <c r="B462" s="4">
        <v>45571</v>
      </c>
      <c r="C462" s="1" t="s">
        <v>1674</v>
      </c>
      <c r="D462" s="1" t="s">
        <v>2408</v>
      </c>
      <c r="E462" s="1">
        <v>1</v>
      </c>
      <c r="F462" s="1">
        <v>144.25</v>
      </c>
      <c r="G462" s="1" t="s">
        <v>2768</v>
      </c>
      <c r="H462" s="1" t="s">
        <v>3069</v>
      </c>
      <c r="I462" s="1" t="s">
        <v>3072</v>
      </c>
      <c r="J462" s="1" t="s">
        <v>3535</v>
      </c>
      <c r="K462" s="1">
        <v>2</v>
      </c>
      <c r="L462" s="1" t="s">
        <v>4277</v>
      </c>
      <c r="M462" s="1" t="s">
        <v>4279</v>
      </c>
      <c r="N462" s="6" t="str">
        <f t="shared" si="15"/>
        <v>Oct</v>
      </c>
      <c r="O462" s="1">
        <v>144.25</v>
      </c>
      <c r="T462" s="4"/>
      <c r="U462" s="1" t="str">
        <f t="shared" si="16"/>
        <v>Normal</v>
      </c>
    </row>
    <row r="463" spans="1:21" x14ac:dyDescent="0.25">
      <c r="A463" s="1" t="s">
        <v>475</v>
      </c>
      <c r="B463" s="4">
        <v>45451</v>
      </c>
      <c r="C463" s="1" t="s">
        <v>1675</v>
      </c>
      <c r="D463" s="1" t="s">
        <v>2405</v>
      </c>
      <c r="E463" s="1">
        <v>1</v>
      </c>
      <c r="F463" s="1">
        <v>401.82</v>
      </c>
      <c r="G463" s="1" t="s">
        <v>2618</v>
      </c>
      <c r="H463" s="1" t="s">
        <v>3067</v>
      </c>
      <c r="I463" s="1" t="s">
        <v>3070</v>
      </c>
      <c r="J463" s="1" t="s">
        <v>3536</v>
      </c>
      <c r="K463" s="1">
        <v>5</v>
      </c>
      <c r="L463" s="1" t="s">
        <v>4276</v>
      </c>
      <c r="M463" s="1" t="s">
        <v>4282</v>
      </c>
      <c r="N463" s="6" t="str">
        <f t="shared" si="15"/>
        <v>Jun</v>
      </c>
      <c r="O463" s="1">
        <v>401.82</v>
      </c>
      <c r="T463" s="4"/>
      <c r="U463" s="1" t="str">
        <f t="shared" si="16"/>
        <v>Normal</v>
      </c>
    </row>
    <row r="464" spans="1:21" x14ac:dyDescent="0.25">
      <c r="A464" s="1" t="s">
        <v>476</v>
      </c>
      <c r="B464" s="4">
        <v>45747</v>
      </c>
      <c r="C464" s="1" t="s">
        <v>1676</v>
      </c>
      <c r="D464" s="1" t="s">
        <v>2404</v>
      </c>
      <c r="E464" s="1">
        <v>1</v>
      </c>
      <c r="F464" s="1">
        <v>252.68</v>
      </c>
      <c r="G464" s="1" t="s">
        <v>2769</v>
      </c>
      <c r="H464" s="1" t="s">
        <v>3066</v>
      </c>
      <c r="I464" s="1" t="s">
        <v>3071</v>
      </c>
      <c r="J464" s="1" t="s">
        <v>3537</v>
      </c>
      <c r="K464" s="1">
        <v>1</v>
      </c>
      <c r="L464" s="1" t="s">
        <v>4283</v>
      </c>
      <c r="M464" s="1" t="s">
        <v>4279</v>
      </c>
      <c r="N464" s="6" t="str">
        <f t="shared" si="15"/>
        <v>Mar</v>
      </c>
      <c r="O464" s="1">
        <v>252.68</v>
      </c>
      <c r="T464" s="4"/>
      <c r="U464" s="1" t="str">
        <f t="shared" si="16"/>
        <v>Normal</v>
      </c>
    </row>
    <row r="465" spans="1:21" x14ac:dyDescent="0.25">
      <c r="A465" s="1" t="s">
        <v>477</v>
      </c>
      <c r="B465" s="4">
        <v>45072</v>
      </c>
      <c r="C465" s="1" t="s">
        <v>1677</v>
      </c>
      <c r="D465" s="1" t="s">
        <v>2408</v>
      </c>
      <c r="E465" s="1">
        <v>5</v>
      </c>
      <c r="F465" s="1">
        <v>662.78</v>
      </c>
      <c r="G465" s="1" t="s">
        <v>2770</v>
      </c>
      <c r="H465" s="1" t="s">
        <v>3065</v>
      </c>
      <c r="I465" s="1" t="s">
        <v>3070</v>
      </c>
      <c r="J465" s="1" t="s">
        <v>3538</v>
      </c>
      <c r="K465" s="1">
        <v>9</v>
      </c>
      <c r="L465" s="1" t="s">
        <v>4275</v>
      </c>
      <c r="M465" s="1" t="s">
        <v>4278</v>
      </c>
      <c r="N465" s="6" t="str">
        <f t="shared" si="15"/>
        <v>May</v>
      </c>
      <c r="O465" s="1">
        <v>3313.9</v>
      </c>
      <c r="T465" s="4"/>
      <c r="U465" s="1" t="str">
        <f t="shared" si="16"/>
        <v>Normal</v>
      </c>
    </row>
    <row r="466" spans="1:21" x14ac:dyDescent="0.25">
      <c r="A466" s="1" t="s">
        <v>478</v>
      </c>
      <c r="B466" s="4">
        <v>44999</v>
      </c>
      <c r="C466" s="1" t="s">
        <v>1678</v>
      </c>
      <c r="D466" s="1" t="s">
        <v>2405</v>
      </c>
      <c r="E466" s="1">
        <v>4</v>
      </c>
      <c r="F466" s="1">
        <v>434.42</v>
      </c>
      <c r="G466" s="1" t="s">
        <v>2771</v>
      </c>
      <c r="H466" s="1" t="s">
        <v>3066</v>
      </c>
      <c r="I466" s="1" t="s">
        <v>3071</v>
      </c>
      <c r="J466" s="1" t="s">
        <v>3539</v>
      </c>
      <c r="K466" s="1">
        <v>6</v>
      </c>
      <c r="L466" s="1" t="s">
        <v>4276</v>
      </c>
      <c r="M466" s="1" t="s">
        <v>4282</v>
      </c>
      <c r="N466" s="6" t="str">
        <f t="shared" si="15"/>
        <v>Mar</v>
      </c>
      <c r="O466" s="1">
        <v>1737.68</v>
      </c>
      <c r="T466" s="4"/>
      <c r="U466" s="1" t="str">
        <f t="shared" si="16"/>
        <v>Normal</v>
      </c>
    </row>
    <row r="467" spans="1:21" x14ac:dyDescent="0.25">
      <c r="A467" s="1" t="s">
        <v>479</v>
      </c>
      <c r="B467" s="4">
        <v>45348</v>
      </c>
      <c r="C467" s="1" t="s">
        <v>1679</v>
      </c>
      <c r="D467" s="1" t="s">
        <v>2407</v>
      </c>
      <c r="E467" s="1">
        <v>5</v>
      </c>
      <c r="F467" s="1">
        <v>513.49</v>
      </c>
      <c r="G467" s="1" t="s">
        <v>2772</v>
      </c>
      <c r="H467" s="1" t="s">
        <v>3068</v>
      </c>
      <c r="I467" s="1" t="s">
        <v>3071</v>
      </c>
      <c r="J467" s="1" t="s">
        <v>3540</v>
      </c>
      <c r="K467" s="1">
        <v>8</v>
      </c>
      <c r="L467" s="1" t="s">
        <v>4283</v>
      </c>
      <c r="M467" s="1" t="s">
        <v>4282</v>
      </c>
      <c r="N467" s="6" t="str">
        <f t="shared" si="15"/>
        <v>Feb</v>
      </c>
      <c r="O467" s="1">
        <v>2567.4499999999998</v>
      </c>
      <c r="T467" s="4"/>
      <c r="U467" s="1" t="str">
        <f t="shared" si="16"/>
        <v>Normal</v>
      </c>
    </row>
    <row r="468" spans="1:21" x14ac:dyDescent="0.25">
      <c r="A468" s="1" t="s">
        <v>480</v>
      </c>
      <c r="B468" s="4">
        <v>45125</v>
      </c>
      <c r="C468" s="1" t="s">
        <v>1680</v>
      </c>
      <c r="D468" s="1" t="s">
        <v>2404</v>
      </c>
      <c r="E468" s="1">
        <v>1</v>
      </c>
      <c r="F468" s="1">
        <v>432.47</v>
      </c>
      <c r="G468" s="1" t="s">
        <v>2440</v>
      </c>
      <c r="H468" s="1" t="s">
        <v>3069</v>
      </c>
      <c r="I468" s="1" t="s">
        <v>3073</v>
      </c>
      <c r="J468" s="1" t="s">
        <v>3541</v>
      </c>
      <c r="K468" s="1">
        <v>4</v>
      </c>
      <c r="L468" s="1" t="s">
        <v>4276</v>
      </c>
      <c r="M468" s="1" t="s">
        <v>4279</v>
      </c>
      <c r="N468" s="6" t="str">
        <f t="shared" si="15"/>
        <v>Jul</v>
      </c>
      <c r="O468" s="1">
        <v>432.47</v>
      </c>
      <c r="T468" s="4"/>
      <c r="U468" s="1" t="str">
        <f t="shared" si="16"/>
        <v>Normal</v>
      </c>
    </row>
    <row r="469" spans="1:21" x14ac:dyDescent="0.25">
      <c r="A469" s="1" t="s">
        <v>481</v>
      </c>
      <c r="B469" s="4">
        <v>45534</v>
      </c>
      <c r="C469" s="1" t="s">
        <v>1681</v>
      </c>
      <c r="D469" s="1" t="s">
        <v>2409</v>
      </c>
      <c r="E469" s="1">
        <v>1</v>
      </c>
      <c r="F469" s="1">
        <v>45.94</v>
      </c>
      <c r="G469" s="1" t="s">
        <v>2577</v>
      </c>
      <c r="H469" s="1" t="s">
        <v>3069</v>
      </c>
      <c r="I469" s="1" t="s">
        <v>3071</v>
      </c>
      <c r="J469" s="1" t="s">
        <v>3542</v>
      </c>
      <c r="K469" s="1">
        <v>2</v>
      </c>
      <c r="L469" s="1" t="s">
        <v>4277</v>
      </c>
      <c r="M469" s="1" t="s">
        <v>4280</v>
      </c>
      <c r="N469" s="6" t="str">
        <f t="shared" si="15"/>
        <v>Aug</v>
      </c>
      <c r="O469" s="1">
        <v>45.94</v>
      </c>
      <c r="T469" s="4"/>
      <c r="U469" s="1" t="str">
        <f t="shared" si="16"/>
        <v>Normal</v>
      </c>
    </row>
    <row r="470" spans="1:21" x14ac:dyDescent="0.25">
      <c r="A470" s="1" t="s">
        <v>482</v>
      </c>
      <c r="B470" s="4">
        <v>45829</v>
      </c>
      <c r="C470" s="1" t="s">
        <v>1682</v>
      </c>
      <c r="D470" s="1" t="s">
        <v>2404</v>
      </c>
      <c r="E470" s="1">
        <v>1</v>
      </c>
      <c r="F470" s="1">
        <v>418.36</v>
      </c>
      <c r="G470" s="1" t="s">
        <v>2773</v>
      </c>
      <c r="H470" s="1" t="s">
        <v>3067</v>
      </c>
      <c r="I470" s="1" t="s">
        <v>3073</v>
      </c>
      <c r="J470" s="1" t="s">
        <v>3543</v>
      </c>
      <c r="K470" s="1">
        <v>5</v>
      </c>
      <c r="L470" s="1" t="s">
        <v>4276</v>
      </c>
      <c r="M470" s="1" t="s">
        <v>4280</v>
      </c>
      <c r="N470" s="6" t="str">
        <f t="shared" si="15"/>
        <v>Jun</v>
      </c>
      <c r="O470" s="1">
        <v>418.36</v>
      </c>
      <c r="T470" s="4"/>
      <c r="U470" s="1" t="str">
        <f t="shared" si="16"/>
        <v>Normal</v>
      </c>
    </row>
    <row r="471" spans="1:21" x14ac:dyDescent="0.25">
      <c r="A471" s="1" t="s">
        <v>483</v>
      </c>
      <c r="B471" s="4">
        <v>45256</v>
      </c>
      <c r="C471" s="1" t="s">
        <v>1683</v>
      </c>
      <c r="D471" s="1" t="s">
        <v>2406</v>
      </c>
      <c r="E471" s="1">
        <v>5</v>
      </c>
      <c r="F471" s="1">
        <v>676.98</v>
      </c>
      <c r="G471" s="1" t="s">
        <v>2546</v>
      </c>
      <c r="H471" s="1" t="s">
        <v>3069</v>
      </c>
      <c r="I471" s="1" t="s">
        <v>3071</v>
      </c>
      <c r="J471" s="1" t="s">
        <v>3544</v>
      </c>
      <c r="K471" s="1">
        <v>5</v>
      </c>
      <c r="L471" s="1" t="s">
        <v>4283</v>
      </c>
      <c r="M471" s="1" t="s">
        <v>4281</v>
      </c>
      <c r="N471" s="6" t="str">
        <f t="shared" si="15"/>
        <v>Nov</v>
      </c>
      <c r="O471" s="1">
        <v>3384.9</v>
      </c>
      <c r="T471" s="4"/>
      <c r="U471" s="1" t="str">
        <f t="shared" si="16"/>
        <v>Outlier</v>
      </c>
    </row>
    <row r="472" spans="1:21" x14ac:dyDescent="0.25">
      <c r="A472" s="1" t="s">
        <v>484</v>
      </c>
      <c r="B472" s="4">
        <v>45198</v>
      </c>
      <c r="C472" s="1" t="s">
        <v>1684</v>
      </c>
      <c r="D472" s="1" t="s">
        <v>2405</v>
      </c>
      <c r="E472" s="1">
        <v>4</v>
      </c>
      <c r="F472" s="1">
        <v>263.62</v>
      </c>
      <c r="G472" s="1" t="s">
        <v>2774</v>
      </c>
      <c r="H472" s="1" t="s">
        <v>3069</v>
      </c>
      <c r="I472" s="1" t="s">
        <v>3070</v>
      </c>
      <c r="J472" s="1" t="s">
        <v>3545</v>
      </c>
      <c r="K472" s="1">
        <v>5</v>
      </c>
      <c r="L472" s="1" t="s">
        <v>4275</v>
      </c>
      <c r="M472" s="1" t="s">
        <v>4280</v>
      </c>
      <c r="N472" s="6" t="str">
        <f t="shared" si="15"/>
        <v>Sep</v>
      </c>
      <c r="O472" s="1">
        <v>1054.48</v>
      </c>
      <c r="T472" s="4"/>
      <c r="U472" s="1" t="str">
        <f t="shared" si="16"/>
        <v>Normal</v>
      </c>
    </row>
    <row r="473" spans="1:21" x14ac:dyDescent="0.25">
      <c r="A473" s="1" t="s">
        <v>485</v>
      </c>
      <c r="B473" s="4">
        <v>45766</v>
      </c>
      <c r="C473" s="1" t="s">
        <v>1685</v>
      </c>
      <c r="D473" s="1" t="s">
        <v>2409</v>
      </c>
      <c r="E473" s="1">
        <v>5</v>
      </c>
      <c r="F473" s="1">
        <v>551.27</v>
      </c>
      <c r="G473" s="1" t="s">
        <v>2775</v>
      </c>
      <c r="H473" s="1" t="s">
        <v>3066</v>
      </c>
      <c r="I473" s="1" t="s">
        <v>3071</v>
      </c>
      <c r="J473" s="1" t="s">
        <v>3546</v>
      </c>
      <c r="K473" s="1">
        <v>7</v>
      </c>
      <c r="L473" s="1" t="s">
        <v>4276</v>
      </c>
      <c r="M473" s="1" t="s">
        <v>4279</v>
      </c>
      <c r="N473" s="6" t="str">
        <f t="shared" si="15"/>
        <v>Apr</v>
      </c>
      <c r="O473" s="1">
        <v>2756.35</v>
      </c>
      <c r="T473" s="4"/>
      <c r="U473" s="1" t="str">
        <f t="shared" si="16"/>
        <v>Normal</v>
      </c>
    </row>
    <row r="474" spans="1:21" x14ac:dyDescent="0.25">
      <c r="A474" s="1" t="s">
        <v>486</v>
      </c>
      <c r="B474" s="4">
        <v>44932</v>
      </c>
      <c r="C474" s="1" t="s">
        <v>1686</v>
      </c>
      <c r="D474" s="1" t="s">
        <v>2406</v>
      </c>
      <c r="E474" s="1">
        <v>3</v>
      </c>
      <c r="F474" s="1">
        <v>508.12</v>
      </c>
      <c r="G474" s="1" t="s">
        <v>2776</v>
      </c>
      <c r="H474" s="1" t="s">
        <v>3067</v>
      </c>
      <c r="I474" s="1" t="s">
        <v>3071</v>
      </c>
      <c r="J474" s="1" t="s">
        <v>3547</v>
      </c>
      <c r="K474" s="1">
        <v>8</v>
      </c>
      <c r="L474" s="1" t="s">
        <v>4276</v>
      </c>
      <c r="M474" s="1" t="s">
        <v>4279</v>
      </c>
      <c r="N474" s="6" t="str">
        <f t="shared" si="15"/>
        <v>Jan</v>
      </c>
      <c r="O474" s="1">
        <v>1524.36</v>
      </c>
      <c r="T474" s="4"/>
      <c r="U474" s="1" t="str">
        <f t="shared" si="16"/>
        <v>Normal</v>
      </c>
    </row>
    <row r="475" spans="1:21" x14ac:dyDescent="0.25">
      <c r="A475" s="1" t="s">
        <v>487</v>
      </c>
      <c r="B475" s="4">
        <v>45713</v>
      </c>
      <c r="C475" s="1" t="s">
        <v>1687</v>
      </c>
      <c r="D475" s="1" t="s">
        <v>2406</v>
      </c>
      <c r="E475" s="1">
        <v>2</v>
      </c>
      <c r="F475" s="1">
        <v>14.93</v>
      </c>
      <c r="G475" s="1" t="s">
        <v>2777</v>
      </c>
      <c r="H475" s="1" t="s">
        <v>3066</v>
      </c>
      <c r="I475" s="1" t="s">
        <v>3070</v>
      </c>
      <c r="J475" s="1" t="s">
        <v>3548</v>
      </c>
      <c r="K475" s="1">
        <v>4</v>
      </c>
      <c r="L475" s="1" t="s">
        <v>4283</v>
      </c>
      <c r="M475" s="1" t="s">
        <v>4281</v>
      </c>
      <c r="N475" s="6" t="str">
        <f t="shared" si="15"/>
        <v>Feb</v>
      </c>
      <c r="O475" s="1">
        <v>29.86</v>
      </c>
      <c r="T475" s="4"/>
      <c r="U475" s="1" t="str">
        <f t="shared" si="16"/>
        <v>Normal</v>
      </c>
    </row>
    <row r="476" spans="1:21" x14ac:dyDescent="0.25">
      <c r="A476" s="1" t="s">
        <v>488</v>
      </c>
      <c r="B476" s="4">
        <v>45245</v>
      </c>
      <c r="C476" s="1" t="s">
        <v>1688</v>
      </c>
      <c r="D476" s="1" t="s">
        <v>2407</v>
      </c>
      <c r="E476" s="1">
        <v>3</v>
      </c>
      <c r="F476" s="1">
        <v>229.34</v>
      </c>
      <c r="G476" s="1" t="s">
        <v>2692</v>
      </c>
      <c r="H476" s="1" t="s">
        <v>3067</v>
      </c>
      <c r="I476" s="1" t="s">
        <v>3070</v>
      </c>
      <c r="J476" s="1" t="s">
        <v>3549</v>
      </c>
      <c r="K476" s="1">
        <v>6</v>
      </c>
      <c r="L476" s="1" t="s">
        <v>4275</v>
      </c>
      <c r="M476" s="1" t="s">
        <v>4279</v>
      </c>
      <c r="N476" s="6" t="str">
        <f t="shared" si="15"/>
        <v>Nov</v>
      </c>
      <c r="O476" s="1">
        <v>688.02</v>
      </c>
      <c r="T476" s="4"/>
      <c r="U476" s="1" t="str">
        <f t="shared" si="16"/>
        <v>Normal</v>
      </c>
    </row>
    <row r="477" spans="1:21" x14ac:dyDescent="0.25">
      <c r="A477" s="1" t="s">
        <v>489</v>
      </c>
      <c r="B477" s="4">
        <v>45766</v>
      </c>
      <c r="C477" s="1" t="s">
        <v>1689</v>
      </c>
      <c r="D477" s="1" t="s">
        <v>2405</v>
      </c>
      <c r="E477" s="1">
        <v>2</v>
      </c>
      <c r="F477" s="1">
        <v>438.62</v>
      </c>
      <c r="G477" s="1" t="s">
        <v>2778</v>
      </c>
      <c r="H477" s="1" t="s">
        <v>3069</v>
      </c>
      <c r="I477" s="1" t="s">
        <v>3071</v>
      </c>
      <c r="J477" s="1" t="s">
        <v>3550</v>
      </c>
      <c r="K477" s="1">
        <v>3</v>
      </c>
      <c r="L477" s="1" t="s">
        <v>4275</v>
      </c>
      <c r="M477" s="1" t="s">
        <v>4281</v>
      </c>
      <c r="N477" s="6" t="str">
        <f t="shared" si="15"/>
        <v>Apr</v>
      </c>
      <c r="O477" s="1">
        <v>877.24</v>
      </c>
      <c r="T477" s="4"/>
      <c r="U477" s="1" t="str">
        <f t="shared" si="16"/>
        <v>Normal</v>
      </c>
    </row>
    <row r="478" spans="1:21" x14ac:dyDescent="0.25">
      <c r="A478" s="1" t="s">
        <v>490</v>
      </c>
      <c r="B478" s="4">
        <v>45306</v>
      </c>
      <c r="C478" s="1" t="s">
        <v>1690</v>
      </c>
      <c r="D478" s="1" t="s">
        <v>2404</v>
      </c>
      <c r="E478" s="1">
        <v>2</v>
      </c>
      <c r="F478" s="1">
        <v>513.59</v>
      </c>
      <c r="G478" s="1" t="s">
        <v>2779</v>
      </c>
      <c r="H478" s="1" t="s">
        <v>3066</v>
      </c>
      <c r="I478" s="1" t="s">
        <v>3072</v>
      </c>
      <c r="J478" s="1" t="s">
        <v>3551</v>
      </c>
      <c r="K478" s="1">
        <v>4</v>
      </c>
      <c r="L478" s="1" t="s">
        <v>4276</v>
      </c>
      <c r="M478" s="1" t="s">
        <v>4279</v>
      </c>
      <c r="N478" s="6" t="str">
        <f t="shared" si="15"/>
        <v>Jan</v>
      </c>
      <c r="O478" s="1">
        <v>1027.18</v>
      </c>
      <c r="T478" s="4"/>
      <c r="U478" s="1" t="str">
        <f t="shared" si="16"/>
        <v>Normal</v>
      </c>
    </row>
    <row r="479" spans="1:21" x14ac:dyDescent="0.25">
      <c r="A479" s="1" t="s">
        <v>491</v>
      </c>
      <c r="B479" s="4">
        <v>45721</v>
      </c>
      <c r="C479" s="1" t="s">
        <v>1691</v>
      </c>
      <c r="D479" s="1" t="s">
        <v>2404</v>
      </c>
      <c r="E479" s="1">
        <v>2</v>
      </c>
      <c r="F479" s="1">
        <v>253.74</v>
      </c>
      <c r="G479" s="1" t="s">
        <v>2780</v>
      </c>
      <c r="H479" s="1" t="s">
        <v>3066</v>
      </c>
      <c r="I479" s="1" t="s">
        <v>3070</v>
      </c>
      <c r="J479" s="1" t="s">
        <v>3552</v>
      </c>
      <c r="K479" s="1">
        <v>5</v>
      </c>
      <c r="L479" s="1" t="s">
        <v>4275</v>
      </c>
      <c r="M479" s="1" t="s">
        <v>4282</v>
      </c>
      <c r="N479" s="6" t="str">
        <f t="shared" si="15"/>
        <v>Mar</v>
      </c>
      <c r="O479" s="1">
        <v>507.48</v>
      </c>
      <c r="T479" s="4"/>
      <c r="U479" s="1" t="str">
        <f t="shared" si="16"/>
        <v>Normal</v>
      </c>
    </row>
    <row r="480" spans="1:21" x14ac:dyDescent="0.25">
      <c r="A480" s="1" t="s">
        <v>492</v>
      </c>
      <c r="B480" s="4">
        <v>45597</v>
      </c>
      <c r="C480" s="1" t="s">
        <v>1692</v>
      </c>
      <c r="D480" s="1" t="s">
        <v>2405</v>
      </c>
      <c r="E480" s="1">
        <v>3</v>
      </c>
      <c r="F480" s="1">
        <v>62.77</v>
      </c>
      <c r="G480" s="1" t="s">
        <v>2426</v>
      </c>
      <c r="H480" s="1" t="s">
        <v>3068</v>
      </c>
      <c r="I480" s="1" t="s">
        <v>3070</v>
      </c>
      <c r="J480" s="1" t="s">
        <v>3553</v>
      </c>
      <c r="K480" s="1">
        <v>6</v>
      </c>
      <c r="L480" s="1" t="s">
        <v>4276</v>
      </c>
      <c r="M480" s="1" t="s">
        <v>4279</v>
      </c>
      <c r="N480" s="6" t="str">
        <f t="shared" si="15"/>
        <v>Nov</v>
      </c>
      <c r="O480" s="1">
        <v>188.31</v>
      </c>
      <c r="T480" s="4"/>
      <c r="U480" s="1" t="str">
        <f t="shared" si="16"/>
        <v>Normal</v>
      </c>
    </row>
    <row r="481" spans="1:21" x14ac:dyDescent="0.25">
      <c r="A481" s="1" t="s">
        <v>493</v>
      </c>
      <c r="B481" s="4">
        <v>44975</v>
      </c>
      <c r="C481" s="1" t="s">
        <v>1693</v>
      </c>
      <c r="D481" s="1" t="s">
        <v>2403</v>
      </c>
      <c r="E481" s="1">
        <v>4</v>
      </c>
      <c r="F481" s="1">
        <v>25.29</v>
      </c>
      <c r="G481" s="1" t="s">
        <v>2781</v>
      </c>
      <c r="H481" s="1" t="s">
        <v>3067</v>
      </c>
      <c r="I481" s="1" t="s">
        <v>3074</v>
      </c>
      <c r="J481" s="1" t="s">
        <v>3554</v>
      </c>
      <c r="K481" s="1">
        <v>8</v>
      </c>
      <c r="L481" s="1" t="s">
        <v>4283</v>
      </c>
      <c r="M481" s="1" t="s">
        <v>4282</v>
      </c>
      <c r="N481" s="6" t="str">
        <f t="shared" si="15"/>
        <v>Feb</v>
      </c>
      <c r="O481" s="1">
        <v>101.16</v>
      </c>
      <c r="T481" s="4"/>
      <c r="U481" s="1" t="str">
        <f t="shared" si="16"/>
        <v>Normal</v>
      </c>
    </row>
    <row r="482" spans="1:21" x14ac:dyDescent="0.25">
      <c r="A482" s="1" t="s">
        <v>494</v>
      </c>
      <c r="B482" s="4">
        <v>45093</v>
      </c>
      <c r="C482" s="1" t="s">
        <v>1694</v>
      </c>
      <c r="D482" s="1" t="s">
        <v>2406</v>
      </c>
      <c r="E482" s="1">
        <v>1</v>
      </c>
      <c r="F482" s="1">
        <v>335.1</v>
      </c>
      <c r="G482" s="1" t="s">
        <v>2509</v>
      </c>
      <c r="H482" s="1" t="s">
        <v>3065</v>
      </c>
      <c r="I482" s="1" t="s">
        <v>3074</v>
      </c>
      <c r="J482" s="1" t="s">
        <v>3555</v>
      </c>
      <c r="K482" s="1">
        <v>6</v>
      </c>
      <c r="L482" s="1" t="s">
        <v>4276</v>
      </c>
      <c r="M482" s="1" t="s">
        <v>4279</v>
      </c>
      <c r="N482" s="6" t="str">
        <f t="shared" si="15"/>
        <v>Jun</v>
      </c>
      <c r="O482" s="1">
        <v>335.1</v>
      </c>
      <c r="T482" s="4"/>
      <c r="U482" s="1" t="str">
        <f t="shared" si="16"/>
        <v>Normal</v>
      </c>
    </row>
    <row r="483" spans="1:21" x14ac:dyDescent="0.25">
      <c r="A483" s="1" t="s">
        <v>495</v>
      </c>
      <c r="B483" s="4">
        <v>45039</v>
      </c>
      <c r="C483" s="1" t="s">
        <v>1695</v>
      </c>
      <c r="D483" s="1" t="s">
        <v>2408</v>
      </c>
      <c r="E483" s="1">
        <v>4</v>
      </c>
      <c r="F483" s="1">
        <v>484.85</v>
      </c>
      <c r="G483" s="1" t="s">
        <v>2596</v>
      </c>
      <c r="H483" s="1" t="s">
        <v>3065</v>
      </c>
      <c r="I483" s="1" t="s">
        <v>3073</v>
      </c>
      <c r="J483" s="1" t="s">
        <v>3556</v>
      </c>
      <c r="K483" s="1">
        <v>5</v>
      </c>
      <c r="L483" s="1" t="s">
        <v>4277</v>
      </c>
      <c r="M483" s="1" t="s">
        <v>4279</v>
      </c>
      <c r="N483" s="6" t="str">
        <f t="shared" si="15"/>
        <v>Apr</v>
      </c>
      <c r="O483" s="1">
        <v>1939.4</v>
      </c>
      <c r="T483" s="4"/>
      <c r="U483" s="1" t="str">
        <f t="shared" si="16"/>
        <v>Normal</v>
      </c>
    </row>
    <row r="484" spans="1:21" x14ac:dyDescent="0.25">
      <c r="A484" s="1" t="s">
        <v>496</v>
      </c>
      <c r="B484" s="4">
        <v>45718</v>
      </c>
      <c r="C484" s="1" t="s">
        <v>1696</v>
      </c>
      <c r="D484" s="1" t="s">
        <v>2403</v>
      </c>
      <c r="E484" s="1">
        <v>3</v>
      </c>
      <c r="F484" s="1">
        <v>381.41</v>
      </c>
      <c r="G484" s="1" t="s">
        <v>2487</v>
      </c>
      <c r="H484" s="1" t="s">
        <v>3066</v>
      </c>
      <c r="I484" s="1" t="s">
        <v>3074</v>
      </c>
      <c r="J484" s="1" t="s">
        <v>3557</v>
      </c>
      <c r="K484" s="1">
        <v>6</v>
      </c>
      <c r="L484" s="1" t="s">
        <v>4283</v>
      </c>
      <c r="M484" s="1" t="s">
        <v>4278</v>
      </c>
      <c r="N484" s="6" t="str">
        <f t="shared" si="15"/>
        <v>Mar</v>
      </c>
      <c r="O484" s="1">
        <v>1144.23</v>
      </c>
      <c r="T484" s="4"/>
      <c r="U484" s="1" t="str">
        <f t="shared" si="16"/>
        <v>Normal</v>
      </c>
    </row>
    <row r="485" spans="1:21" x14ac:dyDescent="0.25">
      <c r="A485" s="1" t="s">
        <v>497</v>
      </c>
      <c r="B485" s="4">
        <v>44944</v>
      </c>
      <c r="C485" s="1" t="s">
        <v>1697</v>
      </c>
      <c r="D485" s="1" t="s">
        <v>2404</v>
      </c>
      <c r="E485" s="1">
        <v>5</v>
      </c>
      <c r="F485" s="1">
        <v>347.92</v>
      </c>
      <c r="G485" s="1" t="s">
        <v>2782</v>
      </c>
      <c r="H485" s="1" t="s">
        <v>3069</v>
      </c>
      <c r="I485" s="1" t="s">
        <v>3074</v>
      </c>
      <c r="J485" s="1" t="s">
        <v>3558</v>
      </c>
      <c r="K485" s="1">
        <v>6</v>
      </c>
      <c r="L485" s="1" t="s">
        <v>4277</v>
      </c>
      <c r="M485" s="1" t="s">
        <v>4282</v>
      </c>
      <c r="N485" s="6" t="str">
        <f t="shared" si="15"/>
        <v>Jan</v>
      </c>
      <c r="O485" s="1">
        <v>1739.6</v>
      </c>
      <c r="T485" s="4"/>
      <c r="U485" s="1" t="str">
        <f t="shared" si="16"/>
        <v>Normal</v>
      </c>
    </row>
    <row r="486" spans="1:21" x14ac:dyDescent="0.25">
      <c r="A486" s="1" t="s">
        <v>498</v>
      </c>
      <c r="B486" s="4">
        <v>45441</v>
      </c>
      <c r="C486" s="1" t="s">
        <v>1698</v>
      </c>
      <c r="D486" s="1" t="s">
        <v>2406</v>
      </c>
      <c r="E486" s="1">
        <v>4</v>
      </c>
      <c r="F486" s="1">
        <v>15.01</v>
      </c>
      <c r="G486" s="1" t="s">
        <v>2736</v>
      </c>
      <c r="H486" s="1" t="s">
        <v>3069</v>
      </c>
      <c r="I486" s="1" t="s">
        <v>3071</v>
      </c>
      <c r="J486" s="1" t="s">
        <v>3559</v>
      </c>
      <c r="K486" s="1">
        <v>6</v>
      </c>
      <c r="L486" s="1" t="s">
        <v>4283</v>
      </c>
      <c r="M486" s="1" t="s">
        <v>4281</v>
      </c>
      <c r="N486" s="6" t="str">
        <f t="shared" si="15"/>
        <v>May</v>
      </c>
      <c r="O486" s="1">
        <v>60.04</v>
      </c>
      <c r="T486" s="4"/>
      <c r="U486" s="1" t="str">
        <f t="shared" si="16"/>
        <v>Normal</v>
      </c>
    </row>
    <row r="487" spans="1:21" x14ac:dyDescent="0.25">
      <c r="A487" s="1" t="s">
        <v>499</v>
      </c>
      <c r="B487" s="4">
        <v>45139</v>
      </c>
      <c r="C487" s="1" t="s">
        <v>1699</v>
      </c>
      <c r="D487" s="1" t="s">
        <v>2406</v>
      </c>
      <c r="E487" s="1">
        <v>3</v>
      </c>
      <c r="F487" s="1">
        <v>404.79</v>
      </c>
      <c r="G487" s="1" t="s">
        <v>2783</v>
      </c>
      <c r="H487" s="1" t="s">
        <v>3069</v>
      </c>
      <c r="I487" s="1" t="s">
        <v>3070</v>
      </c>
      <c r="J487" s="1" t="s">
        <v>3560</v>
      </c>
      <c r="K487" s="1">
        <v>6</v>
      </c>
      <c r="L487" s="1" t="s">
        <v>4275</v>
      </c>
      <c r="M487" s="1" t="s">
        <v>4278</v>
      </c>
      <c r="N487" s="6" t="str">
        <f t="shared" si="15"/>
        <v>Aug</v>
      </c>
      <c r="O487" s="1">
        <v>1214.3699999999999</v>
      </c>
      <c r="T487" s="4"/>
      <c r="U487" s="1" t="str">
        <f t="shared" si="16"/>
        <v>Normal</v>
      </c>
    </row>
    <row r="488" spans="1:21" x14ac:dyDescent="0.25">
      <c r="A488" s="1" t="s">
        <v>500</v>
      </c>
      <c r="B488" s="4">
        <v>44960</v>
      </c>
      <c r="C488" s="1" t="s">
        <v>1700</v>
      </c>
      <c r="D488" s="1" t="s">
        <v>2407</v>
      </c>
      <c r="E488" s="1">
        <v>4</v>
      </c>
      <c r="F488" s="1">
        <v>611.26</v>
      </c>
      <c r="G488" s="1" t="s">
        <v>2727</v>
      </c>
      <c r="H488" s="1" t="s">
        <v>3069</v>
      </c>
      <c r="I488" s="1" t="s">
        <v>3070</v>
      </c>
      <c r="J488" s="1" t="s">
        <v>3561</v>
      </c>
      <c r="K488" s="1">
        <v>5</v>
      </c>
      <c r="L488" s="1" t="s">
        <v>4275</v>
      </c>
      <c r="M488" s="1" t="s">
        <v>4279</v>
      </c>
      <c r="N488" s="6" t="str">
        <f t="shared" si="15"/>
        <v>Feb</v>
      </c>
      <c r="O488" s="1">
        <v>2445.04</v>
      </c>
      <c r="T488" s="4"/>
      <c r="U488" s="1" t="str">
        <f t="shared" si="16"/>
        <v>Normal</v>
      </c>
    </row>
    <row r="489" spans="1:21" x14ac:dyDescent="0.25">
      <c r="A489" s="1" t="s">
        <v>501</v>
      </c>
      <c r="B489" s="4">
        <v>44994</v>
      </c>
      <c r="C489" s="1" t="s">
        <v>1701</v>
      </c>
      <c r="D489" s="1" t="s">
        <v>2407</v>
      </c>
      <c r="E489" s="1">
        <v>3</v>
      </c>
      <c r="F489" s="1">
        <v>346.52</v>
      </c>
      <c r="G489" s="1" t="s">
        <v>2784</v>
      </c>
      <c r="H489" s="1" t="s">
        <v>3067</v>
      </c>
      <c r="I489" s="1" t="s">
        <v>3074</v>
      </c>
      <c r="J489" s="1" t="s">
        <v>3562</v>
      </c>
      <c r="K489" s="1">
        <v>3</v>
      </c>
      <c r="L489" s="1" t="s">
        <v>4275</v>
      </c>
      <c r="M489" s="1" t="s">
        <v>4282</v>
      </c>
      <c r="N489" s="6" t="str">
        <f t="shared" si="15"/>
        <v>Mar</v>
      </c>
      <c r="O489" s="1">
        <v>1039.56</v>
      </c>
      <c r="T489" s="4"/>
      <c r="U489" s="1" t="str">
        <f t="shared" si="16"/>
        <v>Normal</v>
      </c>
    </row>
    <row r="490" spans="1:21" x14ac:dyDescent="0.25">
      <c r="A490" s="1" t="s">
        <v>502</v>
      </c>
      <c r="B490" s="4">
        <v>45631</v>
      </c>
      <c r="C490" s="1" t="s">
        <v>1702</v>
      </c>
      <c r="D490" s="1" t="s">
        <v>2406</v>
      </c>
      <c r="E490" s="1">
        <v>1</v>
      </c>
      <c r="F490" s="1">
        <v>36.65</v>
      </c>
      <c r="G490" s="1" t="s">
        <v>2785</v>
      </c>
      <c r="H490" s="1" t="s">
        <v>3066</v>
      </c>
      <c r="I490" s="1" t="s">
        <v>3071</v>
      </c>
      <c r="J490" s="1" t="s">
        <v>3563</v>
      </c>
      <c r="K490" s="1">
        <v>1</v>
      </c>
      <c r="L490" s="1" t="s">
        <v>4277</v>
      </c>
      <c r="M490" s="1" t="s">
        <v>4280</v>
      </c>
      <c r="N490" s="6" t="str">
        <f t="shared" si="15"/>
        <v>Dec</v>
      </c>
      <c r="O490" s="1">
        <v>36.65</v>
      </c>
      <c r="T490" s="4"/>
      <c r="U490" s="1" t="str">
        <f t="shared" si="16"/>
        <v>Normal</v>
      </c>
    </row>
    <row r="491" spans="1:21" x14ac:dyDescent="0.25">
      <c r="A491" s="1" t="s">
        <v>503</v>
      </c>
      <c r="B491" s="4">
        <v>45174</v>
      </c>
      <c r="C491" s="1" t="s">
        <v>1703</v>
      </c>
      <c r="D491" s="1" t="s">
        <v>2405</v>
      </c>
      <c r="E491" s="1">
        <v>3</v>
      </c>
      <c r="F491" s="1">
        <v>149.34</v>
      </c>
      <c r="G491" s="1" t="s">
        <v>2637</v>
      </c>
      <c r="H491" s="1" t="s">
        <v>3068</v>
      </c>
      <c r="I491" s="1" t="s">
        <v>3071</v>
      </c>
      <c r="J491" s="1" t="s">
        <v>3564</v>
      </c>
      <c r="K491" s="1">
        <v>7</v>
      </c>
      <c r="L491" s="1" t="s">
        <v>4277</v>
      </c>
      <c r="M491" s="1" t="s">
        <v>4280</v>
      </c>
      <c r="N491" s="6" t="str">
        <f t="shared" si="15"/>
        <v>Sep</v>
      </c>
      <c r="O491" s="1">
        <v>448.02</v>
      </c>
      <c r="T491" s="4"/>
      <c r="U491" s="1" t="str">
        <f t="shared" si="16"/>
        <v>Normal</v>
      </c>
    </row>
    <row r="492" spans="1:21" x14ac:dyDescent="0.25">
      <c r="A492" s="1" t="s">
        <v>504</v>
      </c>
      <c r="B492" s="4">
        <v>45495</v>
      </c>
      <c r="C492" s="1" t="s">
        <v>1704</v>
      </c>
      <c r="D492" s="1" t="s">
        <v>2406</v>
      </c>
      <c r="E492" s="1">
        <v>5</v>
      </c>
      <c r="F492" s="1">
        <v>467.81</v>
      </c>
      <c r="G492" s="1" t="s">
        <v>2786</v>
      </c>
      <c r="H492" s="1" t="s">
        <v>3066</v>
      </c>
      <c r="I492" s="1" t="s">
        <v>3071</v>
      </c>
      <c r="J492" s="1" t="s">
        <v>3565</v>
      </c>
      <c r="K492" s="1">
        <v>10</v>
      </c>
      <c r="L492" s="1" t="s">
        <v>4283</v>
      </c>
      <c r="M492" s="1" t="s">
        <v>4281</v>
      </c>
      <c r="N492" s="6" t="str">
        <f t="shared" si="15"/>
        <v>Jul</v>
      </c>
      <c r="O492" s="1">
        <v>2339.0500000000002</v>
      </c>
      <c r="T492" s="4"/>
      <c r="U492" s="1" t="str">
        <f t="shared" si="16"/>
        <v>Normal</v>
      </c>
    </row>
    <row r="493" spans="1:21" x14ac:dyDescent="0.25">
      <c r="A493" s="1" t="s">
        <v>505</v>
      </c>
      <c r="B493" s="4">
        <v>44931</v>
      </c>
      <c r="C493" s="1" t="s">
        <v>1705</v>
      </c>
      <c r="D493" s="1" t="s">
        <v>2404</v>
      </c>
      <c r="E493" s="1">
        <v>5</v>
      </c>
      <c r="F493" s="1">
        <v>420.7</v>
      </c>
      <c r="G493" s="1" t="s">
        <v>2780</v>
      </c>
      <c r="H493" s="1" t="s">
        <v>3069</v>
      </c>
      <c r="I493" s="1" t="s">
        <v>3074</v>
      </c>
      <c r="J493" s="1" t="s">
        <v>3566</v>
      </c>
      <c r="K493" s="1">
        <v>5</v>
      </c>
      <c r="L493" s="1" t="s">
        <v>4277</v>
      </c>
      <c r="M493" s="1" t="s">
        <v>4281</v>
      </c>
      <c r="N493" s="6" t="str">
        <f t="shared" si="15"/>
        <v>Jan</v>
      </c>
      <c r="O493" s="1">
        <v>2103.5</v>
      </c>
      <c r="T493" s="4"/>
      <c r="U493" s="1" t="str">
        <f t="shared" si="16"/>
        <v>Normal</v>
      </c>
    </row>
    <row r="494" spans="1:21" x14ac:dyDescent="0.25">
      <c r="A494" s="1" t="s">
        <v>506</v>
      </c>
      <c r="B494" s="4">
        <v>45224</v>
      </c>
      <c r="C494" s="1" t="s">
        <v>1706</v>
      </c>
      <c r="D494" s="1" t="s">
        <v>2408</v>
      </c>
      <c r="E494" s="1">
        <v>5</v>
      </c>
      <c r="F494" s="1">
        <v>606.52</v>
      </c>
      <c r="G494" s="1" t="s">
        <v>2483</v>
      </c>
      <c r="H494" s="1" t="s">
        <v>3065</v>
      </c>
      <c r="I494" s="1" t="s">
        <v>3070</v>
      </c>
      <c r="J494" s="1" t="s">
        <v>3567</v>
      </c>
      <c r="K494" s="1">
        <v>6</v>
      </c>
      <c r="L494" s="1" t="s">
        <v>4275</v>
      </c>
      <c r="M494" s="1" t="s">
        <v>4278</v>
      </c>
      <c r="N494" s="6" t="str">
        <f t="shared" si="15"/>
        <v>Oct</v>
      </c>
      <c r="O494" s="1">
        <v>3032.6</v>
      </c>
      <c r="T494" s="4"/>
      <c r="U494" s="1" t="str">
        <f t="shared" si="16"/>
        <v>Normal</v>
      </c>
    </row>
    <row r="495" spans="1:21" x14ac:dyDescent="0.25">
      <c r="A495" s="1" t="s">
        <v>507</v>
      </c>
      <c r="B495" s="4">
        <v>45685</v>
      </c>
      <c r="C495" s="1" t="s">
        <v>1707</v>
      </c>
      <c r="D495" s="1" t="s">
        <v>2404</v>
      </c>
      <c r="E495" s="1">
        <v>1</v>
      </c>
      <c r="F495" s="1">
        <v>420.26</v>
      </c>
      <c r="G495" s="1" t="s">
        <v>2787</v>
      </c>
      <c r="H495" s="1" t="s">
        <v>3067</v>
      </c>
      <c r="I495" s="1" t="s">
        <v>3074</v>
      </c>
      <c r="J495" s="1" t="s">
        <v>3568</v>
      </c>
      <c r="K495" s="1">
        <v>4</v>
      </c>
      <c r="L495" s="1" t="s">
        <v>4276</v>
      </c>
      <c r="M495" s="1" t="s">
        <v>4281</v>
      </c>
      <c r="N495" s="6" t="str">
        <f t="shared" si="15"/>
        <v>Jan</v>
      </c>
      <c r="O495" s="1">
        <v>420.26</v>
      </c>
      <c r="T495" s="4"/>
      <c r="U495" s="1" t="str">
        <f t="shared" si="16"/>
        <v>Normal</v>
      </c>
    </row>
    <row r="496" spans="1:21" x14ac:dyDescent="0.25">
      <c r="A496" s="1" t="s">
        <v>508</v>
      </c>
      <c r="B496" s="4">
        <v>45126</v>
      </c>
      <c r="C496" s="1" t="s">
        <v>1708</v>
      </c>
      <c r="D496" s="1" t="s">
        <v>2408</v>
      </c>
      <c r="E496" s="1">
        <v>3</v>
      </c>
      <c r="F496" s="1">
        <v>505.79</v>
      </c>
      <c r="G496" s="1" t="s">
        <v>2788</v>
      </c>
      <c r="H496" s="1" t="s">
        <v>3065</v>
      </c>
      <c r="I496" s="1" t="s">
        <v>3074</v>
      </c>
      <c r="J496" s="1" t="s">
        <v>3569</v>
      </c>
      <c r="K496" s="1">
        <v>3</v>
      </c>
      <c r="L496" s="1" t="s">
        <v>4276</v>
      </c>
      <c r="M496" s="1" t="s">
        <v>4279</v>
      </c>
      <c r="N496" s="6" t="str">
        <f t="shared" si="15"/>
        <v>Jul</v>
      </c>
      <c r="O496" s="1">
        <v>1517.37</v>
      </c>
      <c r="T496" s="4"/>
      <c r="U496" s="1" t="str">
        <f t="shared" si="16"/>
        <v>Normal</v>
      </c>
    </row>
    <row r="497" spans="1:21" x14ac:dyDescent="0.25">
      <c r="A497" s="1" t="s">
        <v>509</v>
      </c>
      <c r="B497" s="4">
        <v>45813</v>
      </c>
      <c r="C497" s="1" t="s">
        <v>1709</v>
      </c>
      <c r="D497" s="1" t="s">
        <v>2404</v>
      </c>
      <c r="E497" s="1">
        <v>4</v>
      </c>
      <c r="F497" s="1">
        <v>493.73</v>
      </c>
      <c r="G497" s="1" t="s">
        <v>2550</v>
      </c>
      <c r="H497" s="1" t="s">
        <v>3065</v>
      </c>
      <c r="I497" s="1" t="s">
        <v>3074</v>
      </c>
      <c r="J497" s="1" t="s">
        <v>3570</v>
      </c>
      <c r="K497" s="1">
        <v>6</v>
      </c>
      <c r="L497" s="1" t="s">
        <v>4275</v>
      </c>
      <c r="M497" s="1" t="s">
        <v>4281</v>
      </c>
      <c r="N497" s="6" t="str">
        <f t="shared" si="15"/>
        <v>Jun</v>
      </c>
      <c r="O497" s="1">
        <v>1974.92</v>
      </c>
      <c r="T497" s="4"/>
      <c r="U497" s="1" t="str">
        <f t="shared" si="16"/>
        <v>Normal</v>
      </c>
    </row>
    <row r="498" spans="1:21" x14ac:dyDescent="0.25">
      <c r="A498" s="1" t="s">
        <v>510</v>
      </c>
      <c r="B498" s="4">
        <v>45730</v>
      </c>
      <c r="C498" s="1" t="s">
        <v>1710</v>
      </c>
      <c r="D498" s="1" t="s">
        <v>2407</v>
      </c>
      <c r="E498" s="1">
        <v>3</v>
      </c>
      <c r="F498" s="1">
        <v>201.21</v>
      </c>
      <c r="G498" s="1" t="s">
        <v>2789</v>
      </c>
      <c r="H498" s="1" t="s">
        <v>3066</v>
      </c>
      <c r="I498" s="1" t="s">
        <v>3071</v>
      </c>
      <c r="J498" s="1" t="s">
        <v>3571</v>
      </c>
      <c r="K498" s="1">
        <v>3</v>
      </c>
      <c r="L498" s="1" t="s">
        <v>4275</v>
      </c>
      <c r="M498" s="1" t="s">
        <v>4282</v>
      </c>
      <c r="N498" s="6" t="str">
        <f t="shared" si="15"/>
        <v>Mar</v>
      </c>
      <c r="O498" s="1">
        <v>603.63</v>
      </c>
      <c r="T498" s="4"/>
      <c r="U498" s="1" t="str">
        <f t="shared" si="16"/>
        <v>Normal</v>
      </c>
    </row>
    <row r="499" spans="1:21" x14ac:dyDescent="0.25">
      <c r="A499" s="1" t="s">
        <v>511</v>
      </c>
      <c r="B499" s="4">
        <v>45589</v>
      </c>
      <c r="C499" s="1" t="s">
        <v>1711</v>
      </c>
      <c r="D499" s="1" t="s">
        <v>2407</v>
      </c>
      <c r="E499" s="1">
        <v>3</v>
      </c>
      <c r="F499" s="1">
        <v>112.29</v>
      </c>
      <c r="G499" s="1" t="s">
        <v>2790</v>
      </c>
      <c r="H499" s="1" t="s">
        <v>3068</v>
      </c>
      <c r="I499" s="1" t="s">
        <v>3070</v>
      </c>
      <c r="J499" s="1" t="s">
        <v>3572</v>
      </c>
      <c r="K499" s="1">
        <v>6</v>
      </c>
      <c r="L499" s="1" t="s">
        <v>4283</v>
      </c>
      <c r="M499" s="1" t="s">
        <v>4282</v>
      </c>
      <c r="N499" s="6" t="str">
        <f t="shared" si="15"/>
        <v>Oct</v>
      </c>
      <c r="O499" s="1">
        <v>336.87</v>
      </c>
      <c r="T499" s="4"/>
      <c r="U499" s="1" t="str">
        <f t="shared" si="16"/>
        <v>Normal</v>
      </c>
    </row>
    <row r="500" spans="1:21" x14ac:dyDescent="0.25">
      <c r="A500" s="1" t="s">
        <v>512</v>
      </c>
      <c r="B500" s="4">
        <v>45119</v>
      </c>
      <c r="C500" s="1" t="s">
        <v>1712</v>
      </c>
      <c r="D500" s="1" t="s">
        <v>2405</v>
      </c>
      <c r="E500" s="1">
        <v>4</v>
      </c>
      <c r="F500" s="1">
        <v>132.56</v>
      </c>
      <c r="G500" s="1" t="s">
        <v>2622</v>
      </c>
      <c r="H500" s="1" t="s">
        <v>3069</v>
      </c>
      <c r="I500" s="1" t="s">
        <v>3072</v>
      </c>
      <c r="J500" s="1" t="s">
        <v>3573</v>
      </c>
      <c r="K500" s="1">
        <v>8</v>
      </c>
      <c r="L500" s="1" t="s">
        <v>4277</v>
      </c>
      <c r="M500" s="1" t="s">
        <v>4278</v>
      </c>
      <c r="N500" s="6" t="str">
        <f t="shared" si="15"/>
        <v>Jul</v>
      </c>
      <c r="O500" s="1">
        <v>530.24</v>
      </c>
      <c r="T500" s="4"/>
      <c r="U500" s="1" t="str">
        <f t="shared" si="16"/>
        <v>Normal</v>
      </c>
    </row>
    <row r="501" spans="1:21" x14ac:dyDescent="0.25">
      <c r="A501" s="1" t="s">
        <v>513</v>
      </c>
      <c r="B501" s="4">
        <v>45022</v>
      </c>
      <c r="C501" s="1" t="s">
        <v>1713</v>
      </c>
      <c r="D501" s="1" t="s">
        <v>2407</v>
      </c>
      <c r="E501" s="1">
        <v>3</v>
      </c>
      <c r="F501" s="1">
        <v>539.46</v>
      </c>
      <c r="G501" s="1" t="s">
        <v>2791</v>
      </c>
      <c r="H501" s="1" t="s">
        <v>3067</v>
      </c>
      <c r="I501" s="1" t="s">
        <v>3070</v>
      </c>
      <c r="J501" s="1" t="s">
        <v>3574</v>
      </c>
      <c r="K501" s="1">
        <v>4</v>
      </c>
      <c r="L501" s="1" t="s">
        <v>4275</v>
      </c>
      <c r="M501" s="1" t="s">
        <v>4281</v>
      </c>
      <c r="N501" s="6" t="str">
        <f t="shared" si="15"/>
        <v>Apr</v>
      </c>
      <c r="O501" s="1">
        <v>1618.38</v>
      </c>
      <c r="T501" s="4"/>
      <c r="U501" s="1" t="str">
        <f t="shared" si="16"/>
        <v>Normal</v>
      </c>
    </row>
    <row r="502" spans="1:21" x14ac:dyDescent="0.25">
      <c r="A502" s="1" t="s">
        <v>514</v>
      </c>
      <c r="B502" s="4">
        <v>45389</v>
      </c>
      <c r="C502" s="1" t="s">
        <v>1714</v>
      </c>
      <c r="D502" s="1" t="s">
        <v>2408</v>
      </c>
      <c r="E502" s="1">
        <v>5</v>
      </c>
      <c r="F502" s="1">
        <v>508.59</v>
      </c>
      <c r="G502" s="1" t="s">
        <v>2792</v>
      </c>
      <c r="H502" s="1" t="s">
        <v>3069</v>
      </c>
      <c r="I502" s="1" t="s">
        <v>3072</v>
      </c>
      <c r="J502" s="1" t="s">
        <v>3575</v>
      </c>
      <c r="K502" s="1">
        <v>8</v>
      </c>
      <c r="L502" s="1" t="s">
        <v>4277</v>
      </c>
      <c r="M502" s="1" t="s">
        <v>4281</v>
      </c>
      <c r="N502" s="6" t="str">
        <f t="shared" si="15"/>
        <v>Apr</v>
      </c>
      <c r="O502" s="1">
        <v>2542.9499999999998</v>
      </c>
      <c r="T502" s="4"/>
      <c r="U502" s="1" t="str">
        <f t="shared" si="16"/>
        <v>Normal</v>
      </c>
    </row>
    <row r="503" spans="1:21" x14ac:dyDescent="0.25">
      <c r="A503" s="1" t="s">
        <v>515</v>
      </c>
      <c r="B503" s="4">
        <v>45326</v>
      </c>
      <c r="C503" s="1" t="s">
        <v>1715</v>
      </c>
      <c r="D503" s="1" t="s">
        <v>2409</v>
      </c>
      <c r="E503" s="1">
        <v>4</v>
      </c>
      <c r="F503" s="1">
        <v>203.46</v>
      </c>
      <c r="G503" s="1" t="s">
        <v>2559</v>
      </c>
      <c r="H503" s="1" t="s">
        <v>3067</v>
      </c>
      <c r="I503" s="1" t="s">
        <v>3074</v>
      </c>
      <c r="J503" s="1" t="s">
        <v>3576</v>
      </c>
      <c r="K503" s="1">
        <v>7</v>
      </c>
      <c r="L503" s="1" t="s">
        <v>4275</v>
      </c>
      <c r="M503" s="1" t="s">
        <v>4279</v>
      </c>
      <c r="N503" s="6" t="str">
        <f t="shared" si="15"/>
        <v>Feb</v>
      </c>
      <c r="O503" s="1">
        <v>813.84</v>
      </c>
      <c r="T503" s="4"/>
      <c r="U503" s="1" t="str">
        <f t="shared" si="16"/>
        <v>Normal</v>
      </c>
    </row>
    <row r="504" spans="1:21" x14ac:dyDescent="0.25">
      <c r="A504" s="1" t="s">
        <v>516</v>
      </c>
      <c r="B504" s="4">
        <v>45066</v>
      </c>
      <c r="C504" s="1" t="s">
        <v>1716</v>
      </c>
      <c r="D504" s="1" t="s">
        <v>2403</v>
      </c>
      <c r="E504" s="1">
        <v>3</v>
      </c>
      <c r="F504" s="1">
        <v>565.25</v>
      </c>
      <c r="G504" s="1" t="s">
        <v>2793</v>
      </c>
      <c r="H504" s="1" t="s">
        <v>3065</v>
      </c>
      <c r="I504" s="1" t="s">
        <v>3072</v>
      </c>
      <c r="J504" s="1" t="s">
        <v>3577</v>
      </c>
      <c r="K504" s="1">
        <v>7</v>
      </c>
      <c r="L504" s="1" t="s">
        <v>4275</v>
      </c>
      <c r="M504" s="1" t="s">
        <v>4280</v>
      </c>
      <c r="N504" s="6" t="str">
        <f t="shared" si="15"/>
        <v>May</v>
      </c>
      <c r="O504" s="1">
        <v>1695.75</v>
      </c>
      <c r="T504" s="4"/>
      <c r="U504" s="1" t="str">
        <f t="shared" si="16"/>
        <v>Normal</v>
      </c>
    </row>
    <row r="505" spans="1:21" x14ac:dyDescent="0.25">
      <c r="A505" s="1" t="s">
        <v>517</v>
      </c>
      <c r="B505" s="4">
        <v>45169</v>
      </c>
      <c r="C505" s="1" t="s">
        <v>1717</v>
      </c>
      <c r="D505" s="1" t="s">
        <v>2405</v>
      </c>
      <c r="E505" s="1">
        <v>3</v>
      </c>
      <c r="F505" s="1">
        <v>136.84</v>
      </c>
      <c r="G505" s="1" t="s">
        <v>2794</v>
      </c>
      <c r="H505" s="1" t="s">
        <v>3066</v>
      </c>
      <c r="I505" s="1" t="s">
        <v>3074</v>
      </c>
      <c r="J505" s="1" t="s">
        <v>3578</v>
      </c>
      <c r="K505" s="1">
        <v>4</v>
      </c>
      <c r="L505" s="1" t="s">
        <v>4276</v>
      </c>
      <c r="M505" s="1" t="s">
        <v>4281</v>
      </c>
      <c r="N505" s="6" t="str">
        <f t="shared" si="15"/>
        <v>Aug</v>
      </c>
      <c r="O505" s="1">
        <v>410.52</v>
      </c>
      <c r="T505" s="4"/>
      <c r="U505" s="1" t="str">
        <f t="shared" si="16"/>
        <v>Normal</v>
      </c>
    </row>
    <row r="506" spans="1:21" x14ac:dyDescent="0.25">
      <c r="A506" s="1" t="s">
        <v>518</v>
      </c>
      <c r="B506" s="4">
        <v>45819</v>
      </c>
      <c r="C506" s="1" t="s">
        <v>1718</v>
      </c>
      <c r="D506" s="1" t="s">
        <v>2403</v>
      </c>
      <c r="E506" s="1">
        <v>2</v>
      </c>
      <c r="F506" s="1">
        <v>464.5</v>
      </c>
      <c r="G506" s="1" t="s">
        <v>2795</v>
      </c>
      <c r="H506" s="1" t="s">
        <v>3066</v>
      </c>
      <c r="I506" s="1" t="s">
        <v>3071</v>
      </c>
      <c r="J506" s="1" t="s">
        <v>3579</v>
      </c>
      <c r="K506" s="1">
        <v>2</v>
      </c>
      <c r="L506" s="1" t="s">
        <v>4277</v>
      </c>
      <c r="M506" s="1" t="s">
        <v>4278</v>
      </c>
      <c r="N506" s="6" t="str">
        <f t="shared" si="15"/>
        <v>Jun</v>
      </c>
      <c r="O506" s="1">
        <v>929</v>
      </c>
      <c r="T506" s="4"/>
      <c r="U506" s="1" t="str">
        <f t="shared" si="16"/>
        <v>Normal</v>
      </c>
    </row>
    <row r="507" spans="1:21" x14ac:dyDescent="0.25">
      <c r="A507" s="1" t="s">
        <v>519</v>
      </c>
      <c r="B507" s="4">
        <v>45088</v>
      </c>
      <c r="C507" s="1" t="s">
        <v>1719</v>
      </c>
      <c r="D507" s="1" t="s">
        <v>2407</v>
      </c>
      <c r="E507" s="1">
        <v>2</v>
      </c>
      <c r="F507" s="1">
        <v>434.97</v>
      </c>
      <c r="G507" s="1" t="s">
        <v>2727</v>
      </c>
      <c r="H507" s="1" t="s">
        <v>3066</v>
      </c>
      <c r="I507" s="1" t="s">
        <v>3070</v>
      </c>
      <c r="J507" s="1" t="s">
        <v>3580</v>
      </c>
      <c r="K507" s="1">
        <v>7</v>
      </c>
      <c r="L507" s="1" t="s">
        <v>4283</v>
      </c>
      <c r="M507" s="1" t="s">
        <v>4280</v>
      </c>
      <c r="N507" s="6" t="str">
        <f t="shared" si="15"/>
        <v>Jun</v>
      </c>
      <c r="O507" s="1">
        <v>869.94</v>
      </c>
      <c r="T507" s="4"/>
      <c r="U507" s="1" t="str">
        <f t="shared" si="16"/>
        <v>Normal</v>
      </c>
    </row>
    <row r="508" spans="1:21" x14ac:dyDescent="0.25">
      <c r="A508" s="1" t="s">
        <v>520</v>
      </c>
      <c r="B508" s="4">
        <v>45132</v>
      </c>
      <c r="C508" s="1" t="s">
        <v>1720</v>
      </c>
      <c r="D508" s="1" t="s">
        <v>2403</v>
      </c>
      <c r="E508" s="1">
        <v>2</v>
      </c>
      <c r="F508" s="1">
        <v>43.67</v>
      </c>
      <c r="G508" s="1" t="s">
        <v>2796</v>
      </c>
      <c r="H508" s="1" t="s">
        <v>3069</v>
      </c>
      <c r="I508" s="1" t="s">
        <v>3072</v>
      </c>
      <c r="J508" s="1" t="s">
        <v>3581</v>
      </c>
      <c r="K508" s="1">
        <v>4</v>
      </c>
      <c r="L508" s="1" t="s">
        <v>4277</v>
      </c>
      <c r="M508" s="1" t="s">
        <v>4278</v>
      </c>
      <c r="N508" s="6" t="str">
        <f t="shared" si="15"/>
        <v>Jul</v>
      </c>
      <c r="O508" s="1">
        <v>87.34</v>
      </c>
      <c r="T508" s="4"/>
      <c r="U508" s="1" t="str">
        <f t="shared" si="16"/>
        <v>Normal</v>
      </c>
    </row>
    <row r="509" spans="1:21" x14ac:dyDescent="0.25">
      <c r="A509" s="1" t="s">
        <v>521</v>
      </c>
      <c r="B509" s="4">
        <v>45112</v>
      </c>
      <c r="C509" s="1" t="s">
        <v>1721</v>
      </c>
      <c r="D509" s="1" t="s">
        <v>2404</v>
      </c>
      <c r="E509" s="1">
        <v>1</v>
      </c>
      <c r="F509" s="1">
        <v>171.59</v>
      </c>
      <c r="G509" s="1" t="s">
        <v>2684</v>
      </c>
      <c r="H509" s="1" t="s">
        <v>3067</v>
      </c>
      <c r="I509" s="1" t="s">
        <v>3074</v>
      </c>
      <c r="J509" s="1" t="s">
        <v>3582</v>
      </c>
      <c r="K509" s="1">
        <v>5</v>
      </c>
      <c r="L509" s="1" t="s">
        <v>4277</v>
      </c>
      <c r="M509" s="1" t="s">
        <v>4280</v>
      </c>
      <c r="N509" s="6" t="str">
        <f t="shared" si="15"/>
        <v>Jul</v>
      </c>
      <c r="O509" s="1">
        <v>171.59</v>
      </c>
      <c r="T509" s="4"/>
      <c r="U509" s="1" t="str">
        <f t="shared" si="16"/>
        <v>Normal</v>
      </c>
    </row>
    <row r="510" spans="1:21" x14ac:dyDescent="0.25">
      <c r="A510" s="1" t="s">
        <v>522</v>
      </c>
      <c r="B510" s="4">
        <v>45791</v>
      </c>
      <c r="C510" s="1" t="s">
        <v>1722</v>
      </c>
      <c r="D510" s="1" t="s">
        <v>2404</v>
      </c>
      <c r="E510" s="1">
        <v>1</v>
      </c>
      <c r="F510" s="1">
        <v>558.27</v>
      </c>
      <c r="G510" s="1" t="s">
        <v>2797</v>
      </c>
      <c r="H510" s="1" t="s">
        <v>3066</v>
      </c>
      <c r="I510" s="1" t="s">
        <v>3073</v>
      </c>
      <c r="J510" s="1" t="s">
        <v>3583</v>
      </c>
      <c r="K510" s="1">
        <v>1</v>
      </c>
      <c r="L510" s="1" t="s">
        <v>4283</v>
      </c>
      <c r="M510" s="1" t="s">
        <v>4279</v>
      </c>
      <c r="N510" s="6" t="str">
        <f t="shared" si="15"/>
        <v>May</v>
      </c>
      <c r="O510" s="1">
        <v>558.27</v>
      </c>
      <c r="T510" s="4"/>
      <c r="U510" s="1" t="str">
        <f t="shared" si="16"/>
        <v>Normal</v>
      </c>
    </row>
    <row r="511" spans="1:21" x14ac:dyDescent="0.25">
      <c r="A511" s="1" t="s">
        <v>523</v>
      </c>
      <c r="B511" s="4">
        <v>44972</v>
      </c>
      <c r="C511" s="1" t="s">
        <v>1723</v>
      </c>
      <c r="D511" s="1" t="s">
        <v>2408</v>
      </c>
      <c r="E511" s="1">
        <v>2</v>
      </c>
      <c r="F511" s="1">
        <v>425.03</v>
      </c>
      <c r="G511" s="1" t="s">
        <v>2798</v>
      </c>
      <c r="H511" s="1" t="s">
        <v>3069</v>
      </c>
      <c r="I511" s="1" t="s">
        <v>3072</v>
      </c>
      <c r="J511" s="1" t="s">
        <v>3584</v>
      </c>
      <c r="K511" s="1">
        <v>2</v>
      </c>
      <c r="L511" s="1" t="s">
        <v>4277</v>
      </c>
      <c r="M511" s="1" t="s">
        <v>4282</v>
      </c>
      <c r="N511" s="6" t="str">
        <f t="shared" si="15"/>
        <v>Feb</v>
      </c>
      <c r="O511" s="1">
        <v>850.06</v>
      </c>
      <c r="T511" s="4"/>
      <c r="U511" s="1" t="str">
        <f t="shared" si="16"/>
        <v>Normal</v>
      </c>
    </row>
    <row r="512" spans="1:21" x14ac:dyDescent="0.25">
      <c r="A512" s="1" t="s">
        <v>524</v>
      </c>
      <c r="B512" s="4">
        <v>45642</v>
      </c>
      <c r="C512" s="1" t="s">
        <v>1724</v>
      </c>
      <c r="D512" s="1" t="s">
        <v>2407</v>
      </c>
      <c r="E512" s="1">
        <v>1</v>
      </c>
      <c r="F512" s="1">
        <v>376.76</v>
      </c>
      <c r="G512" s="1" t="s">
        <v>2799</v>
      </c>
      <c r="H512" s="1" t="s">
        <v>3065</v>
      </c>
      <c r="I512" s="1" t="s">
        <v>3073</v>
      </c>
      <c r="J512" s="1" t="s">
        <v>3585</v>
      </c>
      <c r="K512" s="1">
        <v>5</v>
      </c>
      <c r="L512" s="1" t="s">
        <v>4275</v>
      </c>
      <c r="M512" s="1" t="s">
        <v>4280</v>
      </c>
      <c r="N512" s="6" t="str">
        <f t="shared" si="15"/>
        <v>Dec</v>
      </c>
      <c r="O512" s="1">
        <v>376.76</v>
      </c>
      <c r="T512" s="4"/>
      <c r="U512" s="1" t="str">
        <f t="shared" si="16"/>
        <v>Normal</v>
      </c>
    </row>
    <row r="513" spans="1:21" x14ac:dyDescent="0.25">
      <c r="A513" s="1" t="s">
        <v>525</v>
      </c>
      <c r="B513" s="4">
        <v>45366</v>
      </c>
      <c r="C513" s="1" t="s">
        <v>1725</v>
      </c>
      <c r="D513" s="1" t="s">
        <v>2403</v>
      </c>
      <c r="E513" s="1">
        <v>5</v>
      </c>
      <c r="F513" s="1">
        <v>575.24</v>
      </c>
      <c r="G513" s="1" t="s">
        <v>2450</v>
      </c>
      <c r="H513" s="1" t="s">
        <v>3069</v>
      </c>
      <c r="I513" s="1" t="s">
        <v>3073</v>
      </c>
      <c r="J513" s="1" t="s">
        <v>3586</v>
      </c>
      <c r="K513" s="1">
        <v>7</v>
      </c>
      <c r="L513" s="1" t="s">
        <v>4277</v>
      </c>
      <c r="M513" s="1" t="s">
        <v>4280</v>
      </c>
      <c r="N513" s="6" t="str">
        <f t="shared" si="15"/>
        <v>Mar</v>
      </c>
      <c r="O513" s="1">
        <v>2876.2</v>
      </c>
      <c r="T513" s="4"/>
      <c r="U513" s="1" t="str">
        <f t="shared" si="16"/>
        <v>Normal</v>
      </c>
    </row>
    <row r="514" spans="1:21" x14ac:dyDescent="0.25">
      <c r="A514" s="1" t="s">
        <v>526</v>
      </c>
      <c r="B514" s="4">
        <v>45562</v>
      </c>
      <c r="C514" s="1" t="s">
        <v>1726</v>
      </c>
      <c r="D514" s="1" t="s">
        <v>2409</v>
      </c>
      <c r="E514" s="1">
        <v>3</v>
      </c>
      <c r="F514" s="1">
        <v>568.02</v>
      </c>
      <c r="G514" s="1" t="s">
        <v>2662</v>
      </c>
      <c r="H514" s="1" t="s">
        <v>3066</v>
      </c>
      <c r="I514" s="1" t="s">
        <v>3074</v>
      </c>
      <c r="J514" s="1" t="s">
        <v>3587</v>
      </c>
      <c r="K514" s="1">
        <v>3</v>
      </c>
      <c r="L514" s="1" t="s">
        <v>4276</v>
      </c>
      <c r="M514" s="1" t="s">
        <v>4278</v>
      </c>
      <c r="N514" s="6" t="str">
        <f t="shared" ref="N514:N577" si="17">TEXT(B514,"MMM")</f>
        <v>Sep</v>
      </c>
      <c r="O514" s="1">
        <v>1704.06</v>
      </c>
      <c r="T514" s="4"/>
      <c r="U514" s="1" t="str">
        <f t="shared" si="16"/>
        <v>Normal</v>
      </c>
    </row>
    <row r="515" spans="1:21" x14ac:dyDescent="0.25">
      <c r="A515" s="1" t="s">
        <v>527</v>
      </c>
      <c r="B515" s="4">
        <v>45697</v>
      </c>
      <c r="C515" s="1" t="s">
        <v>1727</v>
      </c>
      <c r="D515" s="1" t="s">
        <v>2405</v>
      </c>
      <c r="E515" s="1">
        <v>3</v>
      </c>
      <c r="F515" s="1">
        <v>94.88</v>
      </c>
      <c r="G515" s="1" t="s">
        <v>2501</v>
      </c>
      <c r="H515" s="1" t="s">
        <v>3068</v>
      </c>
      <c r="I515" s="1" t="s">
        <v>3070</v>
      </c>
      <c r="J515" s="1" t="s">
        <v>3588</v>
      </c>
      <c r="K515" s="1">
        <v>8</v>
      </c>
      <c r="L515" s="1" t="s">
        <v>4283</v>
      </c>
      <c r="M515" s="1" t="s">
        <v>4279</v>
      </c>
      <c r="N515" s="6" t="str">
        <f t="shared" si="17"/>
        <v>Feb</v>
      </c>
      <c r="O515" s="1">
        <v>284.64</v>
      </c>
      <c r="T515" s="4"/>
      <c r="U515" s="1" t="str">
        <f t="shared" ref="U515:U578" si="18">IF(O515&gt;$S$2,"Outlier","Normal")</f>
        <v>Normal</v>
      </c>
    </row>
    <row r="516" spans="1:21" x14ac:dyDescent="0.25">
      <c r="A516" s="1" t="s">
        <v>528</v>
      </c>
      <c r="B516" s="4">
        <v>45032</v>
      </c>
      <c r="C516" s="1" t="s">
        <v>1728</v>
      </c>
      <c r="D516" s="1" t="s">
        <v>2407</v>
      </c>
      <c r="E516" s="1">
        <v>3</v>
      </c>
      <c r="F516" s="1">
        <v>304.14999999999998</v>
      </c>
      <c r="G516" s="1" t="s">
        <v>2764</v>
      </c>
      <c r="H516" s="1" t="s">
        <v>3068</v>
      </c>
      <c r="I516" s="1" t="s">
        <v>3070</v>
      </c>
      <c r="J516" s="1" t="s">
        <v>3589</v>
      </c>
      <c r="K516" s="1">
        <v>3</v>
      </c>
      <c r="L516" s="1" t="s">
        <v>4277</v>
      </c>
      <c r="M516" s="1" t="s">
        <v>4278</v>
      </c>
      <c r="N516" s="6" t="str">
        <f t="shared" si="17"/>
        <v>Apr</v>
      </c>
      <c r="O516" s="1">
        <v>912.44999999999993</v>
      </c>
      <c r="T516" s="4"/>
      <c r="U516" s="1" t="str">
        <f t="shared" si="18"/>
        <v>Normal</v>
      </c>
    </row>
    <row r="517" spans="1:21" x14ac:dyDescent="0.25">
      <c r="A517" s="1" t="s">
        <v>529</v>
      </c>
      <c r="B517" s="4">
        <v>44999</v>
      </c>
      <c r="C517" s="1" t="s">
        <v>1729</v>
      </c>
      <c r="D517" s="1" t="s">
        <v>2404</v>
      </c>
      <c r="E517" s="1">
        <v>3</v>
      </c>
      <c r="F517" s="1">
        <v>553.52</v>
      </c>
      <c r="G517" s="1" t="s">
        <v>2762</v>
      </c>
      <c r="H517" s="1" t="s">
        <v>3068</v>
      </c>
      <c r="I517" s="1" t="s">
        <v>3070</v>
      </c>
      <c r="J517" s="1" t="s">
        <v>3590</v>
      </c>
      <c r="K517" s="1">
        <v>4</v>
      </c>
      <c r="L517" s="1" t="s">
        <v>4276</v>
      </c>
      <c r="M517" s="1" t="s">
        <v>4281</v>
      </c>
      <c r="N517" s="6" t="str">
        <f t="shared" si="17"/>
        <v>Mar</v>
      </c>
      <c r="O517" s="1">
        <v>1660.56</v>
      </c>
      <c r="T517" s="4"/>
      <c r="U517" s="1" t="str">
        <f t="shared" si="18"/>
        <v>Normal</v>
      </c>
    </row>
    <row r="518" spans="1:21" x14ac:dyDescent="0.25">
      <c r="A518" s="1" t="s">
        <v>530</v>
      </c>
      <c r="B518" s="4">
        <v>45389</v>
      </c>
      <c r="C518" s="1" t="s">
        <v>1730</v>
      </c>
      <c r="D518" s="1" t="s">
        <v>2403</v>
      </c>
      <c r="E518" s="1">
        <v>3</v>
      </c>
      <c r="F518" s="1">
        <v>166.99</v>
      </c>
      <c r="G518" s="1" t="s">
        <v>2659</v>
      </c>
      <c r="H518" s="1" t="s">
        <v>3069</v>
      </c>
      <c r="I518" s="1" t="s">
        <v>3072</v>
      </c>
      <c r="J518" s="1" t="s">
        <v>3591</v>
      </c>
      <c r="K518" s="1">
        <v>8</v>
      </c>
      <c r="L518" s="1" t="s">
        <v>4283</v>
      </c>
      <c r="M518" s="1" t="s">
        <v>4281</v>
      </c>
      <c r="N518" s="6" t="str">
        <f t="shared" si="17"/>
        <v>Apr</v>
      </c>
      <c r="O518" s="1">
        <v>500.97</v>
      </c>
      <c r="T518" s="4"/>
      <c r="U518" s="1" t="str">
        <f t="shared" si="18"/>
        <v>Normal</v>
      </c>
    </row>
    <row r="519" spans="1:21" x14ac:dyDescent="0.25">
      <c r="A519" s="1" t="s">
        <v>531</v>
      </c>
      <c r="B519" s="4">
        <v>45391</v>
      </c>
      <c r="C519" s="1" t="s">
        <v>1731</v>
      </c>
      <c r="D519" s="1" t="s">
        <v>2405</v>
      </c>
      <c r="E519" s="1">
        <v>4</v>
      </c>
      <c r="F519" s="1">
        <v>198.35</v>
      </c>
      <c r="G519" s="1" t="s">
        <v>2781</v>
      </c>
      <c r="H519" s="1" t="s">
        <v>3069</v>
      </c>
      <c r="I519" s="1" t="s">
        <v>3071</v>
      </c>
      <c r="J519" s="1" t="s">
        <v>3592</v>
      </c>
      <c r="K519" s="1">
        <v>7</v>
      </c>
      <c r="L519" s="1" t="s">
        <v>4276</v>
      </c>
      <c r="M519" s="1" t="s">
        <v>4282</v>
      </c>
      <c r="N519" s="6" t="str">
        <f t="shared" si="17"/>
        <v>Apr</v>
      </c>
      <c r="O519" s="1">
        <v>793.4</v>
      </c>
      <c r="T519" s="4"/>
      <c r="U519" s="1" t="str">
        <f t="shared" si="18"/>
        <v>Normal</v>
      </c>
    </row>
    <row r="520" spans="1:21" x14ac:dyDescent="0.25">
      <c r="A520" s="1" t="s">
        <v>532</v>
      </c>
      <c r="B520" s="4">
        <v>45821</v>
      </c>
      <c r="C520" s="1" t="s">
        <v>1732</v>
      </c>
      <c r="D520" s="1" t="s">
        <v>2407</v>
      </c>
      <c r="E520" s="1">
        <v>4</v>
      </c>
      <c r="F520" s="1">
        <v>403.58</v>
      </c>
      <c r="G520" s="1" t="s">
        <v>2732</v>
      </c>
      <c r="H520" s="1" t="s">
        <v>3066</v>
      </c>
      <c r="I520" s="1" t="s">
        <v>3074</v>
      </c>
      <c r="J520" s="1" t="s">
        <v>3593</v>
      </c>
      <c r="K520" s="1">
        <v>9</v>
      </c>
      <c r="L520" s="1" t="s">
        <v>4275</v>
      </c>
      <c r="M520" s="1" t="s">
        <v>4279</v>
      </c>
      <c r="N520" s="6" t="str">
        <f t="shared" si="17"/>
        <v>Jun</v>
      </c>
      <c r="O520" s="1">
        <v>1614.32</v>
      </c>
      <c r="T520" s="4"/>
      <c r="U520" s="1" t="str">
        <f t="shared" si="18"/>
        <v>Normal</v>
      </c>
    </row>
    <row r="521" spans="1:21" x14ac:dyDescent="0.25">
      <c r="A521" s="1" t="s">
        <v>533</v>
      </c>
      <c r="B521" s="4">
        <v>45787</v>
      </c>
      <c r="C521" s="1" t="s">
        <v>1733</v>
      </c>
      <c r="D521" s="1" t="s">
        <v>2408</v>
      </c>
      <c r="E521" s="1">
        <v>4</v>
      </c>
      <c r="F521" s="1">
        <v>464.29</v>
      </c>
      <c r="G521" s="1" t="s">
        <v>2800</v>
      </c>
      <c r="H521" s="1" t="s">
        <v>3065</v>
      </c>
      <c r="I521" s="1" t="s">
        <v>3072</v>
      </c>
      <c r="J521" s="1" t="s">
        <v>3594</v>
      </c>
      <c r="K521" s="1">
        <v>5</v>
      </c>
      <c r="L521" s="1" t="s">
        <v>4275</v>
      </c>
      <c r="M521" s="1" t="s">
        <v>4280</v>
      </c>
      <c r="N521" s="6" t="str">
        <f t="shared" si="17"/>
        <v>May</v>
      </c>
      <c r="O521" s="1">
        <v>1857.16</v>
      </c>
      <c r="T521" s="4"/>
      <c r="U521" s="1" t="str">
        <f t="shared" si="18"/>
        <v>Normal</v>
      </c>
    </row>
    <row r="522" spans="1:21" x14ac:dyDescent="0.25">
      <c r="A522" s="1" t="s">
        <v>534</v>
      </c>
      <c r="B522" s="4">
        <v>44995</v>
      </c>
      <c r="C522" s="1" t="s">
        <v>1734</v>
      </c>
      <c r="D522" s="1" t="s">
        <v>2403</v>
      </c>
      <c r="E522" s="1">
        <v>3</v>
      </c>
      <c r="F522" s="1">
        <v>635.98</v>
      </c>
      <c r="G522" s="1" t="s">
        <v>2801</v>
      </c>
      <c r="H522" s="1" t="s">
        <v>3069</v>
      </c>
      <c r="I522" s="1" t="s">
        <v>3072</v>
      </c>
      <c r="J522" s="1" t="s">
        <v>3595</v>
      </c>
      <c r="K522" s="1">
        <v>5</v>
      </c>
      <c r="L522" s="1" t="s">
        <v>4283</v>
      </c>
      <c r="M522" s="1" t="s">
        <v>4279</v>
      </c>
      <c r="N522" s="6" t="str">
        <f t="shared" si="17"/>
        <v>Mar</v>
      </c>
      <c r="O522" s="1">
        <v>1907.94</v>
      </c>
      <c r="T522" s="4"/>
      <c r="U522" s="1" t="str">
        <f t="shared" si="18"/>
        <v>Normal</v>
      </c>
    </row>
    <row r="523" spans="1:21" x14ac:dyDescent="0.25">
      <c r="A523" s="1" t="s">
        <v>535</v>
      </c>
      <c r="B523" s="4">
        <v>45347</v>
      </c>
      <c r="C523" s="1" t="s">
        <v>1735</v>
      </c>
      <c r="D523" s="1" t="s">
        <v>2404</v>
      </c>
      <c r="E523" s="1">
        <v>1</v>
      </c>
      <c r="F523" s="1">
        <v>528.05999999999995</v>
      </c>
      <c r="G523" s="1" t="s">
        <v>2802</v>
      </c>
      <c r="H523" s="1" t="s">
        <v>3067</v>
      </c>
      <c r="I523" s="1" t="s">
        <v>3070</v>
      </c>
      <c r="J523" s="1" t="s">
        <v>3596</v>
      </c>
      <c r="K523" s="1">
        <v>2</v>
      </c>
      <c r="L523" s="1" t="s">
        <v>4283</v>
      </c>
      <c r="M523" s="1" t="s">
        <v>4281</v>
      </c>
      <c r="N523" s="6" t="str">
        <f t="shared" si="17"/>
        <v>Feb</v>
      </c>
      <c r="O523" s="1">
        <v>528.05999999999995</v>
      </c>
      <c r="T523" s="4"/>
      <c r="U523" s="1" t="str">
        <f t="shared" si="18"/>
        <v>Normal</v>
      </c>
    </row>
    <row r="524" spans="1:21" x14ac:dyDescent="0.25">
      <c r="A524" s="1" t="s">
        <v>536</v>
      </c>
      <c r="B524" s="4">
        <v>45402</v>
      </c>
      <c r="C524" s="1" t="s">
        <v>1736</v>
      </c>
      <c r="D524" s="1" t="s">
        <v>2406</v>
      </c>
      <c r="E524" s="1">
        <v>1</v>
      </c>
      <c r="F524" s="1">
        <v>515.32000000000005</v>
      </c>
      <c r="G524" s="1" t="s">
        <v>2650</v>
      </c>
      <c r="H524" s="1" t="s">
        <v>3068</v>
      </c>
      <c r="I524" s="1" t="s">
        <v>3071</v>
      </c>
      <c r="J524" s="1" t="s">
        <v>3597</v>
      </c>
      <c r="K524" s="1">
        <v>1</v>
      </c>
      <c r="L524" s="1" t="s">
        <v>4276</v>
      </c>
      <c r="M524" s="1" t="s">
        <v>4280</v>
      </c>
      <c r="N524" s="6" t="str">
        <f t="shared" si="17"/>
        <v>Apr</v>
      </c>
      <c r="O524" s="1">
        <v>515.32000000000005</v>
      </c>
      <c r="T524" s="4"/>
      <c r="U524" s="1" t="str">
        <f t="shared" si="18"/>
        <v>Normal</v>
      </c>
    </row>
    <row r="525" spans="1:21" x14ac:dyDescent="0.25">
      <c r="A525" s="1" t="s">
        <v>537</v>
      </c>
      <c r="B525" s="4">
        <v>45706</v>
      </c>
      <c r="C525" s="1" t="s">
        <v>1737</v>
      </c>
      <c r="D525" s="1" t="s">
        <v>2409</v>
      </c>
      <c r="E525" s="1">
        <v>4</v>
      </c>
      <c r="F525" s="1">
        <v>657.79</v>
      </c>
      <c r="G525" s="1" t="s">
        <v>2741</v>
      </c>
      <c r="H525" s="1" t="s">
        <v>3067</v>
      </c>
      <c r="I525" s="1" t="s">
        <v>3072</v>
      </c>
      <c r="J525" s="1" t="s">
        <v>3598</v>
      </c>
      <c r="K525" s="1">
        <v>6</v>
      </c>
      <c r="L525" s="1" t="s">
        <v>4277</v>
      </c>
      <c r="M525" s="1" t="s">
        <v>4282</v>
      </c>
      <c r="N525" s="6" t="str">
        <f t="shared" si="17"/>
        <v>Feb</v>
      </c>
      <c r="O525" s="1">
        <v>2631.16</v>
      </c>
      <c r="T525" s="4"/>
      <c r="U525" s="1" t="str">
        <f t="shared" si="18"/>
        <v>Normal</v>
      </c>
    </row>
    <row r="526" spans="1:21" x14ac:dyDescent="0.25">
      <c r="A526" s="1" t="s">
        <v>538</v>
      </c>
      <c r="B526" s="4">
        <v>45224</v>
      </c>
      <c r="C526" s="1" t="s">
        <v>1738</v>
      </c>
      <c r="D526" s="1" t="s">
        <v>2404</v>
      </c>
      <c r="E526" s="1">
        <v>1</v>
      </c>
      <c r="F526" s="1">
        <v>153</v>
      </c>
      <c r="G526" s="1" t="s">
        <v>2483</v>
      </c>
      <c r="H526" s="1" t="s">
        <v>3067</v>
      </c>
      <c r="I526" s="1" t="s">
        <v>3072</v>
      </c>
      <c r="J526" s="1" t="s">
        <v>3599</v>
      </c>
      <c r="K526" s="1">
        <v>4</v>
      </c>
      <c r="L526" s="1" t="s">
        <v>4283</v>
      </c>
      <c r="M526" s="1" t="s">
        <v>4279</v>
      </c>
      <c r="N526" s="6" t="str">
        <f t="shared" si="17"/>
        <v>Oct</v>
      </c>
      <c r="O526" s="1">
        <v>153</v>
      </c>
      <c r="T526" s="4"/>
      <c r="U526" s="1" t="str">
        <f t="shared" si="18"/>
        <v>Normal</v>
      </c>
    </row>
    <row r="527" spans="1:21" x14ac:dyDescent="0.25">
      <c r="A527" s="1" t="s">
        <v>539</v>
      </c>
      <c r="B527" s="4">
        <v>45263</v>
      </c>
      <c r="C527" s="1" t="s">
        <v>1739</v>
      </c>
      <c r="D527" s="1" t="s">
        <v>2403</v>
      </c>
      <c r="E527" s="1">
        <v>1</v>
      </c>
      <c r="F527" s="1">
        <v>668.48</v>
      </c>
      <c r="G527" s="1" t="s">
        <v>2762</v>
      </c>
      <c r="H527" s="1" t="s">
        <v>3065</v>
      </c>
      <c r="I527" s="1" t="s">
        <v>3070</v>
      </c>
      <c r="J527" s="1" t="s">
        <v>3600</v>
      </c>
      <c r="K527" s="1">
        <v>1</v>
      </c>
      <c r="L527" s="1" t="s">
        <v>4275</v>
      </c>
      <c r="M527" s="1" t="s">
        <v>4280</v>
      </c>
      <c r="N527" s="6" t="str">
        <f t="shared" si="17"/>
        <v>Dec</v>
      </c>
      <c r="O527" s="1">
        <v>668.48</v>
      </c>
      <c r="T527" s="4"/>
      <c r="U527" s="1" t="str">
        <f t="shared" si="18"/>
        <v>Normal</v>
      </c>
    </row>
    <row r="528" spans="1:21" x14ac:dyDescent="0.25">
      <c r="A528" s="1" t="s">
        <v>540</v>
      </c>
      <c r="B528" s="4">
        <v>45351</v>
      </c>
      <c r="C528" s="1" t="s">
        <v>1740</v>
      </c>
      <c r="D528" s="1" t="s">
        <v>2409</v>
      </c>
      <c r="E528" s="1">
        <v>2</v>
      </c>
      <c r="F528" s="1">
        <v>46.5</v>
      </c>
      <c r="G528" s="1" t="s">
        <v>2497</v>
      </c>
      <c r="H528" s="1" t="s">
        <v>3069</v>
      </c>
      <c r="I528" s="1" t="s">
        <v>3072</v>
      </c>
      <c r="J528" s="1" t="s">
        <v>3601</v>
      </c>
      <c r="K528" s="1">
        <v>7</v>
      </c>
      <c r="L528" s="1" t="s">
        <v>4277</v>
      </c>
      <c r="M528" s="1" t="s">
        <v>4282</v>
      </c>
      <c r="N528" s="6" t="str">
        <f t="shared" si="17"/>
        <v>Feb</v>
      </c>
      <c r="O528" s="1">
        <v>93</v>
      </c>
      <c r="T528" s="4"/>
      <c r="U528" s="1" t="str">
        <f t="shared" si="18"/>
        <v>Normal</v>
      </c>
    </row>
    <row r="529" spans="1:21" x14ac:dyDescent="0.25">
      <c r="A529" s="1" t="s">
        <v>541</v>
      </c>
      <c r="B529" s="4">
        <v>45523</v>
      </c>
      <c r="C529" s="1" t="s">
        <v>1741</v>
      </c>
      <c r="D529" s="1" t="s">
        <v>2406</v>
      </c>
      <c r="E529" s="1">
        <v>5</v>
      </c>
      <c r="F529" s="1">
        <v>653.47</v>
      </c>
      <c r="G529" s="1" t="s">
        <v>2488</v>
      </c>
      <c r="H529" s="1" t="s">
        <v>3067</v>
      </c>
      <c r="I529" s="1" t="s">
        <v>3071</v>
      </c>
      <c r="J529" s="1" t="s">
        <v>3602</v>
      </c>
      <c r="K529" s="1">
        <v>10</v>
      </c>
      <c r="L529" s="1" t="s">
        <v>4275</v>
      </c>
      <c r="M529" s="1" t="s">
        <v>4279</v>
      </c>
      <c r="N529" s="6" t="str">
        <f t="shared" si="17"/>
        <v>Aug</v>
      </c>
      <c r="O529" s="1">
        <v>3267.35</v>
      </c>
      <c r="T529" s="4"/>
      <c r="U529" s="1" t="str">
        <f t="shared" si="18"/>
        <v>Normal</v>
      </c>
    </row>
    <row r="530" spans="1:21" x14ac:dyDescent="0.25">
      <c r="A530" s="1" t="s">
        <v>542</v>
      </c>
      <c r="B530" s="4">
        <v>45714</v>
      </c>
      <c r="C530" s="1" t="s">
        <v>1742</v>
      </c>
      <c r="D530" s="1" t="s">
        <v>2406</v>
      </c>
      <c r="E530" s="1">
        <v>1</v>
      </c>
      <c r="F530" s="1">
        <v>628.89</v>
      </c>
      <c r="G530" s="1" t="s">
        <v>2765</v>
      </c>
      <c r="H530" s="1" t="s">
        <v>3067</v>
      </c>
      <c r="I530" s="1" t="s">
        <v>3072</v>
      </c>
      <c r="J530" s="1" t="s">
        <v>3603</v>
      </c>
      <c r="K530" s="1">
        <v>2</v>
      </c>
      <c r="L530" s="1" t="s">
        <v>4275</v>
      </c>
      <c r="M530" s="1" t="s">
        <v>4279</v>
      </c>
      <c r="N530" s="6" t="str">
        <f t="shared" si="17"/>
        <v>Feb</v>
      </c>
      <c r="O530" s="1">
        <v>628.89</v>
      </c>
      <c r="T530" s="4"/>
      <c r="U530" s="1" t="str">
        <f t="shared" si="18"/>
        <v>Normal</v>
      </c>
    </row>
    <row r="531" spans="1:21" x14ac:dyDescent="0.25">
      <c r="A531" s="1" t="s">
        <v>543</v>
      </c>
      <c r="B531" s="4">
        <v>45389</v>
      </c>
      <c r="C531" s="1" t="s">
        <v>1743</v>
      </c>
      <c r="D531" s="1" t="s">
        <v>2405</v>
      </c>
      <c r="E531" s="1">
        <v>2</v>
      </c>
      <c r="F531" s="1">
        <v>675.1</v>
      </c>
      <c r="G531" s="1" t="s">
        <v>2803</v>
      </c>
      <c r="H531" s="1" t="s">
        <v>3069</v>
      </c>
      <c r="I531" s="1" t="s">
        <v>3074</v>
      </c>
      <c r="J531" s="1" t="s">
        <v>3604</v>
      </c>
      <c r="K531" s="1">
        <v>4</v>
      </c>
      <c r="L531" s="1" t="s">
        <v>4276</v>
      </c>
      <c r="M531" s="1" t="s">
        <v>4282</v>
      </c>
      <c r="N531" s="6" t="str">
        <f t="shared" si="17"/>
        <v>Apr</v>
      </c>
      <c r="O531" s="1">
        <v>1350.2</v>
      </c>
      <c r="T531" s="4"/>
      <c r="U531" s="1" t="str">
        <f t="shared" si="18"/>
        <v>Normal</v>
      </c>
    </row>
    <row r="532" spans="1:21" x14ac:dyDescent="0.25">
      <c r="A532" s="1" t="s">
        <v>544</v>
      </c>
      <c r="B532" s="4">
        <v>45491</v>
      </c>
      <c r="C532" s="1" t="s">
        <v>1744</v>
      </c>
      <c r="D532" s="1" t="s">
        <v>2406</v>
      </c>
      <c r="E532" s="1">
        <v>4</v>
      </c>
      <c r="F532" s="1">
        <v>89.41</v>
      </c>
      <c r="G532" s="1" t="s">
        <v>2804</v>
      </c>
      <c r="H532" s="1" t="s">
        <v>3066</v>
      </c>
      <c r="I532" s="1" t="s">
        <v>3074</v>
      </c>
      <c r="J532" s="1" t="s">
        <v>3605</v>
      </c>
      <c r="K532" s="1">
        <v>9</v>
      </c>
      <c r="L532" s="1" t="s">
        <v>4283</v>
      </c>
      <c r="M532" s="1" t="s">
        <v>4282</v>
      </c>
      <c r="N532" s="6" t="str">
        <f t="shared" si="17"/>
        <v>Jul</v>
      </c>
      <c r="O532" s="1">
        <v>357.64</v>
      </c>
      <c r="T532" s="4"/>
      <c r="U532" s="1" t="str">
        <f t="shared" si="18"/>
        <v>Normal</v>
      </c>
    </row>
    <row r="533" spans="1:21" x14ac:dyDescent="0.25">
      <c r="A533" s="1" t="s">
        <v>545</v>
      </c>
      <c r="B533" s="4">
        <v>45475</v>
      </c>
      <c r="C533" s="1" t="s">
        <v>1745</v>
      </c>
      <c r="D533" s="1" t="s">
        <v>2409</v>
      </c>
      <c r="E533" s="1">
        <v>5</v>
      </c>
      <c r="F533" s="1">
        <v>320.01</v>
      </c>
      <c r="G533" s="1" t="s">
        <v>2805</v>
      </c>
      <c r="H533" s="1" t="s">
        <v>3068</v>
      </c>
      <c r="I533" s="1" t="s">
        <v>3073</v>
      </c>
      <c r="J533" s="1" t="s">
        <v>3606</v>
      </c>
      <c r="K533" s="1">
        <v>6</v>
      </c>
      <c r="L533" s="1" t="s">
        <v>4283</v>
      </c>
      <c r="M533" s="1" t="s">
        <v>4279</v>
      </c>
      <c r="N533" s="6" t="str">
        <f t="shared" si="17"/>
        <v>Jul</v>
      </c>
      <c r="O533" s="1">
        <v>1600.05</v>
      </c>
      <c r="T533" s="4"/>
      <c r="U533" s="1" t="str">
        <f t="shared" si="18"/>
        <v>Normal</v>
      </c>
    </row>
    <row r="534" spans="1:21" x14ac:dyDescent="0.25">
      <c r="A534" s="1" t="s">
        <v>546</v>
      </c>
      <c r="B534" s="4">
        <v>45780</v>
      </c>
      <c r="C534" s="1" t="s">
        <v>1746</v>
      </c>
      <c r="D534" s="1" t="s">
        <v>2408</v>
      </c>
      <c r="E534" s="1">
        <v>2</v>
      </c>
      <c r="F534" s="1">
        <v>41</v>
      </c>
      <c r="G534" s="1" t="s">
        <v>2806</v>
      </c>
      <c r="H534" s="1" t="s">
        <v>3066</v>
      </c>
      <c r="I534" s="1" t="s">
        <v>3073</v>
      </c>
      <c r="J534" s="1" t="s">
        <v>3607</v>
      </c>
      <c r="K534" s="1">
        <v>7</v>
      </c>
      <c r="L534" s="1" t="s">
        <v>4283</v>
      </c>
      <c r="M534" s="1" t="s">
        <v>4280</v>
      </c>
      <c r="N534" s="6" t="str">
        <f t="shared" si="17"/>
        <v>May</v>
      </c>
      <c r="O534" s="1">
        <v>82</v>
      </c>
      <c r="T534" s="4"/>
      <c r="U534" s="1" t="str">
        <f t="shared" si="18"/>
        <v>Normal</v>
      </c>
    </row>
    <row r="535" spans="1:21" x14ac:dyDescent="0.25">
      <c r="A535" s="1" t="s">
        <v>547</v>
      </c>
      <c r="B535" s="4">
        <v>44990</v>
      </c>
      <c r="C535" s="1" t="s">
        <v>1747</v>
      </c>
      <c r="D535" s="1" t="s">
        <v>2409</v>
      </c>
      <c r="E535" s="1">
        <v>1</v>
      </c>
      <c r="F535" s="1">
        <v>565.85</v>
      </c>
      <c r="G535" s="1" t="s">
        <v>2472</v>
      </c>
      <c r="H535" s="1" t="s">
        <v>3068</v>
      </c>
      <c r="I535" s="1" t="s">
        <v>3072</v>
      </c>
      <c r="J535" s="1" t="s">
        <v>3608</v>
      </c>
      <c r="K535" s="1">
        <v>1</v>
      </c>
      <c r="L535" s="1" t="s">
        <v>4276</v>
      </c>
      <c r="M535" s="1" t="s">
        <v>4281</v>
      </c>
      <c r="N535" s="6" t="str">
        <f t="shared" si="17"/>
        <v>Mar</v>
      </c>
      <c r="O535" s="1">
        <v>565.85</v>
      </c>
      <c r="T535" s="4"/>
      <c r="U535" s="1" t="str">
        <f t="shared" si="18"/>
        <v>Normal</v>
      </c>
    </row>
    <row r="536" spans="1:21" x14ac:dyDescent="0.25">
      <c r="A536" s="1" t="s">
        <v>548</v>
      </c>
      <c r="B536" s="4">
        <v>45449</v>
      </c>
      <c r="C536" s="1" t="s">
        <v>1748</v>
      </c>
      <c r="D536" s="1" t="s">
        <v>2406</v>
      </c>
      <c r="E536" s="1">
        <v>3</v>
      </c>
      <c r="F536" s="1">
        <v>648.59</v>
      </c>
      <c r="G536" s="1" t="s">
        <v>2807</v>
      </c>
      <c r="H536" s="1" t="s">
        <v>3065</v>
      </c>
      <c r="I536" s="1" t="s">
        <v>3071</v>
      </c>
      <c r="J536" s="1" t="s">
        <v>3609</v>
      </c>
      <c r="K536" s="1">
        <v>4</v>
      </c>
      <c r="L536" s="1" t="s">
        <v>4275</v>
      </c>
      <c r="M536" s="1" t="s">
        <v>4280</v>
      </c>
      <c r="N536" s="6" t="str">
        <f t="shared" si="17"/>
        <v>Jun</v>
      </c>
      <c r="O536" s="1">
        <v>1945.77</v>
      </c>
      <c r="T536" s="4"/>
      <c r="U536" s="1" t="str">
        <f t="shared" si="18"/>
        <v>Normal</v>
      </c>
    </row>
    <row r="537" spans="1:21" x14ac:dyDescent="0.25">
      <c r="A537" s="1" t="s">
        <v>549</v>
      </c>
      <c r="B537" s="4">
        <v>45497</v>
      </c>
      <c r="C537" s="1" t="s">
        <v>1749</v>
      </c>
      <c r="D537" s="1" t="s">
        <v>2403</v>
      </c>
      <c r="E537" s="1">
        <v>3</v>
      </c>
      <c r="F537" s="1">
        <v>68.12</v>
      </c>
      <c r="G537" s="1" t="s">
        <v>2567</v>
      </c>
      <c r="H537" s="1" t="s">
        <v>3066</v>
      </c>
      <c r="I537" s="1" t="s">
        <v>3071</v>
      </c>
      <c r="J537" s="1" t="s">
        <v>3610</v>
      </c>
      <c r="K537" s="1">
        <v>3</v>
      </c>
      <c r="L537" s="1" t="s">
        <v>4276</v>
      </c>
      <c r="M537" s="1" t="s">
        <v>4280</v>
      </c>
      <c r="N537" s="6" t="str">
        <f t="shared" si="17"/>
        <v>Jul</v>
      </c>
      <c r="O537" s="1">
        <v>204.36</v>
      </c>
      <c r="T537" s="4"/>
      <c r="U537" s="1" t="str">
        <f t="shared" si="18"/>
        <v>Normal</v>
      </c>
    </row>
    <row r="538" spans="1:21" x14ac:dyDescent="0.25">
      <c r="A538" s="1" t="s">
        <v>550</v>
      </c>
      <c r="B538" s="4">
        <v>45452</v>
      </c>
      <c r="C538" s="1" t="s">
        <v>1750</v>
      </c>
      <c r="D538" s="1" t="s">
        <v>2406</v>
      </c>
      <c r="E538" s="1">
        <v>1</v>
      </c>
      <c r="F538" s="1">
        <v>616.1</v>
      </c>
      <c r="G538" s="1" t="s">
        <v>2808</v>
      </c>
      <c r="H538" s="1" t="s">
        <v>3069</v>
      </c>
      <c r="I538" s="1" t="s">
        <v>3072</v>
      </c>
      <c r="J538" s="1" t="s">
        <v>3611</v>
      </c>
      <c r="K538" s="1">
        <v>6</v>
      </c>
      <c r="L538" s="1" t="s">
        <v>4283</v>
      </c>
      <c r="M538" s="1" t="s">
        <v>4280</v>
      </c>
      <c r="N538" s="6" t="str">
        <f t="shared" si="17"/>
        <v>Jun</v>
      </c>
      <c r="O538" s="1">
        <v>616.1</v>
      </c>
      <c r="T538" s="4"/>
      <c r="U538" s="1" t="str">
        <f t="shared" si="18"/>
        <v>Normal</v>
      </c>
    </row>
    <row r="539" spans="1:21" x14ac:dyDescent="0.25">
      <c r="A539" s="1" t="s">
        <v>551</v>
      </c>
      <c r="B539" s="4">
        <v>45739</v>
      </c>
      <c r="C539" s="1" t="s">
        <v>1751</v>
      </c>
      <c r="D539" s="1" t="s">
        <v>2405</v>
      </c>
      <c r="E539" s="1">
        <v>3</v>
      </c>
      <c r="F539" s="1">
        <v>247.47</v>
      </c>
      <c r="G539" s="1" t="s">
        <v>2471</v>
      </c>
      <c r="H539" s="1" t="s">
        <v>3066</v>
      </c>
      <c r="I539" s="1" t="s">
        <v>3073</v>
      </c>
      <c r="J539" s="1" t="s">
        <v>3612</v>
      </c>
      <c r="K539" s="1">
        <v>4</v>
      </c>
      <c r="L539" s="1" t="s">
        <v>4275</v>
      </c>
      <c r="M539" s="1" t="s">
        <v>4281</v>
      </c>
      <c r="N539" s="6" t="str">
        <f t="shared" si="17"/>
        <v>Mar</v>
      </c>
      <c r="O539" s="1">
        <v>742.41</v>
      </c>
      <c r="T539" s="4"/>
      <c r="U539" s="1" t="str">
        <f t="shared" si="18"/>
        <v>Normal</v>
      </c>
    </row>
    <row r="540" spans="1:21" x14ac:dyDescent="0.25">
      <c r="A540" s="1" t="s">
        <v>552</v>
      </c>
      <c r="B540" s="4">
        <v>45436</v>
      </c>
      <c r="C540" s="1" t="s">
        <v>1752</v>
      </c>
      <c r="D540" s="1" t="s">
        <v>2404</v>
      </c>
      <c r="E540" s="1">
        <v>3</v>
      </c>
      <c r="F540" s="1">
        <v>490.74</v>
      </c>
      <c r="G540" s="1" t="s">
        <v>2809</v>
      </c>
      <c r="H540" s="1" t="s">
        <v>3069</v>
      </c>
      <c r="I540" s="1" t="s">
        <v>3070</v>
      </c>
      <c r="J540" s="1" t="s">
        <v>3613</v>
      </c>
      <c r="K540" s="1">
        <v>3</v>
      </c>
      <c r="L540" s="1" t="s">
        <v>4277</v>
      </c>
      <c r="M540" s="1" t="s">
        <v>4280</v>
      </c>
      <c r="N540" s="6" t="str">
        <f t="shared" si="17"/>
        <v>May</v>
      </c>
      <c r="O540" s="1">
        <v>1472.22</v>
      </c>
      <c r="T540" s="4"/>
      <c r="U540" s="1" t="str">
        <f t="shared" si="18"/>
        <v>Normal</v>
      </c>
    </row>
    <row r="541" spans="1:21" x14ac:dyDescent="0.25">
      <c r="A541" s="1" t="s">
        <v>553</v>
      </c>
      <c r="B541" s="4">
        <v>45706</v>
      </c>
      <c r="C541" s="1" t="s">
        <v>1753</v>
      </c>
      <c r="D541" s="1" t="s">
        <v>2409</v>
      </c>
      <c r="E541" s="1">
        <v>3</v>
      </c>
      <c r="F541" s="1">
        <v>531.72</v>
      </c>
      <c r="G541" s="1" t="s">
        <v>2810</v>
      </c>
      <c r="H541" s="1" t="s">
        <v>3068</v>
      </c>
      <c r="I541" s="1" t="s">
        <v>3073</v>
      </c>
      <c r="J541" s="1" t="s">
        <v>3614</v>
      </c>
      <c r="K541" s="1">
        <v>7</v>
      </c>
      <c r="L541" s="1" t="s">
        <v>4275</v>
      </c>
      <c r="M541" s="1" t="s">
        <v>4282</v>
      </c>
      <c r="N541" s="6" t="str">
        <f t="shared" si="17"/>
        <v>Feb</v>
      </c>
      <c r="O541" s="1">
        <v>1595.16</v>
      </c>
      <c r="T541" s="4"/>
      <c r="U541" s="1" t="str">
        <f t="shared" si="18"/>
        <v>Normal</v>
      </c>
    </row>
    <row r="542" spans="1:21" x14ac:dyDescent="0.25">
      <c r="A542" s="1" t="s">
        <v>554</v>
      </c>
      <c r="B542" s="4">
        <v>45320</v>
      </c>
      <c r="C542" s="1" t="s">
        <v>1754</v>
      </c>
      <c r="D542" s="1" t="s">
        <v>2408</v>
      </c>
      <c r="E542" s="1">
        <v>5</v>
      </c>
      <c r="F542" s="1">
        <v>648.65</v>
      </c>
      <c r="G542" s="1" t="s">
        <v>2811</v>
      </c>
      <c r="H542" s="1" t="s">
        <v>3066</v>
      </c>
      <c r="I542" s="1" t="s">
        <v>3074</v>
      </c>
      <c r="J542" s="1" t="s">
        <v>3615</v>
      </c>
      <c r="K542" s="1">
        <v>7</v>
      </c>
      <c r="L542" s="1" t="s">
        <v>4283</v>
      </c>
      <c r="M542" s="1" t="s">
        <v>4279</v>
      </c>
      <c r="N542" s="6" t="str">
        <f t="shared" si="17"/>
        <v>Jan</v>
      </c>
      <c r="O542" s="1">
        <v>3243.25</v>
      </c>
      <c r="T542" s="4"/>
      <c r="U542" s="1" t="str">
        <f t="shared" si="18"/>
        <v>Normal</v>
      </c>
    </row>
    <row r="543" spans="1:21" x14ac:dyDescent="0.25">
      <c r="A543" s="1" t="s">
        <v>555</v>
      </c>
      <c r="B543" s="4">
        <v>45145</v>
      </c>
      <c r="C543" s="1" t="s">
        <v>1755</v>
      </c>
      <c r="D543" s="1" t="s">
        <v>2407</v>
      </c>
      <c r="E543" s="1">
        <v>5</v>
      </c>
      <c r="F543" s="1">
        <v>456.06</v>
      </c>
      <c r="G543" s="1" t="s">
        <v>2812</v>
      </c>
      <c r="H543" s="1" t="s">
        <v>3069</v>
      </c>
      <c r="I543" s="1" t="s">
        <v>3074</v>
      </c>
      <c r="J543" s="1" t="s">
        <v>3616</v>
      </c>
      <c r="K543" s="1">
        <v>10</v>
      </c>
      <c r="L543" s="1" t="s">
        <v>4283</v>
      </c>
      <c r="M543" s="1" t="s">
        <v>4278</v>
      </c>
      <c r="N543" s="6" t="str">
        <f t="shared" si="17"/>
        <v>Aug</v>
      </c>
      <c r="O543" s="1">
        <v>2280.3000000000002</v>
      </c>
      <c r="T543" s="4"/>
      <c r="U543" s="1" t="str">
        <f t="shared" si="18"/>
        <v>Normal</v>
      </c>
    </row>
    <row r="544" spans="1:21" x14ac:dyDescent="0.25">
      <c r="A544" s="1" t="s">
        <v>556</v>
      </c>
      <c r="B544" s="4">
        <v>45244</v>
      </c>
      <c r="C544" s="1" t="s">
        <v>1756</v>
      </c>
      <c r="D544" s="1" t="s">
        <v>2405</v>
      </c>
      <c r="E544" s="1">
        <v>1</v>
      </c>
      <c r="F544" s="1">
        <v>17.98</v>
      </c>
      <c r="G544" s="1" t="s">
        <v>2415</v>
      </c>
      <c r="H544" s="1" t="s">
        <v>3069</v>
      </c>
      <c r="I544" s="1" t="s">
        <v>3071</v>
      </c>
      <c r="J544" s="1" t="s">
        <v>3617</v>
      </c>
      <c r="K544" s="1">
        <v>6</v>
      </c>
      <c r="L544" s="1" t="s">
        <v>4276</v>
      </c>
      <c r="M544" s="1" t="s">
        <v>4280</v>
      </c>
      <c r="N544" s="6" t="str">
        <f t="shared" si="17"/>
        <v>Nov</v>
      </c>
      <c r="O544" s="1">
        <v>17.98</v>
      </c>
      <c r="T544" s="4"/>
      <c r="U544" s="1" t="str">
        <f t="shared" si="18"/>
        <v>Normal</v>
      </c>
    </row>
    <row r="545" spans="1:21" x14ac:dyDescent="0.25">
      <c r="A545" s="1" t="s">
        <v>557</v>
      </c>
      <c r="B545" s="4">
        <v>45360</v>
      </c>
      <c r="C545" s="1" t="s">
        <v>1757</v>
      </c>
      <c r="D545" s="1" t="s">
        <v>2409</v>
      </c>
      <c r="E545" s="1">
        <v>5</v>
      </c>
      <c r="F545" s="1">
        <v>269.86</v>
      </c>
      <c r="G545" s="1" t="s">
        <v>2569</v>
      </c>
      <c r="H545" s="1" t="s">
        <v>3069</v>
      </c>
      <c r="I545" s="1" t="s">
        <v>3070</v>
      </c>
      <c r="J545" s="1" t="s">
        <v>3618</v>
      </c>
      <c r="K545" s="1">
        <v>6</v>
      </c>
      <c r="L545" s="1" t="s">
        <v>4277</v>
      </c>
      <c r="M545" s="1" t="s">
        <v>4281</v>
      </c>
      <c r="N545" s="6" t="str">
        <f t="shared" si="17"/>
        <v>Mar</v>
      </c>
      <c r="O545" s="1">
        <v>1349.3</v>
      </c>
      <c r="T545" s="4"/>
      <c r="U545" s="1" t="str">
        <f t="shared" si="18"/>
        <v>Normal</v>
      </c>
    </row>
    <row r="546" spans="1:21" x14ac:dyDescent="0.25">
      <c r="A546" s="1" t="s">
        <v>558</v>
      </c>
      <c r="B546" s="4">
        <v>45361</v>
      </c>
      <c r="C546" s="1" t="s">
        <v>1758</v>
      </c>
      <c r="D546" s="1" t="s">
        <v>2407</v>
      </c>
      <c r="E546" s="1">
        <v>5</v>
      </c>
      <c r="F546" s="1">
        <v>31.96</v>
      </c>
      <c r="G546" s="1" t="s">
        <v>2726</v>
      </c>
      <c r="H546" s="1" t="s">
        <v>3067</v>
      </c>
      <c r="I546" s="1" t="s">
        <v>3072</v>
      </c>
      <c r="J546" s="1" t="s">
        <v>3619</v>
      </c>
      <c r="K546" s="1">
        <v>5</v>
      </c>
      <c r="L546" s="1" t="s">
        <v>4276</v>
      </c>
      <c r="M546" s="1" t="s">
        <v>4279</v>
      </c>
      <c r="N546" s="6" t="str">
        <f t="shared" si="17"/>
        <v>Mar</v>
      </c>
      <c r="O546" s="1">
        <v>159.80000000000001</v>
      </c>
      <c r="T546" s="4"/>
      <c r="U546" s="1" t="str">
        <f t="shared" si="18"/>
        <v>Normal</v>
      </c>
    </row>
    <row r="547" spans="1:21" x14ac:dyDescent="0.25">
      <c r="A547" s="1" t="s">
        <v>559</v>
      </c>
      <c r="B547" s="4">
        <v>45279</v>
      </c>
      <c r="C547" s="1" t="s">
        <v>1759</v>
      </c>
      <c r="D547" s="1" t="s">
        <v>2403</v>
      </c>
      <c r="E547" s="1">
        <v>2</v>
      </c>
      <c r="F547" s="1">
        <v>98.47</v>
      </c>
      <c r="G547" s="1" t="s">
        <v>2813</v>
      </c>
      <c r="H547" s="1" t="s">
        <v>3069</v>
      </c>
      <c r="I547" s="1" t="s">
        <v>3072</v>
      </c>
      <c r="J547" s="1" t="s">
        <v>3620</v>
      </c>
      <c r="K547" s="1">
        <v>3</v>
      </c>
      <c r="L547" s="1" t="s">
        <v>4283</v>
      </c>
      <c r="M547" s="1" t="s">
        <v>4278</v>
      </c>
      <c r="N547" s="6" t="str">
        <f t="shared" si="17"/>
        <v>Dec</v>
      </c>
      <c r="O547" s="1">
        <v>196.94</v>
      </c>
      <c r="T547" s="4"/>
      <c r="U547" s="1" t="str">
        <f t="shared" si="18"/>
        <v>Normal</v>
      </c>
    </row>
    <row r="548" spans="1:21" x14ac:dyDescent="0.25">
      <c r="A548" s="1" t="s">
        <v>560</v>
      </c>
      <c r="B548" s="4">
        <v>45352</v>
      </c>
      <c r="C548" s="1" t="s">
        <v>1760</v>
      </c>
      <c r="D548" s="1" t="s">
        <v>2403</v>
      </c>
      <c r="E548" s="1">
        <v>1</v>
      </c>
      <c r="F548" s="1">
        <v>158.68</v>
      </c>
      <c r="G548" s="1" t="s">
        <v>2410</v>
      </c>
      <c r="H548" s="1" t="s">
        <v>3067</v>
      </c>
      <c r="I548" s="1" t="s">
        <v>3072</v>
      </c>
      <c r="J548" s="1" t="s">
        <v>3621</v>
      </c>
      <c r="K548" s="1">
        <v>6</v>
      </c>
      <c r="L548" s="1" t="s">
        <v>4277</v>
      </c>
      <c r="M548" s="1" t="s">
        <v>4278</v>
      </c>
      <c r="N548" s="6" t="str">
        <f t="shared" si="17"/>
        <v>Mar</v>
      </c>
      <c r="O548" s="1">
        <v>158.68</v>
      </c>
      <c r="T548" s="4"/>
      <c r="U548" s="1" t="str">
        <f t="shared" si="18"/>
        <v>Normal</v>
      </c>
    </row>
    <row r="549" spans="1:21" x14ac:dyDescent="0.25">
      <c r="A549" s="1" t="s">
        <v>561</v>
      </c>
      <c r="B549" s="4">
        <v>45158</v>
      </c>
      <c r="C549" s="1" t="s">
        <v>1761</v>
      </c>
      <c r="D549" s="1" t="s">
        <v>2404</v>
      </c>
      <c r="E549" s="1">
        <v>1</v>
      </c>
      <c r="F549" s="1">
        <v>613.98</v>
      </c>
      <c r="G549" s="1" t="s">
        <v>2814</v>
      </c>
      <c r="H549" s="1" t="s">
        <v>3066</v>
      </c>
      <c r="I549" s="1" t="s">
        <v>3073</v>
      </c>
      <c r="J549" s="1" t="s">
        <v>3622</v>
      </c>
      <c r="K549" s="1">
        <v>4</v>
      </c>
      <c r="L549" s="1" t="s">
        <v>4276</v>
      </c>
      <c r="M549" s="1" t="s">
        <v>4281</v>
      </c>
      <c r="N549" s="6" t="str">
        <f t="shared" si="17"/>
        <v>Aug</v>
      </c>
      <c r="O549" s="1">
        <v>613.98</v>
      </c>
      <c r="T549" s="4"/>
      <c r="U549" s="1" t="str">
        <f t="shared" si="18"/>
        <v>Normal</v>
      </c>
    </row>
    <row r="550" spans="1:21" x14ac:dyDescent="0.25">
      <c r="A550" s="1" t="s">
        <v>562</v>
      </c>
      <c r="B550" s="4">
        <v>45296</v>
      </c>
      <c r="C550" s="1" t="s">
        <v>1762</v>
      </c>
      <c r="D550" s="1" t="s">
        <v>2407</v>
      </c>
      <c r="E550" s="1">
        <v>3</v>
      </c>
      <c r="F550" s="1">
        <v>426.12</v>
      </c>
      <c r="G550" s="1" t="s">
        <v>2500</v>
      </c>
      <c r="H550" s="1" t="s">
        <v>3066</v>
      </c>
      <c r="I550" s="1" t="s">
        <v>3073</v>
      </c>
      <c r="J550" s="1" t="s">
        <v>3623</v>
      </c>
      <c r="K550" s="1">
        <v>5</v>
      </c>
      <c r="L550" s="1" t="s">
        <v>4277</v>
      </c>
      <c r="M550" s="1" t="s">
        <v>4278</v>
      </c>
      <c r="N550" s="6" t="str">
        <f t="shared" si="17"/>
        <v>Jan</v>
      </c>
      <c r="O550" s="1">
        <v>1278.3599999999999</v>
      </c>
      <c r="T550" s="4"/>
      <c r="U550" s="1" t="str">
        <f t="shared" si="18"/>
        <v>Normal</v>
      </c>
    </row>
    <row r="551" spans="1:21" x14ac:dyDescent="0.25">
      <c r="A551" s="1" t="s">
        <v>563</v>
      </c>
      <c r="B551" s="4">
        <v>45713</v>
      </c>
      <c r="C551" s="1" t="s">
        <v>1763</v>
      </c>
      <c r="D551" s="1" t="s">
        <v>2403</v>
      </c>
      <c r="E551" s="1">
        <v>4</v>
      </c>
      <c r="F551" s="1">
        <v>629.88</v>
      </c>
      <c r="G551" s="1" t="s">
        <v>2815</v>
      </c>
      <c r="H551" s="1" t="s">
        <v>3065</v>
      </c>
      <c r="I551" s="1" t="s">
        <v>3071</v>
      </c>
      <c r="J551" s="1" t="s">
        <v>3624</v>
      </c>
      <c r="K551" s="1">
        <v>8</v>
      </c>
      <c r="L551" s="1" t="s">
        <v>4277</v>
      </c>
      <c r="M551" s="1" t="s">
        <v>4278</v>
      </c>
      <c r="N551" s="6" t="str">
        <f t="shared" si="17"/>
        <v>Feb</v>
      </c>
      <c r="O551" s="1">
        <v>2519.52</v>
      </c>
      <c r="T551" s="4"/>
      <c r="U551" s="1" t="str">
        <f t="shared" si="18"/>
        <v>Normal</v>
      </c>
    </row>
    <row r="552" spans="1:21" x14ac:dyDescent="0.25">
      <c r="A552" s="1" t="s">
        <v>564</v>
      </c>
      <c r="B552" s="4">
        <v>45228</v>
      </c>
      <c r="C552" s="1" t="s">
        <v>1764</v>
      </c>
      <c r="D552" s="1" t="s">
        <v>2408</v>
      </c>
      <c r="E552" s="1">
        <v>4</v>
      </c>
      <c r="F552" s="1">
        <v>228.91</v>
      </c>
      <c r="G552" s="1" t="s">
        <v>2542</v>
      </c>
      <c r="H552" s="1" t="s">
        <v>3069</v>
      </c>
      <c r="I552" s="1" t="s">
        <v>3070</v>
      </c>
      <c r="J552" s="1" t="s">
        <v>3625</v>
      </c>
      <c r="K552" s="1">
        <v>4</v>
      </c>
      <c r="L552" s="1" t="s">
        <v>4276</v>
      </c>
      <c r="M552" s="1" t="s">
        <v>4282</v>
      </c>
      <c r="N552" s="6" t="str">
        <f t="shared" si="17"/>
        <v>Oct</v>
      </c>
      <c r="O552" s="1">
        <v>915.64</v>
      </c>
      <c r="T552" s="4"/>
      <c r="U552" s="1" t="str">
        <f t="shared" si="18"/>
        <v>Normal</v>
      </c>
    </row>
    <row r="553" spans="1:21" x14ac:dyDescent="0.25">
      <c r="A553" s="1" t="s">
        <v>565</v>
      </c>
      <c r="B553" s="4">
        <v>45064</v>
      </c>
      <c r="C553" s="1" t="s">
        <v>1765</v>
      </c>
      <c r="D553" s="1" t="s">
        <v>2408</v>
      </c>
      <c r="E553" s="1">
        <v>1</v>
      </c>
      <c r="F553" s="1">
        <v>120.98</v>
      </c>
      <c r="G553" s="1" t="s">
        <v>2528</v>
      </c>
      <c r="H553" s="1" t="s">
        <v>3065</v>
      </c>
      <c r="I553" s="1" t="s">
        <v>3073</v>
      </c>
      <c r="J553" s="1" t="s">
        <v>3626</v>
      </c>
      <c r="K553" s="1">
        <v>6</v>
      </c>
      <c r="L553" s="1" t="s">
        <v>4277</v>
      </c>
      <c r="M553" s="1" t="s">
        <v>4280</v>
      </c>
      <c r="N553" s="6" t="str">
        <f t="shared" si="17"/>
        <v>May</v>
      </c>
      <c r="O553" s="1">
        <v>120.98</v>
      </c>
      <c r="T553" s="4"/>
      <c r="U553" s="1" t="str">
        <f t="shared" si="18"/>
        <v>Normal</v>
      </c>
    </row>
    <row r="554" spans="1:21" x14ac:dyDescent="0.25">
      <c r="A554" s="1" t="s">
        <v>566</v>
      </c>
      <c r="B554" s="4">
        <v>45199</v>
      </c>
      <c r="C554" s="1" t="s">
        <v>1766</v>
      </c>
      <c r="D554" s="1" t="s">
        <v>2406</v>
      </c>
      <c r="E554" s="1">
        <v>4</v>
      </c>
      <c r="F554" s="1">
        <v>425.18</v>
      </c>
      <c r="G554" s="1" t="s">
        <v>2798</v>
      </c>
      <c r="H554" s="1" t="s">
        <v>3066</v>
      </c>
      <c r="I554" s="1" t="s">
        <v>3072</v>
      </c>
      <c r="J554" s="1" t="s">
        <v>3627</v>
      </c>
      <c r="K554" s="1">
        <v>8</v>
      </c>
      <c r="L554" s="1" t="s">
        <v>4277</v>
      </c>
      <c r="M554" s="1" t="s">
        <v>4281</v>
      </c>
      <c r="N554" s="6" t="str">
        <f t="shared" si="17"/>
        <v>Sep</v>
      </c>
      <c r="O554" s="1">
        <v>1700.72</v>
      </c>
      <c r="T554" s="4"/>
      <c r="U554" s="1" t="str">
        <f t="shared" si="18"/>
        <v>Normal</v>
      </c>
    </row>
    <row r="555" spans="1:21" x14ac:dyDescent="0.25">
      <c r="A555" s="1" t="s">
        <v>567</v>
      </c>
      <c r="B555" s="4">
        <v>45161</v>
      </c>
      <c r="C555" s="1" t="s">
        <v>1767</v>
      </c>
      <c r="D555" s="1" t="s">
        <v>2404</v>
      </c>
      <c r="E555" s="1">
        <v>2</v>
      </c>
      <c r="F555" s="1">
        <v>333.83</v>
      </c>
      <c r="G555" s="1" t="s">
        <v>2816</v>
      </c>
      <c r="H555" s="1" t="s">
        <v>3068</v>
      </c>
      <c r="I555" s="1" t="s">
        <v>3071</v>
      </c>
      <c r="J555" s="1" t="s">
        <v>3628</v>
      </c>
      <c r="K555" s="1">
        <v>4</v>
      </c>
      <c r="L555" s="1" t="s">
        <v>4276</v>
      </c>
      <c r="M555" s="1" t="s">
        <v>4279</v>
      </c>
      <c r="N555" s="6" t="str">
        <f t="shared" si="17"/>
        <v>Aug</v>
      </c>
      <c r="O555" s="1">
        <v>667.66</v>
      </c>
      <c r="T555" s="4"/>
      <c r="U555" s="1" t="str">
        <f t="shared" si="18"/>
        <v>Normal</v>
      </c>
    </row>
    <row r="556" spans="1:21" x14ac:dyDescent="0.25">
      <c r="A556" s="1" t="s">
        <v>568</v>
      </c>
      <c r="B556" s="4">
        <v>45807</v>
      </c>
      <c r="C556" s="1" t="s">
        <v>1768</v>
      </c>
      <c r="D556" s="1" t="s">
        <v>2408</v>
      </c>
      <c r="E556" s="1">
        <v>2</v>
      </c>
      <c r="F556" s="1">
        <v>492.9</v>
      </c>
      <c r="G556" s="1" t="s">
        <v>2610</v>
      </c>
      <c r="H556" s="1" t="s">
        <v>3069</v>
      </c>
      <c r="I556" s="1" t="s">
        <v>3072</v>
      </c>
      <c r="J556" s="1" t="s">
        <v>3629</v>
      </c>
      <c r="K556" s="1">
        <v>5</v>
      </c>
      <c r="L556" s="1" t="s">
        <v>4276</v>
      </c>
      <c r="M556" s="1" t="s">
        <v>4278</v>
      </c>
      <c r="N556" s="6" t="str">
        <f t="shared" si="17"/>
        <v>May</v>
      </c>
      <c r="O556" s="1">
        <v>985.8</v>
      </c>
      <c r="T556" s="4"/>
      <c r="U556" s="1" t="str">
        <f t="shared" si="18"/>
        <v>Normal</v>
      </c>
    </row>
    <row r="557" spans="1:21" x14ac:dyDescent="0.25">
      <c r="A557" s="1" t="s">
        <v>569</v>
      </c>
      <c r="B557" s="4">
        <v>44933</v>
      </c>
      <c r="C557" s="1" t="s">
        <v>1769</v>
      </c>
      <c r="D557" s="1" t="s">
        <v>2405</v>
      </c>
      <c r="E557" s="1">
        <v>1</v>
      </c>
      <c r="F557" s="1">
        <v>92.04</v>
      </c>
      <c r="G557" s="1" t="s">
        <v>2420</v>
      </c>
      <c r="H557" s="1" t="s">
        <v>3069</v>
      </c>
      <c r="I557" s="1" t="s">
        <v>3070</v>
      </c>
      <c r="J557" s="1" t="s">
        <v>3630</v>
      </c>
      <c r="K557" s="1">
        <v>2</v>
      </c>
      <c r="L557" s="1" t="s">
        <v>4283</v>
      </c>
      <c r="M557" s="1" t="s">
        <v>4281</v>
      </c>
      <c r="N557" s="6" t="str">
        <f t="shared" si="17"/>
        <v>Jan</v>
      </c>
      <c r="O557" s="1">
        <v>92.04</v>
      </c>
      <c r="T557" s="4"/>
      <c r="U557" s="1" t="str">
        <f t="shared" si="18"/>
        <v>Normal</v>
      </c>
    </row>
    <row r="558" spans="1:21" x14ac:dyDescent="0.25">
      <c r="A558" s="1" t="s">
        <v>570</v>
      </c>
      <c r="B558" s="4">
        <v>44954</v>
      </c>
      <c r="C558" s="1" t="s">
        <v>1770</v>
      </c>
      <c r="D558" s="1" t="s">
        <v>2408</v>
      </c>
      <c r="E558" s="1">
        <v>1</v>
      </c>
      <c r="F558" s="1">
        <v>654.27</v>
      </c>
      <c r="G558" s="1" t="s">
        <v>2817</v>
      </c>
      <c r="H558" s="1" t="s">
        <v>3068</v>
      </c>
      <c r="I558" s="1" t="s">
        <v>3074</v>
      </c>
      <c r="J558" s="1" t="s">
        <v>3631</v>
      </c>
      <c r="K558" s="1">
        <v>2</v>
      </c>
      <c r="L558" s="1" t="s">
        <v>4275</v>
      </c>
      <c r="M558" s="1" t="s">
        <v>4281</v>
      </c>
      <c r="N558" s="6" t="str">
        <f t="shared" si="17"/>
        <v>Jan</v>
      </c>
      <c r="O558" s="1">
        <v>654.27</v>
      </c>
      <c r="T558" s="4"/>
      <c r="U558" s="1" t="str">
        <f t="shared" si="18"/>
        <v>Normal</v>
      </c>
    </row>
    <row r="559" spans="1:21" x14ac:dyDescent="0.25">
      <c r="A559" s="1" t="s">
        <v>571</v>
      </c>
      <c r="B559" s="4">
        <v>45106</v>
      </c>
      <c r="C559" s="1" t="s">
        <v>1771</v>
      </c>
      <c r="D559" s="1" t="s">
        <v>2405</v>
      </c>
      <c r="E559" s="1">
        <v>1</v>
      </c>
      <c r="F559" s="1">
        <v>56.2</v>
      </c>
      <c r="G559" s="1" t="s">
        <v>2818</v>
      </c>
      <c r="H559" s="1" t="s">
        <v>3065</v>
      </c>
      <c r="I559" s="1" t="s">
        <v>3074</v>
      </c>
      <c r="J559" s="1" t="s">
        <v>3632</v>
      </c>
      <c r="K559" s="1">
        <v>1</v>
      </c>
      <c r="L559" s="1" t="s">
        <v>4277</v>
      </c>
      <c r="M559" s="1" t="s">
        <v>4281</v>
      </c>
      <c r="N559" s="6" t="str">
        <f t="shared" si="17"/>
        <v>Jun</v>
      </c>
      <c r="O559" s="1">
        <v>56.2</v>
      </c>
      <c r="T559" s="4"/>
      <c r="U559" s="1" t="str">
        <f t="shared" si="18"/>
        <v>Normal</v>
      </c>
    </row>
    <row r="560" spans="1:21" x14ac:dyDescent="0.25">
      <c r="A560" s="1" t="s">
        <v>572</v>
      </c>
      <c r="B560" s="4">
        <v>45489</v>
      </c>
      <c r="C560" s="1" t="s">
        <v>1772</v>
      </c>
      <c r="D560" s="1" t="s">
        <v>2404</v>
      </c>
      <c r="E560" s="1">
        <v>4</v>
      </c>
      <c r="F560" s="1">
        <v>628.12</v>
      </c>
      <c r="G560" s="1" t="s">
        <v>2819</v>
      </c>
      <c r="H560" s="1" t="s">
        <v>3066</v>
      </c>
      <c r="I560" s="1" t="s">
        <v>3073</v>
      </c>
      <c r="J560" s="1" t="s">
        <v>3633</v>
      </c>
      <c r="K560" s="1">
        <v>6</v>
      </c>
      <c r="L560" s="1" t="s">
        <v>4277</v>
      </c>
      <c r="M560" s="1" t="s">
        <v>4278</v>
      </c>
      <c r="N560" s="6" t="str">
        <f t="shared" si="17"/>
        <v>Jul</v>
      </c>
      <c r="O560" s="1">
        <v>2512.48</v>
      </c>
      <c r="T560" s="4"/>
      <c r="U560" s="1" t="str">
        <f t="shared" si="18"/>
        <v>Normal</v>
      </c>
    </row>
    <row r="561" spans="1:21" x14ac:dyDescent="0.25">
      <c r="A561" s="1" t="s">
        <v>573</v>
      </c>
      <c r="B561" s="4">
        <v>45397</v>
      </c>
      <c r="C561" s="1" t="s">
        <v>1773</v>
      </c>
      <c r="D561" s="1" t="s">
        <v>2409</v>
      </c>
      <c r="E561" s="1">
        <v>3</v>
      </c>
      <c r="F561" s="1">
        <v>157.4</v>
      </c>
      <c r="G561" s="1" t="s">
        <v>2790</v>
      </c>
      <c r="H561" s="1" t="s">
        <v>3065</v>
      </c>
      <c r="I561" s="1" t="s">
        <v>3071</v>
      </c>
      <c r="J561" s="1" t="s">
        <v>3634</v>
      </c>
      <c r="K561" s="1">
        <v>7</v>
      </c>
      <c r="L561" s="1" t="s">
        <v>4277</v>
      </c>
      <c r="M561" s="1" t="s">
        <v>4280</v>
      </c>
      <c r="N561" s="6" t="str">
        <f t="shared" si="17"/>
        <v>Apr</v>
      </c>
      <c r="O561" s="1">
        <v>472.2</v>
      </c>
      <c r="T561" s="4"/>
      <c r="U561" s="1" t="str">
        <f t="shared" si="18"/>
        <v>Normal</v>
      </c>
    </row>
    <row r="562" spans="1:21" x14ac:dyDescent="0.25">
      <c r="A562" s="1" t="s">
        <v>574</v>
      </c>
      <c r="B562" s="4">
        <v>44957</v>
      </c>
      <c r="C562" s="1" t="s">
        <v>1774</v>
      </c>
      <c r="D562" s="1" t="s">
        <v>2403</v>
      </c>
      <c r="E562" s="1">
        <v>4</v>
      </c>
      <c r="F562" s="1">
        <v>588.85</v>
      </c>
      <c r="G562" s="1" t="s">
        <v>2820</v>
      </c>
      <c r="H562" s="1" t="s">
        <v>3068</v>
      </c>
      <c r="I562" s="1" t="s">
        <v>3074</v>
      </c>
      <c r="J562" s="1" t="s">
        <v>3635</v>
      </c>
      <c r="K562" s="1">
        <v>7</v>
      </c>
      <c r="L562" s="1" t="s">
        <v>4283</v>
      </c>
      <c r="M562" s="1" t="s">
        <v>4280</v>
      </c>
      <c r="N562" s="6" t="str">
        <f t="shared" si="17"/>
        <v>Jan</v>
      </c>
      <c r="O562" s="1">
        <v>2355.4</v>
      </c>
      <c r="T562" s="4"/>
      <c r="U562" s="1" t="str">
        <f t="shared" si="18"/>
        <v>Normal</v>
      </c>
    </row>
    <row r="563" spans="1:21" x14ac:dyDescent="0.25">
      <c r="A563" s="1" t="s">
        <v>575</v>
      </c>
      <c r="B563" s="4">
        <v>44957</v>
      </c>
      <c r="C563" s="1" t="s">
        <v>1775</v>
      </c>
      <c r="D563" s="1" t="s">
        <v>2407</v>
      </c>
      <c r="E563" s="1">
        <v>2</v>
      </c>
      <c r="F563" s="1">
        <v>494.78</v>
      </c>
      <c r="G563" s="1" t="s">
        <v>2821</v>
      </c>
      <c r="H563" s="1" t="s">
        <v>3066</v>
      </c>
      <c r="I563" s="1" t="s">
        <v>3070</v>
      </c>
      <c r="J563" s="1" t="s">
        <v>3636</v>
      </c>
      <c r="K563" s="1">
        <v>2</v>
      </c>
      <c r="L563" s="1" t="s">
        <v>4283</v>
      </c>
      <c r="M563" s="1" t="s">
        <v>4282</v>
      </c>
      <c r="N563" s="6" t="str">
        <f t="shared" si="17"/>
        <v>Jan</v>
      </c>
      <c r="O563" s="1">
        <v>989.56</v>
      </c>
      <c r="T563" s="4"/>
      <c r="U563" s="1" t="str">
        <f t="shared" si="18"/>
        <v>Normal</v>
      </c>
    </row>
    <row r="564" spans="1:21" x14ac:dyDescent="0.25">
      <c r="A564" s="1" t="s">
        <v>576</v>
      </c>
      <c r="B564" s="4">
        <v>45205</v>
      </c>
      <c r="C564" s="1" t="s">
        <v>1776</v>
      </c>
      <c r="D564" s="1" t="s">
        <v>2408</v>
      </c>
      <c r="E564" s="1">
        <v>3</v>
      </c>
      <c r="F564" s="1">
        <v>663.93</v>
      </c>
      <c r="G564" s="1" t="s">
        <v>2500</v>
      </c>
      <c r="H564" s="1" t="s">
        <v>3068</v>
      </c>
      <c r="I564" s="1" t="s">
        <v>3072</v>
      </c>
      <c r="J564" s="1" t="s">
        <v>3637</v>
      </c>
      <c r="K564" s="1">
        <v>6</v>
      </c>
      <c r="L564" s="1" t="s">
        <v>4276</v>
      </c>
      <c r="M564" s="1" t="s">
        <v>4280</v>
      </c>
      <c r="N564" s="6" t="str">
        <f t="shared" si="17"/>
        <v>Oct</v>
      </c>
      <c r="O564" s="1">
        <v>1991.79</v>
      </c>
      <c r="T564" s="4"/>
      <c r="U564" s="1" t="str">
        <f t="shared" si="18"/>
        <v>Normal</v>
      </c>
    </row>
    <row r="565" spans="1:21" x14ac:dyDescent="0.25">
      <c r="A565" s="1" t="s">
        <v>577</v>
      </c>
      <c r="B565" s="4">
        <v>45272</v>
      </c>
      <c r="C565" s="1" t="s">
        <v>1777</v>
      </c>
      <c r="D565" s="1" t="s">
        <v>2408</v>
      </c>
      <c r="E565" s="1">
        <v>1</v>
      </c>
      <c r="F565" s="1">
        <v>132.68</v>
      </c>
      <c r="G565" s="1" t="s">
        <v>2822</v>
      </c>
      <c r="H565" s="1" t="s">
        <v>3065</v>
      </c>
      <c r="I565" s="1" t="s">
        <v>3072</v>
      </c>
      <c r="J565" s="1" t="s">
        <v>3638</v>
      </c>
      <c r="K565" s="1">
        <v>1</v>
      </c>
      <c r="L565" s="1" t="s">
        <v>4275</v>
      </c>
      <c r="M565" s="1" t="s">
        <v>4279</v>
      </c>
      <c r="N565" s="6" t="str">
        <f t="shared" si="17"/>
        <v>Dec</v>
      </c>
      <c r="O565" s="1">
        <v>132.68</v>
      </c>
      <c r="T565" s="4"/>
      <c r="U565" s="1" t="str">
        <f t="shared" si="18"/>
        <v>Normal</v>
      </c>
    </row>
    <row r="566" spans="1:21" x14ac:dyDescent="0.25">
      <c r="A566" s="1" t="s">
        <v>578</v>
      </c>
      <c r="B566" s="4">
        <v>45755</v>
      </c>
      <c r="C566" s="1" t="s">
        <v>1778</v>
      </c>
      <c r="D566" s="1" t="s">
        <v>2409</v>
      </c>
      <c r="E566" s="1">
        <v>5</v>
      </c>
      <c r="F566" s="1">
        <v>364.28</v>
      </c>
      <c r="G566" s="1" t="s">
        <v>2823</v>
      </c>
      <c r="H566" s="1" t="s">
        <v>3067</v>
      </c>
      <c r="I566" s="1" t="s">
        <v>3071</v>
      </c>
      <c r="J566" s="1" t="s">
        <v>3639</v>
      </c>
      <c r="K566" s="1">
        <v>5</v>
      </c>
      <c r="L566" s="1" t="s">
        <v>4277</v>
      </c>
      <c r="M566" s="1" t="s">
        <v>4282</v>
      </c>
      <c r="N566" s="6" t="str">
        <f t="shared" si="17"/>
        <v>Apr</v>
      </c>
      <c r="O566" s="1">
        <v>1821.4</v>
      </c>
      <c r="T566" s="4"/>
      <c r="U566" s="1" t="str">
        <f t="shared" si="18"/>
        <v>Normal</v>
      </c>
    </row>
    <row r="567" spans="1:21" x14ac:dyDescent="0.25">
      <c r="A567" s="1" t="s">
        <v>579</v>
      </c>
      <c r="B567" s="4">
        <v>45060</v>
      </c>
      <c r="C567" s="1" t="s">
        <v>1779</v>
      </c>
      <c r="D567" s="1" t="s">
        <v>2405</v>
      </c>
      <c r="E567" s="1">
        <v>5</v>
      </c>
      <c r="F567" s="1">
        <v>307.98</v>
      </c>
      <c r="G567" s="1" t="s">
        <v>2770</v>
      </c>
      <c r="H567" s="1" t="s">
        <v>3066</v>
      </c>
      <c r="I567" s="1" t="s">
        <v>3074</v>
      </c>
      <c r="J567" s="1" t="s">
        <v>3640</v>
      </c>
      <c r="K567" s="1">
        <v>10</v>
      </c>
      <c r="L567" s="1" t="s">
        <v>4283</v>
      </c>
      <c r="M567" s="1" t="s">
        <v>4281</v>
      </c>
      <c r="N567" s="6" t="str">
        <f t="shared" si="17"/>
        <v>May</v>
      </c>
      <c r="O567" s="1">
        <v>1539.9</v>
      </c>
      <c r="T567" s="4"/>
      <c r="U567" s="1" t="str">
        <f t="shared" si="18"/>
        <v>Normal</v>
      </c>
    </row>
    <row r="568" spans="1:21" x14ac:dyDescent="0.25">
      <c r="A568" s="1" t="s">
        <v>580</v>
      </c>
      <c r="B568" s="4">
        <v>45400</v>
      </c>
      <c r="C568" s="1" t="s">
        <v>1780</v>
      </c>
      <c r="D568" s="1" t="s">
        <v>2404</v>
      </c>
      <c r="E568" s="1">
        <v>4</v>
      </c>
      <c r="F568" s="1">
        <v>162.71</v>
      </c>
      <c r="G568" s="1" t="s">
        <v>2824</v>
      </c>
      <c r="H568" s="1" t="s">
        <v>3069</v>
      </c>
      <c r="I568" s="1" t="s">
        <v>3071</v>
      </c>
      <c r="J568" s="1" t="s">
        <v>3641</v>
      </c>
      <c r="K568" s="1">
        <v>7</v>
      </c>
      <c r="L568" s="1" t="s">
        <v>4276</v>
      </c>
      <c r="M568" s="1" t="s">
        <v>4280</v>
      </c>
      <c r="N568" s="6" t="str">
        <f t="shared" si="17"/>
        <v>Apr</v>
      </c>
      <c r="O568" s="1">
        <v>650.84</v>
      </c>
      <c r="T568" s="4"/>
      <c r="U568" s="1" t="str">
        <f t="shared" si="18"/>
        <v>Normal</v>
      </c>
    </row>
    <row r="569" spans="1:21" x14ac:dyDescent="0.25">
      <c r="A569" s="1" t="s">
        <v>581</v>
      </c>
      <c r="B569" s="4">
        <v>45565</v>
      </c>
      <c r="C569" s="1" t="s">
        <v>1781</v>
      </c>
      <c r="D569" s="1" t="s">
        <v>2406</v>
      </c>
      <c r="E569" s="1">
        <v>5</v>
      </c>
      <c r="F569" s="1">
        <v>492.94</v>
      </c>
      <c r="G569" s="1" t="s">
        <v>2632</v>
      </c>
      <c r="H569" s="1" t="s">
        <v>3069</v>
      </c>
      <c r="I569" s="1" t="s">
        <v>3070</v>
      </c>
      <c r="J569" s="1" t="s">
        <v>3642</v>
      </c>
      <c r="K569" s="1">
        <v>10</v>
      </c>
      <c r="L569" s="1" t="s">
        <v>4276</v>
      </c>
      <c r="M569" s="1" t="s">
        <v>4280</v>
      </c>
      <c r="N569" s="6" t="str">
        <f t="shared" si="17"/>
        <v>Sep</v>
      </c>
      <c r="O569" s="1">
        <v>2464.6999999999998</v>
      </c>
      <c r="T569" s="4"/>
      <c r="U569" s="1" t="str">
        <f t="shared" si="18"/>
        <v>Normal</v>
      </c>
    </row>
    <row r="570" spans="1:21" x14ac:dyDescent="0.25">
      <c r="A570" s="1" t="s">
        <v>582</v>
      </c>
      <c r="B570" s="4">
        <v>44995</v>
      </c>
      <c r="C570" s="1" t="s">
        <v>1782</v>
      </c>
      <c r="D570" s="1" t="s">
        <v>2408</v>
      </c>
      <c r="E570" s="1">
        <v>2</v>
      </c>
      <c r="F570" s="1">
        <v>343.99</v>
      </c>
      <c r="G570" s="1" t="s">
        <v>2714</v>
      </c>
      <c r="H570" s="1" t="s">
        <v>3066</v>
      </c>
      <c r="I570" s="1" t="s">
        <v>3073</v>
      </c>
      <c r="J570" s="1" t="s">
        <v>3643</v>
      </c>
      <c r="K570" s="1">
        <v>4</v>
      </c>
      <c r="L570" s="1" t="s">
        <v>4283</v>
      </c>
      <c r="M570" s="1" t="s">
        <v>4282</v>
      </c>
      <c r="N570" s="6" t="str">
        <f t="shared" si="17"/>
        <v>Mar</v>
      </c>
      <c r="O570" s="1">
        <v>687.98</v>
      </c>
      <c r="T570" s="4"/>
      <c r="U570" s="1" t="str">
        <f t="shared" si="18"/>
        <v>Normal</v>
      </c>
    </row>
    <row r="571" spans="1:21" x14ac:dyDescent="0.25">
      <c r="A571" s="1" t="s">
        <v>583</v>
      </c>
      <c r="B571" s="4">
        <v>45738</v>
      </c>
      <c r="C571" s="1" t="s">
        <v>1783</v>
      </c>
      <c r="D571" s="1" t="s">
        <v>2409</v>
      </c>
      <c r="E571" s="1">
        <v>5</v>
      </c>
      <c r="F571" s="1">
        <v>250.68</v>
      </c>
      <c r="G571" s="1" t="s">
        <v>2774</v>
      </c>
      <c r="H571" s="1" t="s">
        <v>3069</v>
      </c>
      <c r="I571" s="1" t="s">
        <v>3070</v>
      </c>
      <c r="J571" s="1" t="s">
        <v>3644</v>
      </c>
      <c r="K571" s="1">
        <v>8</v>
      </c>
      <c r="L571" s="1" t="s">
        <v>4275</v>
      </c>
      <c r="M571" s="1" t="s">
        <v>4278</v>
      </c>
      <c r="N571" s="6" t="str">
        <f t="shared" si="17"/>
        <v>Mar</v>
      </c>
      <c r="O571" s="1">
        <v>1253.4000000000001</v>
      </c>
      <c r="T571" s="4"/>
      <c r="U571" s="1" t="str">
        <f t="shared" si="18"/>
        <v>Normal</v>
      </c>
    </row>
    <row r="572" spans="1:21" x14ac:dyDescent="0.25">
      <c r="A572" s="1" t="s">
        <v>584</v>
      </c>
      <c r="B572" s="4">
        <v>45653</v>
      </c>
      <c r="C572" s="1" t="s">
        <v>1784</v>
      </c>
      <c r="D572" s="1" t="s">
        <v>2409</v>
      </c>
      <c r="E572" s="1">
        <v>2</v>
      </c>
      <c r="F572" s="1">
        <v>362.14</v>
      </c>
      <c r="G572" s="1" t="s">
        <v>2518</v>
      </c>
      <c r="H572" s="1" t="s">
        <v>3065</v>
      </c>
      <c r="I572" s="1" t="s">
        <v>3074</v>
      </c>
      <c r="J572" s="1" t="s">
        <v>3645</v>
      </c>
      <c r="K572" s="1">
        <v>2</v>
      </c>
      <c r="L572" s="1" t="s">
        <v>4275</v>
      </c>
      <c r="M572" s="1" t="s">
        <v>4278</v>
      </c>
      <c r="N572" s="6" t="str">
        <f t="shared" si="17"/>
        <v>Dec</v>
      </c>
      <c r="O572" s="1">
        <v>724.28</v>
      </c>
      <c r="T572" s="4"/>
      <c r="U572" s="1" t="str">
        <f t="shared" si="18"/>
        <v>Normal</v>
      </c>
    </row>
    <row r="573" spans="1:21" x14ac:dyDescent="0.25">
      <c r="A573" s="1" t="s">
        <v>585</v>
      </c>
      <c r="B573" s="4">
        <v>45619</v>
      </c>
      <c r="C573" s="1" t="s">
        <v>1785</v>
      </c>
      <c r="D573" s="1" t="s">
        <v>2405</v>
      </c>
      <c r="E573" s="1">
        <v>1</v>
      </c>
      <c r="F573" s="1">
        <v>214.08</v>
      </c>
      <c r="G573" s="1" t="s">
        <v>2779</v>
      </c>
      <c r="H573" s="1" t="s">
        <v>3068</v>
      </c>
      <c r="I573" s="1" t="s">
        <v>3072</v>
      </c>
      <c r="J573" s="1" t="s">
        <v>3646</v>
      </c>
      <c r="K573" s="1">
        <v>2</v>
      </c>
      <c r="L573" s="1" t="s">
        <v>4277</v>
      </c>
      <c r="M573" s="1" t="s">
        <v>4282</v>
      </c>
      <c r="N573" s="6" t="str">
        <f t="shared" si="17"/>
        <v>Nov</v>
      </c>
      <c r="O573" s="1">
        <v>214.08</v>
      </c>
      <c r="T573" s="4"/>
      <c r="U573" s="1" t="str">
        <f t="shared" si="18"/>
        <v>Normal</v>
      </c>
    </row>
    <row r="574" spans="1:21" x14ac:dyDescent="0.25">
      <c r="A574" s="1" t="s">
        <v>586</v>
      </c>
      <c r="B574" s="4">
        <v>45241</v>
      </c>
      <c r="C574" s="1" t="s">
        <v>1786</v>
      </c>
      <c r="D574" s="1" t="s">
        <v>2407</v>
      </c>
      <c r="E574" s="1">
        <v>1</v>
      </c>
      <c r="F574" s="1">
        <v>70.319999999999993</v>
      </c>
      <c r="G574" s="1" t="s">
        <v>2722</v>
      </c>
      <c r="H574" s="1" t="s">
        <v>3069</v>
      </c>
      <c r="I574" s="1" t="s">
        <v>3072</v>
      </c>
      <c r="J574" s="1" t="s">
        <v>3647</v>
      </c>
      <c r="K574" s="1">
        <v>4</v>
      </c>
      <c r="L574" s="1" t="s">
        <v>4277</v>
      </c>
      <c r="M574" s="1" t="s">
        <v>4281</v>
      </c>
      <c r="N574" s="6" t="str">
        <f t="shared" si="17"/>
        <v>Nov</v>
      </c>
      <c r="O574" s="1">
        <v>70.319999999999993</v>
      </c>
      <c r="T574" s="4"/>
      <c r="U574" s="1" t="str">
        <f t="shared" si="18"/>
        <v>Normal</v>
      </c>
    </row>
    <row r="575" spans="1:21" x14ac:dyDescent="0.25">
      <c r="A575" s="1" t="s">
        <v>587</v>
      </c>
      <c r="B575" s="4">
        <v>44951</v>
      </c>
      <c r="C575" s="1" t="s">
        <v>1787</v>
      </c>
      <c r="D575" s="1" t="s">
        <v>2406</v>
      </c>
      <c r="E575" s="1">
        <v>5</v>
      </c>
      <c r="F575" s="1">
        <v>421.42</v>
      </c>
      <c r="G575" s="1" t="s">
        <v>2511</v>
      </c>
      <c r="H575" s="1" t="s">
        <v>3065</v>
      </c>
      <c r="I575" s="1" t="s">
        <v>3071</v>
      </c>
      <c r="J575" s="1" t="s">
        <v>3648</v>
      </c>
      <c r="K575" s="1">
        <v>7</v>
      </c>
      <c r="L575" s="1" t="s">
        <v>4283</v>
      </c>
      <c r="M575" s="1" t="s">
        <v>4278</v>
      </c>
      <c r="N575" s="6" t="str">
        <f t="shared" si="17"/>
        <v>Jan</v>
      </c>
      <c r="O575" s="1">
        <v>2107.1</v>
      </c>
      <c r="T575" s="4"/>
      <c r="U575" s="1" t="str">
        <f t="shared" si="18"/>
        <v>Normal</v>
      </c>
    </row>
    <row r="576" spans="1:21" x14ac:dyDescent="0.25">
      <c r="A576" s="1" t="s">
        <v>588</v>
      </c>
      <c r="B576" s="4">
        <v>45315</v>
      </c>
      <c r="C576" s="1" t="s">
        <v>1788</v>
      </c>
      <c r="D576" s="1" t="s">
        <v>2406</v>
      </c>
      <c r="E576" s="1">
        <v>5</v>
      </c>
      <c r="F576" s="1">
        <v>384.69</v>
      </c>
      <c r="G576" s="1" t="s">
        <v>2413</v>
      </c>
      <c r="H576" s="1" t="s">
        <v>3067</v>
      </c>
      <c r="I576" s="1" t="s">
        <v>3074</v>
      </c>
      <c r="J576" s="1" t="s">
        <v>3649</v>
      </c>
      <c r="K576" s="1">
        <v>6</v>
      </c>
      <c r="L576" s="1" t="s">
        <v>4276</v>
      </c>
      <c r="M576" s="1" t="s">
        <v>4280</v>
      </c>
      <c r="N576" s="6" t="str">
        <f t="shared" si="17"/>
        <v>Jan</v>
      </c>
      <c r="O576" s="1">
        <v>1923.45</v>
      </c>
      <c r="T576" s="4"/>
      <c r="U576" s="1" t="str">
        <f t="shared" si="18"/>
        <v>Normal</v>
      </c>
    </row>
    <row r="577" spans="1:21" x14ac:dyDescent="0.25">
      <c r="A577" s="1" t="s">
        <v>589</v>
      </c>
      <c r="B577" s="4">
        <v>45084</v>
      </c>
      <c r="C577" s="1" t="s">
        <v>1789</v>
      </c>
      <c r="D577" s="1" t="s">
        <v>2406</v>
      </c>
      <c r="E577" s="1">
        <v>5</v>
      </c>
      <c r="F577" s="1">
        <v>448.15</v>
      </c>
      <c r="G577" s="1" t="s">
        <v>2825</v>
      </c>
      <c r="H577" s="1" t="s">
        <v>3068</v>
      </c>
      <c r="I577" s="1" t="s">
        <v>3072</v>
      </c>
      <c r="J577" s="1" t="s">
        <v>3650</v>
      </c>
      <c r="K577" s="1">
        <v>7</v>
      </c>
      <c r="L577" s="1" t="s">
        <v>4275</v>
      </c>
      <c r="M577" s="1" t="s">
        <v>4282</v>
      </c>
      <c r="N577" s="6" t="str">
        <f t="shared" si="17"/>
        <v>Jun</v>
      </c>
      <c r="O577" s="1">
        <v>2240.75</v>
      </c>
      <c r="T577" s="4"/>
      <c r="U577" s="1" t="str">
        <f t="shared" si="18"/>
        <v>Normal</v>
      </c>
    </row>
    <row r="578" spans="1:21" x14ac:dyDescent="0.25">
      <c r="A578" s="1" t="s">
        <v>590</v>
      </c>
      <c r="B578" s="4">
        <v>45441</v>
      </c>
      <c r="C578" s="1" t="s">
        <v>1790</v>
      </c>
      <c r="D578" s="1" t="s">
        <v>2408</v>
      </c>
      <c r="E578" s="1">
        <v>5</v>
      </c>
      <c r="F578" s="1">
        <v>79.08</v>
      </c>
      <c r="G578" s="1" t="s">
        <v>2710</v>
      </c>
      <c r="H578" s="1" t="s">
        <v>3069</v>
      </c>
      <c r="I578" s="1" t="s">
        <v>3074</v>
      </c>
      <c r="J578" s="1" t="s">
        <v>3651</v>
      </c>
      <c r="K578" s="1">
        <v>8</v>
      </c>
      <c r="L578" s="1" t="s">
        <v>4283</v>
      </c>
      <c r="M578" s="1" t="s">
        <v>4281</v>
      </c>
      <c r="N578" s="6" t="str">
        <f t="shared" ref="N578:N641" si="19">TEXT(B578,"MMM")</f>
        <v>May</v>
      </c>
      <c r="O578" s="1">
        <v>395.4</v>
      </c>
      <c r="T578" s="4"/>
      <c r="U578" s="1" t="str">
        <f t="shared" si="18"/>
        <v>Normal</v>
      </c>
    </row>
    <row r="579" spans="1:21" x14ac:dyDescent="0.25">
      <c r="A579" s="1" t="s">
        <v>591</v>
      </c>
      <c r="B579" s="4">
        <v>44948</v>
      </c>
      <c r="C579" s="1" t="s">
        <v>1791</v>
      </c>
      <c r="D579" s="1" t="s">
        <v>2405</v>
      </c>
      <c r="E579" s="1">
        <v>4</v>
      </c>
      <c r="F579" s="1">
        <v>185.41</v>
      </c>
      <c r="G579" s="1" t="s">
        <v>2488</v>
      </c>
      <c r="H579" s="1" t="s">
        <v>3066</v>
      </c>
      <c r="I579" s="1" t="s">
        <v>3072</v>
      </c>
      <c r="J579" s="1" t="s">
        <v>3652</v>
      </c>
      <c r="K579" s="1">
        <v>9</v>
      </c>
      <c r="L579" s="1" t="s">
        <v>4277</v>
      </c>
      <c r="M579" s="1" t="s">
        <v>4282</v>
      </c>
      <c r="N579" s="6" t="str">
        <f t="shared" si="19"/>
        <v>Jan</v>
      </c>
      <c r="O579" s="1">
        <v>741.64</v>
      </c>
      <c r="T579" s="4"/>
      <c r="U579" s="1" t="str">
        <f t="shared" ref="U579:U642" si="20">IF(O579&gt;$S$2,"Outlier","Normal")</f>
        <v>Normal</v>
      </c>
    </row>
    <row r="580" spans="1:21" x14ac:dyDescent="0.25">
      <c r="A580" s="1" t="s">
        <v>592</v>
      </c>
      <c r="B580" s="4">
        <v>45575</v>
      </c>
      <c r="C580" s="1" t="s">
        <v>1792</v>
      </c>
      <c r="D580" s="1" t="s">
        <v>2403</v>
      </c>
      <c r="E580" s="1">
        <v>5</v>
      </c>
      <c r="F580" s="1">
        <v>566.07000000000005</v>
      </c>
      <c r="G580" s="1" t="s">
        <v>2430</v>
      </c>
      <c r="H580" s="1" t="s">
        <v>3067</v>
      </c>
      <c r="I580" s="1" t="s">
        <v>3073</v>
      </c>
      <c r="J580" s="1" t="s">
        <v>3653</v>
      </c>
      <c r="K580" s="1">
        <v>6</v>
      </c>
      <c r="L580" s="1" t="s">
        <v>4275</v>
      </c>
      <c r="M580" s="1" t="s">
        <v>4278</v>
      </c>
      <c r="N580" s="6" t="str">
        <f t="shared" si="19"/>
        <v>Oct</v>
      </c>
      <c r="O580" s="1">
        <v>2830.35</v>
      </c>
      <c r="T580" s="4"/>
      <c r="U580" s="1" t="str">
        <f t="shared" si="20"/>
        <v>Normal</v>
      </c>
    </row>
    <row r="581" spans="1:21" x14ac:dyDescent="0.25">
      <c r="A581" s="1" t="s">
        <v>593</v>
      </c>
      <c r="B581" s="4">
        <v>45081</v>
      </c>
      <c r="C581" s="1" t="s">
        <v>1793</v>
      </c>
      <c r="D581" s="1" t="s">
        <v>2405</v>
      </c>
      <c r="E581" s="1">
        <v>2</v>
      </c>
      <c r="F581" s="1">
        <v>187.88</v>
      </c>
      <c r="G581" s="1" t="s">
        <v>2679</v>
      </c>
      <c r="H581" s="1" t="s">
        <v>3066</v>
      </c>
      <c r="I581" s="1" t="s">
        <v>3070</v>
      </c>
      <c r="J581" s="1" t="s">
        <v>3654</v>
      </c>
      <c r="K581" s="1">
        <v>4</v>
      </c>
      <c r="L581" s="1" t="s">
        <v>4277</v>
      </c>
      <c r="M581" s="1" t="s">
        <v>4281</v>
      </c>
      <c r="N581" s="6" t="str">
        <f t="shared" si="19"/>
        <v>Jun</v>
      </c>
      <c r="O581" s="1">
        <v>375.76</v>
      </c>
      <c r="T581" s="4"/>
      <c r="U581" s="1" t="str">
        <f t="shared" si="20"/>
        <v>Normal</v>
      </c>
    </row>
    <row r="582" spans="1:21" x14ac:dyDescent="0.25">
      <c r="A582" s="1" t="s">
        <v>594</v>
      </c>
      <c r="B582" s="4">
        <v>45244</v>
      </c>
      <c r="C582" s="1" t="s">
        <v>1794</v>
      </c>
      <c r="D582" s="1" t="s">
        <v>2403</v>
      </c>
      <c r="E582" s="1">
        <v>2</v>
      </c>
      <c r="F582" s="1">
        <v>255.99</v>
      </c>
      <c r="G582" s="1" t="s">
        <v>2826</v>
      </c>
      <c r="H582" s="1" t="s">
        <v>3067</v>
      </c>
      <c r="I582" s="1" t="s">
        <v>3073</v>
      </c>
      <c r="J582" s="1" t="s">
        <v>3655</v>
      </c>
      <c r="K582" s="1">
        <v>4</v>
      </c>
      <c r="L582" s="1" t="s">
        <v>4275</v>
      </c>
      <c r="M582" s="1" t="s">
        <v>4278</v>
      </c>
      <c r="N582" s="6" t="str">
        <f t="shared" si="19"/>
        <v>Nov</v>
      </c>
      <c r="O582" s="1">
        <v>511.98</v>
      </c>
      <c r="T582" s="4"/>
      <c r="U582" s="1" t="str">
        <f t="shared" si="20"/>
        <v>Normal</v>
      </c>
    </row>
    <row r="583" spans="1:21" x14ac:dyDescent="0.25">
      <c r="A583" s="1" t="s">
        <v>595</v>
      </c>
      <c r="B583" s="4">
        <v>45607</v>
      </c>
      <c r="C583" s="1" t="s">
        <v>1795</v>
      </c>
      <c r="D583" s="1" t="s">
        <v>2408</v>
      </c>
      <c r="E583" s="1">
        <v>1</v>
      </c>
      <c r="F583" s="1">
        <v>627.34</v>
      </c>
      <c r="G583" s="1" t="s">
        <v>2425</v>
      </c>
      <c r="H583" s="1" t="s">
        <v>3066</v>
      </c>
      <c r="I583" s="1" t="s">
        <v>3073</v>
      </c>
      <c r="J583" s="1" t="s">
        <v>3656</v>
      </c>
      <c r="K583" s="1">
        <v>1</v>
      </c>
      <c r="L583" s="1" t="s">
        <v>4283</v>
      </c>
      <c r="M583" s="1" t="s">
        <v>4279</v>
      </c>
      <c r="N583" s="6" t="str">
        <f t="shared" si="19"/>
        <v>Nov</v>
      </c>
      <c r="O583" s="1">
        <v>627.34</v>
      </c>
      <c r="T583" s="4"/>
      <c r="U583" s="1" t="str">
        <f t="shared" si="20"/>
        <v>Normal</v>
      </c>
    </row>
    <row r="584" spans="1:21" x14ac:dyDescent="0.25">
      <c r="A584" s="1" t="s">
        <v>596</v>
      </c>
      <c r="B584" s="4">
        <v>45341</v>
      </c>
      <c r="C584" s="1" t="s">
        <v>1796</v>
      </c>
      <c r="D584" s="1" t="s">
        <v>2405</v>
      </c>
      <c r="E584" s="1">
        <v>3</v>
      </c>
      <c r="F584" s="1">
        <v>474.14</v>
      </c>
      <c r="G584" s="1" t="s">
        <v>2727</v>
      </c>
      <c r="H584" s="1" t="s">
        <v>3068</v>
      </c>
      <c r="I584" s="1" t="s">
        <v>3070</v>
      </c>
      <c r="J584" s="1" t="s">
        <v>3657</v>
      </c>
      <c r="K584" s="1">
        <v>8</v>
      </c>
      <c r="L584" s="1" t="s">
        <v>4277</v>
      </c>
      <c r="M584" s="1" t="s">
        <v>4282</v>
      </c>
      <c r="N584" s="6" t="str">
        <f t="shared" si="19"/>
        <v>Feb</v>
      </c>
      <c r="O584" s="1">
        <v>1422.42</v>
      </c>
      <c r="T584" s="4"/>
      <c r="U584" s="1" t="str">
        <f t="shared" si="20"/>
        <v>Normal</v>
      </c>
    </row>
    <row r="585" spans="1:21" x14ac:dyDescent="0.25">
      <c r="A585" s="1" t="s">
        <v>597</v>
      </c>
      <c r="B585" s="4">
        <v>45823</v>
      </c>
      <c r="C585" s="1" t="s">
        <v>1797</v>
      </c>
      <c r="D585" s="1" t="s">
        <v>2406</v>
      </c>
      <c r="E585" s="1">
        <v>3</v>
      </c>
      <c r="F585" s="1">
        <v>154.37</v>
      </c>
      <c r="G585" s="1" t="s">
        <v>2441</v>
      </c>
      <c r="H585" s="1" t="s">
        <v>3068</v>
      </c>
      <c r="I585" s="1" t="s">
        <v>3073</v>
      </c>
      <c r="J585" s="1" t="s">
        <v>3658</v>
      </c>
      <c r="K585" s="1">
        <v>4</v>
      </c>
      <c r="L585" s="1" t="s">
        <v>4283</v>
      </c>
      <c r="M585" s="1" t="s">
        <v>4278</v>
      </c>
      <c r="N585" s="6" t="str">
        <f t="shared" si="19"/>
        <v>Jun</v>
      </c>
      <c r="O585" s="1">
        <v>463.11</v>
      </c>
      <c r="T585" s="4"/>
      <c r="U585" s="1" t="str">
        <f t="shared" si="20"/>
        <v>Normal</v>
      </c>
    </row>
    <row r="586" spans="1:21" x14ac:dyDescent="0.25">
      <c r="A586" s="1" t="s">
        <v>598</v>
      </c>
      <c r="B586" s="4">
        <v>45737</v>
      </c>
      <c r="C586" s="1" t="s">
        <v>1798</v>
      </c>
      <c r="D586" s="1" t="s">
        <v>2406</v>
      </c>
      <c r="E586" s="1">
        <v>4</v>
      </c>
      <c r="F586" s="1">
        <v>145.05000000000001</v>
      </c>
      <c r="G586" s="1" t="s">
        <v>2827</v>
      </c>
      <c r="H586" s="1" t="s">
        <v>3066</v>
      </c>
      <c r="I586" s="1" t="s">
        <v>3073</v>
      </c>
      <c r="J586" s="1" t="s">
        <v>3659</v>
      </c>
      <c r="K586" s="1">
        <v>6</v>
      </c>
      <c r="L586" s="1" t="s">
        <v>4275</v>
      </c>
      <c r="M586" s="1" t="s">
        <v>4282</v>
      </c>
      <c r="N586" s="6" t="str">
        <f t="shared" si="19"/>
        <v>Mar</v>
      </c>
      <c r="O586" s="1">
        <v>580.20000000000005</v>
      </c>
      <c r="T586" s="4"/>
      <c r="U586" s="1" t="str">
        <f t="shared" si="20"/>
        <v>Normal</v>
      </c>
    </row>
    <row r="587" spans="1:21" x14ac:dyDescent="0.25">
      <c r="A587" s="1" t="s">
        <v>599</v>
      </c>
      <c r="B587" s="4">
        <v>45158</v>
      </c>
      <c r="C587" s="1" t="s">
        <v>1799</v>
      </c>
      <c r="D587" s="1" t="s">
        <v>2405</v>
      </c>
      <c r="E587" s="1">
        <v>4</v>
      </c>
      <c r="F587" s="1">
        <v>67.08</v>
      </c>
      <c r="G587" s="1" t="s">
        <v>2709</v>
      </c>
      <c r="H587" s="1" t="s">
        <v>3069</v>
      </c>
      <c r="I587" s="1" t="s">
        <v>3072</v>
      </c>
      <c r="J587" s="1" t="s">
        <v>3660</v>
      </c>
      <c r="K587" s="1">
        <v>8</v>
      </c>
      <c r="L587" s="1" t="s">
        <v>4277</v>
      </c>
      <c r="M587" s="1" t="s">
        <v>4282</v>
      </c>
      <c r="N587" s="6" t="str">
        <f t="shared" si="19"/>
        <v>Aug</v>
      </c>
      <c r="O587" s="1">
        <v>268.32</v>
      </c>
      <c r="T587" s="4"/>
      <c r="U587" s="1" t="str">
        <f t="shared" si="20"/>
        <v>Normal</v>
      </c>
    </row>
    <row r="588" spans="1:21" x14ac:dyDescent="0.25">
      <c r="A588" s="1" t="s">
        <v>600</v>
      </c>
      <c r="B588" s="4">
        <v>45606</v>
      </c>
      <c r="C588" s="1" t="s">
        <v>1800</v>
      </c>
      <c r="D588" s="1" t="s">
        <v>2403</v>
      </c>
      <c r="E588" s="1">
        <v>1</v>
      </c>
      <c r="F588" s="1">
        <v>522.08000000000004</v>
      </c>
      <c r="G588" s="1" t="s">
        <v>2828</v>
      </c>
      <c r="H588" s="1" t="s">
        <v>3068</v>
      </c>
      <c r="I588" s="1" t="s">
        <v>3072</v>
      </c>
      <c r="J588" s="1" t="s">
        <v>3661</v>
      </c>
      <c r="K588" s="1">
        <v>5</v>
      </c>
      <c r="L588" s="1" t="s">
        <v>4276</v>
      </c>
      <c r="M588" s="1" t="s">
        <v>4279</v>
      </c>
      <c r="N588" s="6" t="str">
        <f t="shared" si="19"/>
        <v>Nov</v>
      </c>
      <c r="O588" s="1">
        <v>522.08000000000004</v>
      </c>
      <c r="T588" s="4"/>
      <c r="U588" s="1" t="str">
        <f t="shared" si="20"/>
        <v>Normal</v>
      </c>
    </row>
    <row r="589" spans="1:21" x14ac:dyDescent="0.25">
      <c r="A589" s="1" t="s">
        <v>601</v>
      </c>
      <c r="B589" s="4">
        <v>45089</v>
      </c>
      <c r="C589" s="1" t="s">
        <v>1801</v>
      </c>
      <c r="D589" s="1" t="s">
        <v>2403</v>
      </c>
      <c r="E589" s="1">
        <v>5</v>
      </c>
      <c r="F589" s="1">
        <v>514.6</v>
      </c>
      <c r="G589" s="1" t="s">
        <v>2829</v>
      </c>
      <c r="H589" s="1" t="s">
        <v>3068</v>
      </c>
      <c r="I589" s="1" t="s">
        <v>3073</v>
      </c>
      <c r="J589" s="1" t="s">
        <v>3662</v>
      </c>
      <c r="K589" s="1">
        <v>10</v>
      </c>
      <c r="L589" s="1" t="s">
        <v>4276</v>
      </c>
      <c r="M589" s="1" t="s">
        <v>4278</v>
      </c>
      <c r="N589" s="6" t="str">
        <f t="shared" si="19"/>
        <v>Jun</v>
      </c>
      <c r="O589" s="1">
        <v>2573</v>
      </c>
      <c r="T589" s="4"/>
      <c r="U589" s="1" t="str">
        <f t="shared" si="20"/>
        <v>Normal</v>
      </c>
    </row>
    <row r="590" spans="1:21" x14ac:dyDescent="0.25">
      <c r="A590" s="1" t="s">
        <v>602</v>
      </c>
      <c r="B590" s="4">
        <v>45636</v>
      </c>
      <c r="C590" s="1" t="s">
        <v>1802</v>
      </c>
      <c r="D590" s="1" t="s">
        <v>2403</v>
      </c>
      <c r="E590" s="1">
        <v>4</v>
      </c>
      <c r="F590" s="1">
        <v>577.82000000000005</v>
      </c>
      <c r="G590" s="1" t="s">
        <v>2465</v>
      </c>
      <c r="H590" s="1" t="s">
        <v>3067</v>
      </c>
      <c r="I590" s="1" t="s">
        <v>3073</v>
      </c>
      <c r="J590" s="1" t="s">
        <v>3663</v>
      </c>
      <c r="K590" s="1">
        <v>9</v>
      </c>
      <c r="L590" s="1" t="s">
        <v>4283</v>
      </c>
      <c r="M590" s="1" t="s">
        <v>4282</v>
      </c>
      <c r="N590" s="6" t="str">
        <f t="shared" si="19"/>
        <v>Dec</v>
      </c>
      <c r="O590" s="1">
        <v>2311.2800000000002</v>
      </c>
      <c r="T590" s="4"/>
      <c r="U590" s="1" t="str">
        <f t="shared" si="20"/>
        <v>Normal</v>
      </c>
    </row>
    <row r="591" spans="1:21" x14ac:dyDescent="0.25">
      <c r="A591" s="1" t="s">
        <v>603</v>
      </c>
      <c r="B591" s="4">
        <v>45698</v>
      </c>
      <c r="C591" s="1" t="s">
        <v>1803</v>
      </c>
      <c r="D591" s="1" t="s">
        <v>2408</v>
      </c>
      <c r="E591" s="1">
        <v>2</v>
      </c>
      <c r="F591" s="1">
        <v>500.8</v>
      </c>
      <c r="G591" s="1" t="s">
        <v>2830</v>
      </c>
      <c r="H591" s="1" t="s">
        <v>3069</v>
      </c>
      <c r="I591" s="1" t="s">
        <v>3073</v>
      </c>
      <c r="J591" s="1" t="s">
        <v>3664</v>
      </c>
      <c r="K591" s="1">
        <v>3</v>
      </c>
      <c r="L591" s="1" t="s">
        <v>4276</v>
      </c>
      <c r="M591" s="1" t="s">
        <v>4279</v>
      </c>
      <c r="N591" s="6" t="str">
        <f t="shared" si="19"/>
        <v>Feb</v>
      </c>
      <c r="O591" s="1">
        <v>1001.6</v>
      </c>
      <c r="T591" s="4"/>
      <c r="U591" s="1" t="str">
        <f t="shared" si="20"/>
        <v>Normal</v>
      </c>
    </row>
    <row r="592" spans="1:21" x14ac:dyDescent="0.25">
      <c r="A592" s="1" t="s">
        <v>604</v>
      </c>
      <c r="B592" s="4">
        <v>45179</v>
      </c>
      <c r="C592" s="1" t="s">
        <v>1804</v>
      </c>
      <c r="D592" s="1" t="s">
        <v>2407</v>
      </c>
      <c r="E592" s="1">
        <v>2</v>
      </c>
      <c r="F592" s="1">
        <v>461.13</v>
      </c>
      <c r="G592" s="1" t="s">
        <v>2831</v>
      </c>
      <c r="H592" s="1" t="s">
        <v>3068</v>
      </c>
      <c r="I592" s="1" t="s">
        <v>3072</v>
      </c>
      <c r="J592" s="1" t="s">
        <v>3665</v>
      </c>
      <c r="K592" s="1">
        <v>4</v>
      </c>
      <c r="L592" s="1" t="s">
        <v>4283</v>
      </c>
      <c r="M592" s="1" t="s">
        <v>4280</v>
      </c>
      <c r="N592" s="6" t="str">
        <f t="shared" si="19"/>
        <v>Sep</v>
      </c>
      <c r="O592" s="1">
        <v>922.26</v>
      </c>
      <c r="T592" s="4"/>
      <c r="U592" s="1" t="str">
        <f t="shared" si="20"/>
        <v>Normal</v>
      </c>
    </row>
    <row r="593" spans="1:21" x14ac:dyDescent="0.25">
      <c r="A593" s="1" t="s">
        <v>605</v>
      </c>
      <c r="B593" s="4">
        <v>45614</v>
      </c>
      <c r="C593" s="1" t="s">
        <v>1805</v>
      </c>
      <c r="D593" s="1" t="s">
        <v>2408</v>
      </c>
      <c r="E593" s="1">
        <v>1</v>
      </c>
      <c r="F593" s="1">
        <v>605.28</v>
      </c>
      <c r="G593" s="1" t="s">
        <v>2832</v>
      </c>
      <c r="H593" s="1" t="s">
        <v>3068</v>
      </c>
      <c r="I593" s="1" t="s">
        <v>3070</v>
      </c>
      <c r="J593" s="1" t="s">
        <v>3666</v>
      </c>
      <c r="K593" s="1">
        <v>3</v>
      </c>
      <c r="L593" s="1" t="s">
        <v>4276</v>
      </c>
      <c r="M593" s="1" t="s">
        <v>4279</v>
      </c>
      <c r="N593" s="6" t="str">
        <f t="shared" si="19"/>
        <v>Nov</v>
      </c>
      <c r="O593" s="1">
        <v>605.28</v>
      </c>
      <c r="T593" s="4"/>
      <c r="U593" s="1" t="str">
        <f t="shared" si="20"/>
        <v>Normal</v>
      </c>
    </row>
    <row r="594" spans="1:21" x14ac:dyDescent="0.25">
      <c r="A594" s="1" t="s">
        <v>606</v>
      </c>
      <c r="B594" s="4">
        <v>45405</v>
      </c>
      <c r="C594" s="1" t="s">
        <v>1806</v>
      </c>
      <c r="D594" s="1" t="s">
        <v>2404</v>
      </c>
      <c r="E594" s="1">
        <v>3</v>
      </c>
      <c r="F594" s="1">
        <v>204.27</v>
      </c>
      <c r="G594" s="1" t="s">
        <v>2803</v>
      </c>
      <c r="H594" s="1" t="s">
        <v>3066</v>
      </c>
      <c r="I594" s="1" t="s">
        <v>3072</v>
      </c>
      <c r="J594" s="1" t="s">
        <v>3667</v>
      </c>
      <c r="K594" s="1">
        <v>4</v>
      </c>
      <c r="L594" s="1" t="s">
        <v>4283</v>
      </c>
      <c r="M594" s="1" t="s">
        <v>4282</v>
      </c>
      <c r="N594" s="6" t="str">
        <f t="shared" si="19"/>
        <v>Apr</v>
      </c>
      <c r="O594" s="1">
        <v>612.81000000000006</v>
      </c>
      <c r="T594" s="4"/>
      <c r="U594" s="1" t="str">
        <f t="shared" si="20"/>
        <v>Normal</v>
      </c>
    </row>
    <row r="595" spans="1:21" x14ac:dyDescent="0.25">
      <c r="A595" s="1" t="s">
        <v>607</v>
      </c>
      <c r="B595" s="4">
        <v>45140</v>
      </c>
      <c r="C595" s="1" t="s">
        <v>1807</v>
      </c>
      <c r="D595" s="1" t="s">
        <v>2403</v>
      </c>
      <c r="E595" s="1">
        <v>1</v>
      </c>
      <c r="F595" s="1">
        <v>489.8</v>
      </c>
      <c r="G595" s="1" t="s">
        <v>2535</v>
      </c>
      <c r="H595" s="1" t="s">
        <v>3068</v>
      </c>
      <c r="I595" s="1" t="s">
        <v>3070</v>
      </c>
      <c r="J595" s="1" t="s">
        <v>3668</v>
      </c>
      <c r="K595" s="1">
        <v>4</v>
      </c>
      <c r="L595" s="1" t="s">
        <v>4276</v>
      </c>
      <c r="M595" s="1" t="s">
        <v>4281</v>
      </c>
      <c r="N595" s="6" t="str">
        <f t="shared" si="19"/>
        <v>Aug</v>
      </c>
      <c r="O595" s="1">
        <v>489.8</v>
      </c>
      <c r="T595" s="4"/>
      <c r="U595" s="1" t="str">
        <f t="shared" si="20"/>
        <v>Normal</v>
      </c>
    </row>
    <row r="596" spans="1:21" x14ac:dyDescent="0.25">
      <c r="A596" s="1" t="s">
        <v>608</v>
      </c>
      <c r="B596" s="4">
        <v>45343</v>
      </c>
      <c r="C596" s="1" t="s">
        <v>1808</v>
      </c>
      <c r="D596" s="1" t="s">
        <v>2404</v>
      </c>
      <c r="E596" s="1">
        <v>5</v>
      </c>
      <c r="F596" s="1">
        <v>72.64</v>
      </c>
      <c r="G596" s="1" t="s">
        <v>2538</v>
      </c>
      <c r="H596" s="1" t="s">
        <v>3067</v>
      </c>
      <c r="I596" s="1" t="s">
        <v>3071</v>
      </c>
      <c r="J596" s="1" t="s">
        <v>3669</v>
      </c>
      <c r="K596" s="1">
        <v>7</v>
      </c>
      <c r="L596" s="1" t="s">
        <v>4283</v>
      </c>
      <c r="M596" s="1" t="s">
        <v>4280</v>
      </c>
      <c r="N596" s="6" t="str">
        <f t="shared" si="19"/>
        <v>Feb</v>
      </c>
      <c r="O596" s="1">
        <v>363.2</v>
      </c>
      <c r="T596" s="4"/>
      <c r="U596" s="1" t="str">
        <f t="shared" si="20"/>
        <v>Normal</v>
      </c>
    </row>
    <row r="597" spans="1:21" x14ac:dyDescent="0.25">
      <c r="A597" s="1" t="s">
        <v>609</v>
      </c>
      <c r="B597" s="4">
        <v>45667</v>
      </c>
      <c r="C597" s="1" t="s">
        <v>1809</v>
      </c>
      <c r="D597" s="1" t="s">
        <v>2407</v>
      </c>
      <c r="E597" s="1">
        <v>2</v>
      </c>
      <c r="F597" s="1">
        <v>385.16</v>
      </c>
      <c r="G597" s="1" t="s">
        <v>2833</v>
      </c>
      <c r="H597" s="1" t="s">
        <v>3066</v>
      </c>
      <c r="I597" s="1" t="s">
        <v>3074</v>
      </c>
      <c r="J597" s="1" t="s">
        <v>3670</v>
      </c>
      <c r="K597" s="1">
        <v>7</v>
      </c>
      <c r="L597" s="1" t="s">
        <v>4275</v>
      </c>
      <c r="M597" s="1" t="s">
        <v>4280</v>
      </c>
      <c r="N597" s="6" t="str">
        <f t="shared" si="19"/>
        <v>Jan</v>
      </c>
      <c r="O597" s="1">
        <v>770.32</v>
      </c>
      <c r="T597" s="4"/>
      <c r="U597" s="1" t="str">
        <f t="shared" si="20"/>
        <v>Normal</v>
      </c>
    </row>
    <row r="598" spans="1:21" x14ac:dyDescent="0.25">
      <c r="A598" s="1" t="s">
        <v>610</v>
      </c>
      <c r="B598" s="4">
        <v>45089</v>
      </c>
      <c r="C598" s="1" t="s">
        <v>1810</v>
      </c>
      <c r="D598" s="1" t="s">
        <v>2409</v>
      </c>
      <c r="E598" s="1">
        <v>3</v>
      </c>
      <c r="F598" s="1">
        <v>606.41</v>
      </c>
      <c r="G598" s="1" t="s">
        <v>2834</v>
      </c>
      <c r="H598" s="1" t="s">
        <v>3065</v>
      </c>
      <c r="I598" s="1" t="s">
        <v>3072</v>
      </c>
      <c r="J598" s="1" t="s">
        <v>3671</v>
      </c>
      <c r="K598" s="1">
        <v>7</v>
      </c>
      <c r="L598" s="1" t="s">
        <v>4276</v>
      </c>
      <c r="M598" s="1" t="s">
        <v>4281</v>
      </c>
      <c r="N598" s="6" t="str">
        <f t="shared" si="19"/>
        <v>Jun</v>
      </c>
      <c r="O598" s="1">
        <v>1819.23</v>
      </c>
      <c r="T598" s="4"/>
      <c r="U598" s="1" t="str">
        <f t="shared" si="20"/>
        <v>Normal</v>
      </c>
    </row>
    <row r="599" spans="1:21" x14ac:dyDescent="0.25">
      <c r="A599" s="1" t="s">
        <v>611</v>
      </c>
      <c r="B599" s="4">
        <v>45621</v>
      </c>
      <c r="C599" s="1" t="s">
        <v>1811</v>
      </c>
      <c r="D599" s="1" t="s">
        <v>2409</v>
      </c>
      <c r="E599" s="1">
        <v>2</v>
      </c>
      <c r="F599" s="1">
        <v>211.82</v>
      </c>
      <c r="G599" s="1" t="s">
        <v>2835</v>
      </c>
      <c r="H599" s="1" t="s">
        <v>3068</v>
      </c>
      <c r="I599" s="1" t="s">
        <v>3071</v>
      </c>
      <c r="J599" s="1" t="s">
        <v>3672</v>
      </c>
      <c r="K599" s="1">
        <v>4</v>
      </c>
      <c r="L599" s="1" t="s">
        <v>4277</v>
      </c>
      <c r="M599" s="1" t="s">
        <v>4280</v>
      </c>
      <c r="N599" s="6" t="str">
        <f t="shared" si="19"/>
        <v>Nov</v>
      </c>
      <c r="O599" s="1">
        <v>423.64</v>
      </c>
      <c r="T599" s="4"/>
      <c r="U599" s="1" t="str">
        <f t="shared" si="20"/>
        <v>Normal</v>
      </c>
    </row>
    <row r="600" spans="1:21" x14ac:dyDescent="0.25">
      <c r="A600" s="1" t="s">
        <v>612</v>
      </c>
      <c r="B600" s="4">
        <v>45408</v>
      </c>
      <c r="C600" s="1" t="s">
        <v>1812</v>
      </c>
      <c r="D600" s="1" t="s">
        <v>2409</v>
      </c>
      <c r="E600" s="1">
        <v>5</v>
      </c>
      <c r="F600" s="1">
        <v>495.35</v>
      </c>
      <c r="G600" s="1" t="s">
        <v>2693</v>
      </c>
      <c r="H600" s="1" t="s">
        <v>3067</v>
      </c>
      <c r="I600" s="1" t="s">
        <v>3074</v>
      </c>
      <c r="J600" s="1" t="s">
        <v>3673</v>
      </c>
      <c r="K600" s="1">
        <v>5</v>
      </c>
      <c r="L600" s="1" t="s">
        <v>4283</v>
      </c>
      <c r="M600" s="1" t="s">
        <v>4281</v>
      </c>
      <c r="N600" s="6" t="str">
        <f t="shared" si="19"/>
        <v>Apr</v>
      </c>
      <c r="O600" s="1">
        <v>2476.75</v>
      </c>
      <c r="T600" s="4"/>
      <c r="U600" s="1" t="str">
        <f t="shared" si="20"/>
        <v>Normal</v>
      </c>
    </row>
    <row r="601" spans="1:21" x14ac:dyDescent="0.25">
      <c r="A601" s="1" t="s">
        <v>613</v>
      </c>
      <c r="B601" s="4">
        <v>45107</v>
      </c>
      <c r="C601" s="1" t="s">
        <v>1813</v>
      </c>
      <c r="D601" s="1" t="s">
        <v>2406</v>
      </c>
      <c r="E601" s="1">
        <v>3</v>
      </c>
      <c r="F601" s="1">
        <v>556.99</v>
      </c>
      <c r="G601" s="1" t="s">
        <v>2739</v>
      </c>
      <c r="H601" s="1" t="s">
        <v>3066</v>
      </c>
      <c r="I601" s="1" t="s">
        <v>3071</v>
      </c>
      <c r="J601" s="1" t="s">
        <v>3674</v>
      </c>
      <c r="K601" s="1">
        <v>4</v>
      </c>
      <c r="L601" s="1" t="s">
        <v>4276</v>
      </c>
      <c r="M601" s="1" t="s">
        <v>4281</v>
      </c>
      <c r="N601" s="6" t="str">
        <f t="shared" si="19"/>
        <v>Jun</v>
      </c>
      <c r="O601" s="1">
        <v>1670.97</v>
      </c>
      <c r="T601" s="4"/>
      <c r="U601" s="1" t="str">
        <f t="shared" si="20"/>
        <v>Normal</v>
      </c>
    </row>
    <row r="602" spans="1:21" x14ac:dyDescent="0.25">
      <c r="A602" s="1" t="s">
        <v>614</v>
      </c>
      <c r="B602" s="4">
        <v>45072</v>
      </c>
      <c r="C602" s="1" t="s">
        <v>1814</v>
      </c>
      <c r="D602" s="1" t="s">
        <v>2407</v>
      </c>
      <c r="E602" s="1">
        <v>1</v>
      </c>
      <c r="F602" s="1">
        <v>72.31</v>
      </c>
      <c r="G602" s="1" t="s">
        <v>2633</v>
      </c>
      <c r="H602" s="1" t="s">
        <v>3068</v>
      </c>
      <c r="I602" s="1" t="s">
        <v>3071</v>
      </c>
      <c r="J602" s="1" t="s">
        <v>3675</v>
      </c>
      <c r="K602" s="1">
        <v>1</v>
      </c>
      <c r="L602" s="1" t="s">
        <v>4276</v>
      </c>
      <c r="M602" s="1" t="s">
        <v>4281</v>
      </c>
      <c r="N602" s="6" t="str">
        <f t="shared" si="19"/>
        <v>May</v>
      </c>
      <c r="O602" s="1">
        <v>72.31</v>
      </c>
      <c r="T602" s="4"/>
      <c r="U602" s="1" t="str">
        <f t="shared" si="20"/>
        <v>Normal</v>
      </c>
    </row>
    <row r="603" spans="1:21" x14ac:dyDescent="0.25">
      <c r="A603" s="1" t="s">
        <v>615</v>
      </c>
      <c r="B603" s="4">
        <v>45201</v>
      </c>
      <c r="C603" s="1" t="s">
        <v>1815</v>
      </c>
      <c r="D603" s="1" t="s">
        <v>2403</v>
      </c>
      <c r="E603" s="1">
        <v>5</v>
      </c>
      <c r="F603" s="1">
        <v>24.82</v>
      </c>
      <c r="G603" s="1" t="s">
        <v>2836</v>
      </c>
      <c r="H603" s="1" t="s">
        <v>3067</v>
      </c>
      <c r="I603" s="1" t="s">
        <v>3070</v>
      </c>
      <c r="J603" s="1" t="s">
        <v>3676</v>
      </c>
      <c r="K603" s="1">
        <v>10</v>
      </c>
      <c r="L603" s="1" t="s">
        <v>4283</v>
      </c>
      <c r="M603" s="1" t="s">
        <v>4279</v>
      </c>
      <c r="N603" s="6" t="str">
        <f t="shared" si="19"/>
        <v>Oct</v>
      </c>
      <c r="O603" s="1">
        <v>124.1</v>
      </c>
      <c r="T603" s="4"/>
      <c r="U603" s="1" t="str">
        <f t="shared" si="20"/>
        <v>Normal</v>
      </c>
    </row>
    <row r="604" spans="1:21" x14ac:dyDescent="0.25">
      <c r="A604" s="1" t="s">
        <v>616</v>
      </c>
      <c r="B604" s="4">
        <v>45356</v>
      </c>
      <c r="C604" s="1" t="s">
        <v>1696</v>
      </c>
      <c r="D604" s="1" t="s">
        <v>2405</v>
      </c>
      <c r="E604" s="1">
        <v>4</v>
      </c>
      <c r="F604" s="1">
        <v>26.04</v>
      </c>
      <c r="G604" s="1" t="s">
        <v>2782</v>
      </c>
      <c r="H604" s="1" t="s">
        <v>3066</v>
      </c>
      <c r="I604" s="1" t="s">
        <v>3074</v>
      </c>
      <c r="J604" s="1" t="s">
        <v>3677</v>
      </c>
      <c r="K604" s="1">
        <v>5</v>
      </c>
      <c r="L604" s="1" t="s">
        <v>4275</v>
      </c>
      <c r="M604" s="1" t="s">
        <v>4278</v>
      </c>
      <c r="N604" s="6" t="str">
        <f t="shared" si="19"/>
        <v>Mar</v>
      </c>
      <c r="O604" s="1">
        <v>104.16</v>
      </c>
      <c r="T604" s="4"/>
      <c r="U604" s="1" t="str">
        <f t="shared" si="20"/>
        <v>Normal</v>
      </c>
    </row>
    <row r="605" spans="1:21" x14ac:dyDescent="0.25">
      <c r="A605" s="1" t="s">
        <v>617</v>
      </c>
      <c r="B605" s="4">
        <v>45569</v>
      </c>
      <c r="C605" s="1" t="s">
        <v>1816</v>
      </c>
      <c r="D605" s="1" t="s">
        <v>2405</v>
      </c>
      <c r="E605" s="1">
        <v>1</v>
      </c>
      <c r="F605" s="1">
        <v>657.07</v>
      </c>
      <c r="G605" s="1" t="s">
        <v>2837</v>
      </c>
      <c r="H605" s="1" t="s">
        <v>3069</v>
      </c>
      <c r="I605" s="1" t="s">
        <v>3074</v>
      </c>
      <c r="J605" s="1" t="s">
        <v>3678</v>
      </c>
      <c r="K605" s="1">
        <v>4</v>
      </c>
      <c r="L605" s="1" t="s">
        <v>4275</v>
      </c>
      <c r="M605" s="1" t="s">
        <v>4282</v>
      </c>
      <c r="N605" s="6" t="str">
        <f t="shared" si="19"/>
        <v>Oct</v>
      </c>
      <c r="O605" s="1">
        <v>657.07</v>
      </c>
      <c r="T605" s="4"/>
      <c r="U605" s="1" t="str">
        <f t="shared" si="20"/>
        <v>Normal</v>
      </c>
    </row>
    <row r="606" spans="1:21" x14ac:dyDescent="0.25">
      <c r="A606" s="1" t="s">
        <v>618</v>
      </c>
      <c r="B606" s="4">
        <v>45830</v>
      </c>
      <c r="C606" s="1" t="s">
        <v>1817</v>
      </c>
      <c r="D606" s="1" t="s">
        <v>2406</v>
      </c>
      <c r="E606" s="1">
        <v>3</v>
      </c>
      <c r="F606" s="1">
        <v>32.619999999999997</v>
      </c>
      <c r="G606" s="1" t="s">
        <v>2661</v>
      </c>
      <c r="H606" s="1" t="s">
        <v>3065</v>
      </c>
      <c r="I606" s="1" t="s">
        <v>3073</v>
      </c>
      <c r="J606" s="1" t="s">
        <v>3679</v>
      </c>
      <c r="K606" s="1">
        <v>6</v>
      </c>
      <c r="L606" s="1" t="s">
        <v>4283</v>
      </c>
      <c r="M606" s="1" t="s">
        <v>4281</v>
      </c>
      <c r="N606" s="6" t="str">
        <f t="shared" si="19"/>
        <v>Jun</v>
      </c>
      <c r="O606" s="1">
        <v>97.859999999999985</v>
      </c>
      <c r="T606" s="4"/>
      <c r="U606" s="1" t="str">
        <f t="shared" si="20"/>
        <v>Normal</v>
      </c>
    </row>
    <row r="607" spans="1:21" x14ac:dyDescent="0.25">
      <c r="A607" s="1" t="s">
        <v>619</v>
      </c>
      <c r="B607" s="4">
        <v>45422</v>
      </c>
      <c r="C607" s="1" t="s">
        <v>1818</v>
      </c>
      <c r="D607" s="1" t="s">
        <v>2403</v>
      </c>
      <c r="E607" s="1">
        <v>2</v>
      </c>
      <c r="F607" s="1">
        <v>228.91</v>
      </c>
      <c r="G607" s="1" t="s">
        <v>2838</v>
      </c>
      <c r="H607" s="1" t="s">
        <v>3065</v>
      </c>
      <c r="I607" s="1" t="s">
        <v>3070</v>
      </c>
      <c r="J607" s="1" t="s">
        <v>3680</v>
      </c>
      <c r="K607" s="1">
        <v>4</v>
      </c>
      <c r="L607" s="1" t="s">
        <v>4275</v>
      </c>
      <c r="M607" s="1" t="s">
        <v>4279</v>
      </c>
      <c r="N607" s="6" t="str">
        <f t="shared" si="19"/>
        <v>May</v>
      </c>
      <c r="O607" s="1">
        <v>457.82</v>
      </c>
      <c r="T607" s="4"/>
      <c r="U607" s="1" t="str">
        <f t="shared" si="20"/>
        <v>Normal</v>
      </c>
    </row>
    <row r="608" spans="1:21" x14ac:dyDescent="0.25">
      <c r="A608" s="1" t="s">
        <v>620</v>
      </c>
      <c r="B608" s="4">
        <v>45602</v>
      </c>
      <c r="C608" s="1" t="s">
        <v>1819</v>
      </c>
      <c r="D608" s="1" t="s">
        <v>2408</v>
      </c>
      <c r="E608" s="1">
        <v>3</v>
      </c>
      <c r="F608" s="1">
        <v>274.75</v>
      </c>
      <c r="G608" s="1" t="s">
        <v>2614</v>
      </c>
      <c r="H608" s="1" t="s">
        <v>3069</v>
      </c>
      <c r="I608" s="1" t="s">
        <v>3071</v>
      </c>
      <c r="J608" s="1" t="s">
        <v>3681</v>
      </c>
      <c r="K608" s="1">
        <v>3</v>
      </c>
      <c r="L608" s="1" t="s">
        <v>4275</v>
      </c>
      <c r="M608" s="1" t="s">
        <v>4282</v>
      </c>
      <c r="N608" s="6" t="str">
        <f t="shared" si="19"/>
        <v>Nov</v>
      </c>
      <c r="O608" s="1">
        <v>824.25</v>
      </c>
      <c r="T608" s="4"/>
      <c r="U608" s="1" t="str">
        <f t="shared" si="20"/>
        <v>Normal</v>
      </c>
    </row>
    <row r="609" spans="1:21" x14ac:dyDescent="0.25">
      <c r="A609" s="1" t="s">
        <v>621</v>
      </c>
      <c r="B609" s="4">
        <v>45808</v>
      </c>
      <c r="C609" s="1" t="s">
        <v>1820</v>
      </c>
      <c r="D609" s="1" t="s">
        <v>2407</v>
      </c>
      <c r="E609" s="1">
        <v>4</v>
      </c>
      <c r="F609" s="1">
        <v>634.04999999999995</v>
      </c>
      <c r="G609" s="1" t="s">
        <v>2839</v>
      </c>
      <c r="H609" s="1" t="s">
        <v>3069</v>
      </c>
      <c r="I609" s="1" t="s">
        <v>3070</v>
      </c>
      <c r="J609" s="1" t="s">
        <v>3682</v>
      </c>
      <c r="K609" s="1">
        <v>6</v>
      </c>
      <c r="L609" s="1" t="s">
        <v>4275</v>
      </c>
      <c r="M609" s="1" t="s">
        <v>4282</v>
      </c>
      <c r="N609" s="6" t="str">
        <f t="shared" si="19"/>
        <v>May</v>
      </c>
      <c r="O609" s="1">
        <v>2536.1999999999998</v>
      </c>
      <c r="T609" s="4"/>
      <c r="U609" s="1" t="str">
        <f t="shared" si="20"/>
        <v>Normal</v>
      </c>
    </row>
    <row r="610" spans="1:21" x14ac:dyDescent="0.25">
      <c r="A610" s="1" t="s">
        <v>622</v>
      </c>
      <c r="B610" s="4">
        <v>45497</v>
      </c>
      <c r="C610" s="1" t="s">
        <v>1821</v>
      </c>
      <c r="D610" s="1" t="s">
        <v>2408</v>
      </c>
      <c r="E610" s="1">
        <v>5</v>
      </c>
      <c r="F610" s="1">
        <v>543.16</v>
      </c>
      <c r="G610" s="1" t="s">
        <v>2840</v>
      </c>
      <c r="H610" s="1" t="s">
        <v>3066</v>
      </c>
      <c r="I610" s="1" t="s">
        <v>3071</v>
      </c>
      <c r="J610" s="1" t="s">
        <v>3683</v>
      </c>
      <c r="K610" s="1">
        <v>6</v>
      </c>
      <c r="L610" s="1" t="s">
        <v>4275</v>
      </c>
      <c r="M610" s="1" t="s">
        <v>4278</v>
      </c>
      <c r="N610" s="6" t="str">
        <f t="shared" si="19"/>
        <v>Jul</v>
      </c>
      <c r="O610" s="1">
        <v>2715.8</v>
      </c>
      <c r="T610" s="4"/>
      <c r="U610" s="1" t="str">
        <f t="shared" si="20"/>
        <v>Normal</v>
      </c>
    </row>
    <row r="611" spans="1:21" x14ac:dyDescent="0.25">
      <c r="A611" s="1" t="s">
        <v>623</v>
      </c>
      <c r="B611" s="4">
        <v>45684</v>
      </c>
      <c r="C611" s="1" t="s">
        <v>1822</v>
      </c>
      <c r="D611" s="1" t="s">
        <v>2406</v>
      </c>
      <c r="E611" s="1">
        <v>3</v>
      </c>
      <c r="F611" s="1">
        <v>449.13</v>
      </c>
      <c r="G611" s="1" t="s">
        <v>2841</v>
      </c>
      <c r="H611" s="1" t="s">
        <v>3069</v>
      </c>
      <c r="I611" s="1" t="s">
        <v>3072</v>
      </c>
      <c r="J611" s="1" t="s">
        <v>3684</v>
      </c>
      <c r="K611" s="1">
        <v>5</v>
      </c>
      <c r="L611" s="1" t="s">
        <v>4277</v>
      </c>
      <c r="M611" s="1" t="s">
        <v>4279</v>
      </c>
      <c r="N611" s="6" t="str">
        <f t="shared" si="19"/>
        <v>Jan</v>
      </c>
      <c r="O611" s="1">
        <v>1347.39</v>
      </c>
      <c r="T611" s="4"/>
      <c r="U611" s="1" t="str">
        <f t="shared" si="20"/>
        <v>Normal</v>
      </c>
    </row>
    <row r="612" spans="1:21" x14ac:dyDescent="0.25">
      <c r="A612" s="1" t="s">
        <v>624</v>
      </c>
      <c r="B612" s="4">
        <v>45459</v>
      </c>
      <c r="C612" s="1" t="s">
        <v>1823</v>
      </c>
      <c r="D612" s="1" t="s">
        <v>2409</v>
      </c>
      <c r="E612" s="1">
        <v>5</v>
      </c>
      <c r="F612" s="1">
        <v>389.62</v>
      </c>
      <c r="G612" s="1" t="s">
        <v>2460</v>
      </c>
      <c r="H612" s="1" t="s">
        <v>3069</v>
      </c>
      <c r="I612" s="1" t="s">
        <v>3072</v>
      </c>
      <c r="J612" s="1" t="s">
        <v>3685</v>
      </c>
      <c r="K612" s="1">
        <v>7</v>
      </c>
      <c r="L612" s="1" t="s">
        <v>4276</v>
      </c>
      <c r="M612" s="1" t="s">
        <v>4281</v>
      </c>
      <c r="N612" s="6" t="str">
        <f t="shared" si="19"/>
        <v>Jun</v>
      </c>
      <c r="O612" s="1">
        <v>1948.1</v>
      </c>
      <c r="T612" s="4"/>
      <c r="U612" s="1" t="str">
        <f t="shared" si="20"/>
        <v>Normal</v>
      </c>
    </row>
    <row r="613" spans="1:21" x14ac:dyDescent="0.25">
      <c r="A613" s="1" t="s">
        <v>625</v>
      </c>
      <c r="B613" s="4">
        <v>45037</v>
      </c>
      <c r="C613" s="1" t="s">
        <v>1824</v>
      </c>
      <c r="D613" s="1" t="s">
        <v>2409</v>
      </c>
      <c r="E613" s="1">
        <v>1</v>
      </c>
      <c r="F613" s="1">
        <v>305.17</v>
      </c>
      <c r="G613" s="1" t="s">
        <v>2835</v>
      </c>
      <c r="H613" s="1" t="s">
        <v>3068</v>
      </c>
      <c r="I613" s="1" t="s">
        <v>3072</v>
      </c>
      <c r="J613" s="1" t="s">
        <v>3686</v>
      </c>
      <c r="K613" s="1">
        <v>3</v>
      </c>
      <c r="L613" s="1" t="s">
        <v>4277</v>
      </c>
      <c r="M613" s="1" t="s">
        <v>4279</v>
      </c>
      <c r="N613" s="6" t="str">
        <f t="shared" si="19"/>
        <v>Apr</v>
      </c>
      <c r="O613" s="1">
        <v>305.17</v>
      </c>
      <c r="T613" s="4"/>
      <c r="U613" s="1" t="str">
        <f t="shared" si="20"/>
        <v>Normal</v>
      </c>
    </row>
    <row r="614" spans="1:21" x14ac:dyDescent="0.25">
      <c r="A614" s="1" t="s">
        <v>626</v>
      </c>
      <c r="B614" s="4">
        <v>45079</v>
      </c>
      <c r="C614" s="1" t="s">
        <v>1825</v>
      </c>
      <c r="D614" s="1" t="s">
        <v>2406</v>
      </c>
      <c r="E614" s="1">
        <v>3</v>
      </c>
      <c r="F614" s="1">
        <v>445.12</v>
      </c>
      <c r="G614" s="1" t="s">
        <v>2678</v>
      </c>
      <c r="H614" s="1" t="s">
        <v>3068</v>
      </c>
      <c r="I614" s="1" t="s">
        <v>3071</v>
      </c>
      <c r="J614" s="1" t="s">
        <v>3687</v>
      </c>
      <c r="K614" s="1">
        <v>8</v>
      </c>
      <c r="L614" s="1" t="s">
        <v>4283</v>
      </c>
      <c r="M614" s="1" t="s">
        <v>4282</v>
      </c>
      <c r="N614" s="6" t="str">
        <f t="shared" si="19"/>
        <v>Jun</v>
      </c>
      <c r="O614" s="1">
        <v>1335.36</v>
      </c>
      <c r="T614" s="4"/>
      <c r="U614" s="1" t="str">
        <f t="shared" si="20"/>
        <v>Normal</v>
      </c>
    </row>
    <row r="615" spans="1:21" x14ac:dyDescent="0.25">
      <c r="A615" s="1" t="s">
        <v>627</v>
      </c>
      <c r="B615" s="4">
        <v>45645</v>
      </c>
      <c r="C615" s="1" t="s">
        <v>1826</v>
      </c>
      <c r="D615" s="1" t="s">
        <v>2408</v>
      </c>
      <c r="E615" s="1">
        <v>2</v>
      </c>
      <c r="F615" s="1">
        <v>230.36</v>
      </c>
      <c r="G615" s="1" t="s">
        <v>2842</v>
      </c>
      <c r="H615" s="1" t="s">
        <v>3066</v>
      </c>
      <c r="I615" s="1" t="s">
        <v>3072</v>
      </c>
      <c r="J615" s="1" t="s">
        <v>3688</v>
      </c>
      <c r="K615" s="1">
        <v>4</v>
      </c>
      <c r="L615" s="1" t="s">
        <v>4277</v>
      </c>
      <c r="M615" s="1" t="s">
        <v>4280</v>
      </c>
      <c r="N615" s="6" t="str">
        <f t="shared" si="19"/>
        <v>Dec</v>
      </c>
      <c r="O615" s="1">
        <v>460.72</v>
      </c>
      <c r="T615" s="4"/>
      <c r="U615" s="1" t="str">
        <f t="shared" si="20"/>
        <v>Normal</v>
      </c>
    </row>
    <row r="616" spans="1:21" x14ac:dyDescent="0.25">
      <c r="A616" s="1" t="s">
        <v>628</v>
      </c>
      <c r="B616" s="4">
        <v>45359</v>
      </c>
      <c r="C616" s="1" t="s">
        <v>1827</v>
      </c>
      <c r="D616" s="1" t="s">
        <v>2404</v>
      </c>
      <c r="E616" s="1">
        <v>1</v>
      </c>
      <c r="F616" s="1">
        <v>96.81</v>
      </c>
      <c r="G616" s="1" t="s">
        <v>2521</v>
      </c>
      <c r="H616" s="1" t="s">
        <v>3068</v>
      </c>
      <c r="I616" s="1" t="s">
        <v>3071</v>
      </c>
      <c r="J616" s="1" t="s">
        <v>3689</v>
      </c>
      <c r="K616" s="1">
        <v>3</v>
      </c>
      <c r="L616" s="1" t="s">
        <v>4283</v>
      </c>
      <c r="M616" s="1" t="s">
        <v>4279</v>
      </c>
      <c r="N616" s="6" t="str">
        <f t="shared" si="19"/>
        <v>Mar</v>
      </c>
      <c r="O616" s="1">
        <v>96.81</v>
      </c>
      <c r="T616" s="4"/>
      <c r="U616" s="1" t="str">
        <f t="shared" si="20"/>
        <v>Normal</v>
      </c>
    </row>
    <row r="617" spans="1:21" x14ac:dyDescent="0.25">
      <c r="A617" s="1" t="s">
        <v>629</v>
      </c>
      <c r="B617" s="4">
        <v>45723</v>
      </c>
      <c r="C617" s="1" t="s">
        <v>1828</v>
      </c>
      <c r="D617" s="1" t="s">
        <v>2403</v>
      </c>
      <c r="E617" s="1">
        <v>5</v>
      </c>
      <c r="F617" s="1">
        <v>460.14</v>
      </c>
      <c r="G617" s="1" t="s">
        <v>2661</v>
      </c>
      <c r="H617" s="1" t="s">
        <v>3067</v>
      </c>
      <c r="I617" s="1" t="s">
        <v>3072</v>
      </c>
      <c r="J617" s="1" t="s">
        <v>3690</v>
      </c>
      <c r="K617" s="1">
        <v>10</v>
      </c>
      <c r="L617" s="1" t="s">
        <v>4277</v>
      </c>
      <c r="M617" s="1" t="s">
        <v>4281</v>
      </c>
      <c r="N617" s="6" t="str">
        <f t="shared" si="19"/>
        <v>Mar</v>
      </c>
      <c r="O617" s="1">
        <v>2300.6999999999998</v>
      </c>
      <c r="T617" s="4"/>
      <c r="U617" s="1" t="str">
        <f t="shared" si="20"/>
        <v>Normal</v>
      </c>
    </row>
    <row r="618" spans="1:21" x14ac:dyDescent="0.25">
      <c r="A618" s="1" t="s">
        <v>630</v>
      </c>
      <c r="B618" s="4">
        <v>45582</v>
      </c>
      <c r="C618" s="1" t="s">
        <v>1829</v>
      </c>
      <c r="D618" s="1" t="s">
        <v>2405</v>
      </c>
      <c r="E618" s="1">
        <v>3</v>
      </c>
      <c r="F618" s="1">
        <v>601.6</v>
      </c>
      <c r="G618" s="1" t="s">
        <v>2843</v>
      </c>
      <c r="H618" s="1" t="s">
        <v>3067</v>
      </c>
      <c r="I618" s="1" t="s">
        <v>3071</v>
      </c>
      <c r="J618" s="1" t="s">
        <v>3691</v>
      </c>
      <c r="K618" s="1">
        <v>7</v>
      </c>
      <c r="L618" s="1" t="s">
        <v>4275</v>
      </c>
      <c r="M618" s="1" t="s">
        <v>4281</v>
      </c>
      <c r="N618" s="6" t="str">
        <f t="shared" si="19"/>
        <v>Oct</v>
      </c>
      <c r="O618" s="1">
        <v>1804.8</v>
      </c>
      <c r="T618" s="4"/>
      <c r="U618" s="1" t="str">
        <f t="shared" si="20"/>
        <v>Normal</v>
      </c>
    </row>
    <row r="619" spans="1:21" x14ac:dyDescent="0.25">
      <c r="A619" s="1" t="s">
        <v>631</v>
      </c>
      <c r="B619" s="4">
        <v>45330</v>
      </c>
      <c r="C619" s="1" t="s">
        <v>1830</v>
      </c>
      <c r="D619" s="1" t="s">
        <v>2405</v>
      </c>
      <c r="E619" s="1">
        <v>3</v>
      </c>
      <c r="F619" s="1">
        <v>184.47</v>
      </c>
      <c r="G619" s="1" t="s">
        <v>2844</v>
      </c>
      <c r="H619" s="1" t="s">
        <v>3066</v>
      </c>
      <c r="I619" s="1" t="s">
        <v>3071</v>
      </c>
      <c r="J619" s="1" t="s">
        <v>3692</v>
      </c>
      <c r="K619" s="1">
        <v>4</v>
      </c>
      <c r="L619" s="1" t="s">
        <v>4283</v>
      </c>
      <c r="M619" s="1" t="s">
        <v>4279</v>
      </c>
      <c r="N619" s="6" t="str">
        <f t="shared" si="19"/>
        <v>Feb</v>
      </c>
      <c r="O619" s="1">
        <v>553.41</v>
      </c>
      <c r="T619" s="4"/>
      <c r="U619" s="1" t="str">
        <f t="shared" si="20"/>
        <v>Normal</v>
      </c>
    </row>
    <row r="620" spans="1:21" x14ac:dyDescent="0.25">
      <c r="A620" s="1" t="s">
        <v>632</v>
      </c>
      <c r="B620" s="4">
        <v>45538</v>
      </c>
      <c r="C620" s="1" t="s">
        <v>1831</v>
      </c>
      <c r="D620" s="1" t="s">
        <v>2405</v>
      </c>
      <c r="E620" s="1">
        <v>1</v>
      </c>
      <c r="F620" s="1">
        <v>411.34</v>
      </c>
      <c r="G620" s="1" t="s">
        <v>2845</v>
      </c>
      <c r="H620" s="1" t="s">
        <v>3065</v>
      </c>
      <c r="I620" s="1" t="s">
        <v>3072</v>
      </c>
      <c r="J620" s="1" t="s">
        <v>3693</v>
      </c>
      <c r="K620" s="1">
        <v>5</v>
      </c>
      <c r="L620" s="1" t="s">
        <v>4283</v>
      </c>
      <c r="M620" s="1" t="s">
        <v>4278</v>
      </c>
      <c r="N620" s="6" t="str">
        <f t="shared" si="19"/>
        <v>Sep</v>
      </c>
      <c r="O620" s="1">
        <v>411.34</v>
      </c>
      <c r="T620" s="4"/>
      <c r="U620" s="1" t="str">
        <f t="shared" si="20"/>
        <v>Normal</v>
      </c>
    </row>
    <row r="621" spans="1:21" x14ac:dyDescent="0.25">
      <c r="A621" s="1" t="s">
        <v>633</v>
      </c>
      <c r="B621" s="4">
        <v>45489</v>
      </c>
      <c r="C621" s="1" t="s">
        <v>1832</v>
      </c>
      <c r="D621" s="1" t="s">
        <v>2408</v>
      </c>
      <c r="E621" s="1">
        <v>1</v>
      </c>
      <c r="F621" s="1">
        <v>532.89</v>
      </c>
      <c r="G621" s="1" t="s">
        <v>2783</v>
      </c>
      <c r="H621" s="1" t="s">
        <v>3068</v>
      </c>
      <c r="I621" s="1" t="s">
        <v>3074</v>
      </c>
      <c r="J621" s="1" t="s">
        <v>3694</v>
      </c>
      <c r="K621" s="1">
        <v>2</v>
      </c>
      <c r="L621" s="1" t="s">
        <v>4283</v>
      </c>
      <c r="M621" s="1" t="s">
        <v>4279</v>
      </c>
      <c r="N621" s="6" t="str">
        <f t="shared" si="19"/>
        <v>Jul</v>
      </c>
      <c r="O621" s="1">
        <v>532.89</v>
      </c>
      <c r="T621" s="4"/>
      <c r="U621" s="1" t="str">
        <f t="shared" si="20"/>
        <v>Normal</v>
      </c>
    </row>
    <row r="622" spans="1:21" x14ac:dyDescent="0.25">
      <c r="A622" s="1" t="s">
        <v>634</v>
      </c>
      <c r="B622" s="4">
        <v>45378</v>
      </c>
      <c r="C622" s="1" t="s">
        <v>1833</v>
      </c>
      <c r="D622" s="1" t="s">
        <v>2405</v>
      </c>
      <c r="E622" s="1">
        <v>3</v>
      </c>
      <c r="F622" s="1">
        <v>136.34</v>
      </c>
      <c r="G622" s="1" t="s">
        <v>2846</v>
      </c>
      <c r="H622" s="1" t="s">
        <v>3065</v>
      </c>
      <c r="I622" s="1" t="s">
        <v>3072</v>
      </c>
      <c r="J622" s="1" t="s">
        <v>3695</v>
      </c>
      <c r="K622" s="1">
        <v>8</v>
      </c>
      <c r="L622" s="1" t="s">
        <v>4275</v>
      </c>
      <c r="M622" s="1" t="s">
        <v>4279</v>
      </c>
      <c r="N622" s="6" t="str">
        <f t="shared" si="19"/>
        <v>Mar</v>
      </c>
      <c r="O622" s="1">
        <v>409.02</v>
      </c>
      <c r="T622" s="4"/>
      <c r="U622" s="1" t="str">
        <f t="shared" si="20"/>
        <v>Normal</v>
      </c>
    </row>
    <row r="623" spans="1:21" x14ac:dyDescent="0.25">
      <c r="A623" s="1" t="s">
        <v>635</v>
      </c>
      <c r="B623" s="4">
        <v>45221</v>
      </c>
      <c r="C623" s="1" t="s">
        <v>1834</v>
      </c>
      <c r="D623" s="1" t="s">
        <v>2404</v>
      </c>
      <c r="E623" s="1">
        <v>5</v>
      </c>
      <c r="F623" s="1">
        <v>476.01</v>
      </c>
      <c r="G623" s="1" t="s">
        <v>2482</v>
      </c>
      <c r="H623" s="1" t="s">
        <v>3067</v>
      </c>
      <c r="I623" s="1" t="s">
        <v>3073</v>
      </c>
      <c r="J623" s="1" t="s">
        <v>3696</v>
      </c>
      <c r="K623" s="1">
        <v>7</v>
      </c>
      <c r="L623" s="1" t="s">
        <v>4277</v>
      </c>
      <c r="M623" s="1" t="s">
        <v>4282</v>
      </c>
      <c r="N623" s="6" t="str">
        <f t="shared" si="19"/>
        <v>Oct</v>
      </c>
      <c r="O623" s="1">
        <v>2380.0500000000002</v>
      </c>
      <c r="T623" s="4"/>
      <c r="U623" s="1" t="str">
        <f t="shared" si="20"/>
        <v>Normal</v>
      </c>
    </row>
    <row r="624" spans="1:21" x14ac:dyDescent="0.25">
      <c r="A624" s="1" t="s">
        <v>636</v>
      </c>
      <c r="B624" s="4">
        <v>45598</v>
      </c>
      <c r="C624" s="1" t="s">
        <v>1835</v>
      </c>
      <c r="D624" s="1" t="s">
        <v>2409</v>
      </c>
      <c r="E624" s="1">
        <v>5</v>
      </c>
      <c r="F624" s="1">
        <v>236.38</v>
      </c>
      <c r="G624" s="1" t="s">
        <v>2445</v>
      </c>
      <c r="H624" s="1" t="s">
        <v>3067</v>
      </c>
      <c r="I624" s="1" t="s">
        <v>3072</v>
      </c>
      <c r="J624" s="1" t="s">
        <v>3697</v>
      </c>
      <c r="K624" s="1">
        <v>7</v>
      </c>
      <c r="L624" s="1" t="s">
        <v>4283</v>
      </c>
      <c r="M624" s="1" t="s">
        <v>4281</v>
      </c>
      <c r="N624" s="6" t="str">
        <f t="shared" si="19"/>
        <v>Nov</v>
      </c>
      <c r="O624" s="1">
        <v>1181.9000000000001</v>
      </c>
      <c r="T624" s="4"/>
      <c r="U624" s="1" t="str">
        <f t="shared" si="20"/>
        <v>Normal</v>
      </c>
    </row>
    <row r="625" spans="1:21" x14ac:dyDescent="0.25">
      <c r="A625" s="1" t="s">
        <v>637</v>
      </c>
      <c r="B625" s="4">
        <v>45093</v>
      </c>
      <c r="C625" s="1" t="s">
        <v>1836</v>
      </c>
      <c r="D625" s="1" t="s">
        <v>2407</v>
      </c>
      <c r="E625" s="1">
        <v>3</v>
      </c>
      <c r="F625" s="1">
        <v>396</v>
      </c>
      <c r="G625" s="1" t="s">
        <v>2847</v>
      </c>
      <c r="H625" s="1" t="s">
        <v>3068</v>
      </c>
      <c r="I625" s="1" t="s">
        <v>3071</v>
      </c>
      <c r="J625" s="1" t="s">
        <v>3698</v>
      </c>
      <c r="K625" s="1">
        <v>4</v>
      </c>
      <c r="L625" s="1" t="s">
        <v>4276</v>
      </c>
      <c r="M625" s="1" t="s">
        <v>4278</v>
      </c>
      <c r="N625" s="6" t="str">
        <f t="shared" si="19"/>
        <v>Jun</v>
      </c>
      <c r="O625" s="1">
        <v>1188</v>
      </c>
      <c r="T625" s="4"/>
      <c r="U625" s="1" t="str">
        <f t="shared" si="20"/>
        <v>Normal</v>
      </c>
    </row>
    <row r="626" spans="1:21" x14ac:dyDescent="0.25">
      <c r="A626" s="1" t="s">
        <v>638</v>
      </c>
      <c r="B626" s="4">
        <v>45307</v>
      </c>
      <c r="C626" s="1" t="s">
        <v>1837</v>
      </c>
      <c r="D626" s="1" t="s">
        <v>2405</v>
      </c>
      <c r="E626" s="1">
        <v>5</v>
      </c>
      <c r="F626" s="1">
        <v>341.96</v>
      </c>
      <c r="G626" s="1" t="s">
        <v>2710</v>
      </c>
      <c r="H626" s="1" t="s">
        <v>3065</v>
      </c>
      <c r="I626" s="1" t="s">
        <v>3073</v>
      </c>
      <c r="J626" s="1" t="s">
        <v>3699</v>
      </c>
      <c r="K626" s="1">
        <v>6</v>
      </c>
      <c r="L626" s="1" t="s">
        <v>4283</v>
      </c>
      <c r="M626" s="1" t="s">
        <v>4280</v>
      </c>
      <c r="N626" s="6" t="str">
        <f t="shared" si="19"/>
        <v>Jan</v>
      </c>
      <c r="O626" s="1">
        <v>1709.8</v>
      </c>
      <c r="T626" s="4"/>
      <c r="U626" s="1" t="str">
        <f t="shared" si="20"/>
        <v>Normal</v>
      </c>
    </row>
    <row r="627" spans="1:21" x14ac:dyDescent="0.25">
      <c r="A627" s="1" t="s">
        <v>639</v>
      </c>
      <c r="B627" s="4">
        <v>45193</v>
      </c>
      <c r="C627" s="1" t="s">
        <v>1838</v>
      </c>
      <c r="D627" s="1" t="s">
        <v>2405</v>
      </c>
      <c r="E627" s="1">
        <v>1</v>
      </c>
      <c r="F627" s="1">
        <v>672.89</v>
      </c>
      <c r="G627" s="1" t="s">
        <v>2848</v>
      </c>
      <c r="H627" s="1" t="s">
        <v>3067</v>
      </c>
      <c r="I627" s="1" t="s">
        <v>3074</v>
      </c>
      <c r="J627" s="1" t="s">
        <v>3700</v>
      </c>
      <c r="K627" s="1">
        <v>1</v>
      </c>
      <c r="L627" s="1" t="s">
        <v>4277</v>
      </c>
      <c r="M627" s="1" t="s">
        <v>4280</v>
      </c>
      <c r="N627" s="6" t="str">
        <f t="shared" si="19"/>
        <v>Sep</v>
      </c>
      <c r="O627" s="1">
        <v>672.89</v>
      </c>
      <c r="T627" s="4"/>
      <c r="U627" s="1" t="str">
        <f t="shared" si="20"/>
        <v>Normal</v>
      </c>
    </row>
    <row r="628" spans="1:21" x14ac:dyDescent="0.25">
      <c r="A628" s="1" t="s">
        <v>640</v>
      </c>
      <c r="B628" s="4">
        <v>45352</v>
      </c>
      <c r="C628" s="1" t="s">
        <v>1839</v>
      </c>
      <c r="D628" s="1" t="s">
        <v>2405</v>
      </c>
      <c r="E628" s="1">
        <v>2</v>
      </c>
      <c r="F628" s="1">
        <v>657.48</v>
      </c>
      <c r="G628" s="1" t="s">
        <v>2745</v>
      </c>
      <c r="H628" s="1" t="s">
        <v>3066</v>
      </c>
      <c r="I628" s="1" t="s">
        <v>3070</v>
      </c>
      <c r="J628" s="1" t="s">
        <v>3701</v>
      </c>
      <c r="K628" s="1">
        <v>5</v>
      </c>
      <c r="L628" s="1" t="s">
        <v>4275</v>
      </c>
      <c r="M628" s="1" t="s">
        <v>4279</v>
      </c>
      <c r="N628" s="6" t="str">
        <f t="shared" si="19"/>
        <v>Mar</v>
      </c>
      <c r="O628" s="1">
        <v>1314.96</v>
      </c>
      <c r="T628" s="4"/>
      <c r="U628" s="1" t="str">
        <f t="shared" si="20"/>
        <v>Normal</v>
      </c>
    </row>
    <row r="629" spans="1:21" x14ac:dyDescent="0.25">
      <c r="A629" s="1" t="s">
        <v>641</v>
      </c>
      <c r="B629" s="4">
        <v>45144</v>
      </c>
      <c r="C629" s="1" t="s">
        <v>1840</v>
      </c>
      <c r="D629" s="1" t="s">
        <v>2406</v>
      </c>
      <c r="E629" s="1">
        <v>3</v>
      </c>
      <c r="F629" s="1">
        <v>498.68</v>
      </c>
      <c r="G629" s="1" t="s">
        <v>2812</v>
      </c>
      <c r="H629" s="1" t="s">
        <v>3066</v>
      </c>
      <c r="I629" s="1" t="s">
        <v>3072</v>
      </c>
      <c r="J629" s="1" t="s">
        <v>3702</v>
      </c>
      <c r="K629" s="1">
        <v>4</v>
      </c>
      <c r="L629" s="1" t="s">
        <v>4276</v>
      </c>
      <c r="M629" s="1" t="s">
        <v>4280</v>
      </c>
      <c r="N629" s="6" t="str">
        <f t="shared" si="19"/>
        <v>Aug</v>
      </c>
      <c r="O629" s="1">
        <v>1496.04</v>
      </c>
      <c r="T629" s="4"/>
      <c r="U629" s="1" t="str">
        <f t="shared" si="20"/>
        <v>Normal</v>
      </c>
    </row>
    <row r="630" spans="1:21" x14ac:dyDescent="0.25">
      <c r="A630" s="1" t="s">
        <v>642</v>
      </c>
      <c r="B630" s="4">
        <v>45011</v>
      </c>
      <c r="C630" s="1" t="s">
        <v>1841</v>
      </c>
      <c r="D630" s="1" t="s">
        <v>2407</v>
      </c>
      <c r="E630" s="1">
        <v>5</v>
      </c>
      <c r="F630" s="1">
        <v>558.63</v>
      </c>
      <c r="G630" s="1" t="s">
        <v>2849</v>
      </c>
      <c r="H630" s="1" t="s">
        <v>3069</v>
      </c>
      <c r="I630" s="1" t="s">
        <v>3074</v>
      </c>
      <c r="J630" s="1" t="s">
        <v>3703</v>
      </c>
      <c r="K630" s="1">
        <v>8</v>
      </c>
      <c r="L630" s="1" t="s">
        <v>4276</v>
      </c>
      <c r="M630" s="1" t="s">
        <v>4279</v>
      </c>
      <c r="N630" s="6" t="str">
        <f t="shared" si="19"/>
        <v>Mar</v>
      </c>
      <c r="O630" s="1">
        <v>2793.15</v>
      </c>
      <c r="T630" s="4"/>
      <c r="U630" s="1" t="str">
        <f t="shared" si="20"/>
        <v>Normal</v>
      </c>
    </row>
    <row r="631" spans="1:21" x14ac:dyDescent="0.25">
      <c r="A631" s="1" t="s">
        <v>643</v>
      </c>
      <c r="B631" s="4">
        <v>45114</v>
      </c>
      <c r="C631" s="1" t="s">
        <v>1842</v>
      </c>
      <c r="D631" s="1" t="s">
        <v>2404</v>
      </c>
      <c r="E631" s="1">
        <v>3</v>
      </c>
      <c r="F631" s="1">
        <v>19.73</v>
      </c>
      <c r="G631" s="1" t="s">
        <v>2850</v>
      </c>
      <c r="H631" s="1" t="s">
        <v>3066</v>
      </c>
      <c r="I631" s="1" t="s">
        <v>3074</v>
      </c>
      <c r="J631" s="1" t="s">
        <v>3704</v>
      </c>
      <c r="K631" s="1">
        <v>3</v>
      </c>
      <c r="L631" s="1" t="s">
        <v>4283</v>
      </c>
      <c r="M631" s="1" t="s">
        <v>4279</v>
      </c>
      <c r="N631" s="6" t="str">
        <f t="shared" si="19"/>
        <v>Jul</v>
      </c>
      <c r="O631" s="1">
        <v>59.19</v>
      </c>
      <c r="T631" s="4"/>
      <c r="U631" s="1" t="str">
        <f t="shared" si="20"/>
        <v>Normal</v>
      </c>
    </row>
    <row r="632" spans="1:21" x14ac:dyDescent="0.25">
      <c r="A632" s="1" t="s">
        <v>644</v>
      </c>
      <c r="B632" s="4">
        <v>45100</v>
      </c>
      <c r="C632" s="1" t="s">
        <v>1843</v>
      </c>
      <c r="D632" s="1" t="s">
        <v>2403</v>
      </c>
      <c r="E632" s="1">
        <v>5</v>
      </c>
      <c r="F632" s="1">
        <v>248.84</v>
      </c>
      <c r="G632" s="1" t="s">
        <v>2851</v>
      </c>
      <c r="H632" s="1" t="s">
        <v>3065</v>
      </c>
      <c r="I632" s="1" t="s">
        <v>3071</v>
      </c>
      <c r="J632" s="1" t="s">
        <v>3705</v>
      </c>
      <c r="K632" s="1">
        <v>10</v>
      </c>
      <c r="L632" s="1" t="s">
        <v>4283</v>
      </c>
      <c r="M632" s="1" t="s">
        <v>4278</v>
      </c>
      <c r="N632" s="6" t="str">
        <f t="shared" si="19"/>
        <v>Jun</v>
      </c>
      <c r="O632" s="1">
        <v>1244.2</v>
      </c>
      <c r="T632" s="4"/>
      <c r="U632" s="1" t="str">
        <f t="shared" si="20"/>
        <v>Normal</v>
      </c>
    </row>
    <row r="633" spans="1:21" x14ac:dyDescent="0.25">
      <c r="A633" s="1" t="s">
        <v>645</v>
      </c>
      <c r="B633" s="4">
        <v>45535</v>
      </c>
      <c r="C633" s="1" t="s">
        <v>1844</v>
      </c>
      <c r="D633" s="1" t="s">
        <v>2406</v>
      </c>
      <c r="E633" s="1">
        <v>3</v>
      </c>
      <c r="F633" s="1">
        <v>46.11</v>
      </c>
      <c r="G633" s="1" t="s">
        <v>2645</v>
      </c>
      <c r="H633" s="1" t="s">
        <v>3068</v>
      </c>
      <c r="I633" s="1" t="s">
        <v>3072</v>
      </c>
      <c r="J633" s="1" t="s">
        <v>3706</v>
      </c>
      <c r="K633" s="1">
        <v>5</v>
      </c>
      <c r="L633" s="1" t="s">
        <v>4277</v>
      </c>
      <c r="M633" s="1" t="s">
        <v>4279</v>
      </c>
      <c r="N633" s="6" t="str">
        <f t="shared" si="19"/>
        <v>Aug</v>
      </c>
      <c r="O633" s="1">
        <v>138.33000000000001</v>
      </c>
      <c r="T633" s="4"/>
      <c r="U633" s="1" t="str">
        <f t="shared" si="20"/>
        <v>Normal</v>
      </c>
    </row>
    <row r="634" spans="1:21" x14ac:dyDescent="0.25">
      <c r="A634" s="1" t="s">
        <v>646</v>
      </c>
      <c r="B634" s="4">
        <v>45048</v>
      </c>
      <c r="C634" s="1" t="s">
        <v>1845</v>
      </c>
      <c r="D634" s="1" t="s">
        <v>2408</v>
      </c>
      <c r="E634" s="1">
        <v>5</v>
      </c>
      <c r="F634" s="1">
        <v>678.16</v>
      </c>
      <c r="G634" s="1" t="s">
        <v>2629</v>
      </c>
      <c r="H634" s="1" t="s">
        <v>3068</v>
      </c>
      <c r="I634" s="1" t="s">
        <v>3073</v>
      </c>
      <c r="J634" s="1" t="s">
        <v>3707</v>
      </c>
      <c r="K634" s="1">
        <v>7</v>
      </c>
      <c r="L634" s="1" t="s">
        <v>4277</v>
      </c>
      <c r="M634" s="1" t="s">
        <v>4281</v>
      </c>
      <c r="N634" s="6" t="str">
        <f t="shared" si="19"/>
        <v>May</v>
      </c>
      <c r="O634" s="1">
        <v>3390.8</v>
      </c>
      <c r="T634" s="4"/>
      <c r="U634" s="1" t="str">
        <f t="shared" si="20"/>
        <v>Outlier</v>
      </c>
    </row>
    <row r="635" spans="1:21" x14ac:dyDescent="0.25">
      <c r="A635" s="1" t="s">
        <v>647</v>
      </c>
      <c r="B635" s="4">
        <v>45392</v>
      </c>
      <c r="C635" s="1" t="s">
        <v>1846</v>
      </c>
      <c r="D635" s="1" t="s">
        <v>2408</v>
      </c>
      <c r="E635" s="1">
        <v>5</v>
      </c>
      <c r="F635" s="1">
        <v>601.72</v>
      </c>
      <c r="G635" s="1" t="s">
        <v>2728</v>
      </c>
      <c r="H635" s="1" t="s">
        <v>3068</v>
      </c>
      <c r="I635" s="1" t="s">
        <v>3071</v>
      </c>
      <c r="J635" s="1" t="s">
        <v>3708</v>
      </c>
      <c r="K635" s="1">
        <v>5</v>
      </c>
      <c r="L635" s="1" t="s">
        <v>4277</v>
      </c>
      <c r="M635" s="1" t="s">
        <v>4278</v>
      </c>
      <c r="N635" s="6" t="str">
        <f t="shared" si="19"/>
        <v>Apr</v>
      </c>
      <c r="O635" s="1">
        <v>3008.6</v>
      </c>
      <c r="T635" s="4"/>
      <c r="U635" s="1" t="str">
        <f t="shared" si="20"/>
        <v>Normal</v>
      </c>
    </row>
    <row r="636" spans="1:21" x14ac:dyDescent="0.25">
      <c r="A636" s="1" t="s">
        <v>648</v>
      </c>
      <c r="B636" s="4">
        <v>45407</v>
      </c>
      <c r="C636" s="1" t="s">
        <v>1847</v>
      </c>
      <c r="D636" s="1" t="s">
        <v>2407</v>
      </c>
      <c r="E636" s="1">
        <v>2</v>
      </c>
      <c r="F636" s="1">
        <v>259.32</v>
      </c>
      <c r="G636" s="1" t="s">
        <v>2852</v>
      </c>
      <c r="H636" s="1" t="s">
        <v>3068</v>
      </c>
      <c r="I636" s="1" t="s">
        <v>3073</v>
      </c>
      <c r="J636" s="1" t="s">
        <v>3709</v>
      </c>
      <c r="K636" s="1">
        <v>2</v>
      </c>
      <c r="L636" s="1" t="s">
        <v>4277</v>
      </c>
      <c r="M636" s="1" t="s">
        <v>4279</v>
      </c>
      <c r="N636" s="6" t="str">
        <f t="shared" si="19"/>
        <v>Apr</v>
      </c>
      <c r="O636" s="1">
        <v>518.64</v>
      </c>
      <c r="T636" s="4"/>
      <c r="U636" s="1" t="str">
        <f t="shared" si="20"/>
        <v>Normal</v>
      </c>
    </row>
    <row r="637" spans="1:21" x14ac:dyDescent="0.25">
      <c r="A637" s="1" t="s">
        <v>649</v>
      </c>
      <c r="B637" s="4">
        <v>45273</v>
      </c>
      <c r="C637" s="1" t="s">
        <v>1848</v>
      </c>
      <c r="D637" s="1" t="s">
        <v>2406</v>
      </c>
      <c r="E637" s="1">
        <v>3</v>
      </c>
      <c r="F637" s="1">
        <v>63.68</v>
      </c>
      <c r="G637" s="1" t="s">
        <v>2458</v>
      </c>
      <c r="H637" s="1" t="s">
        <v>3069</v>
      </c>
      <c r="I637" s="1" t="s">
        <v>3072</v>
      </c>
      <c r="J637" s="1" t="s">
        <v>3710</v>
      </c>
      <c r="K637" s="1">
        <v>6</v>
      </c>
      <c r="L637" s="1" t="s">
        <v>4283</v>
      </c>
      <c r="M637" s="1" t="s">
        <v>4281</v>
      </c>
      <c r="N637" s="6" t="str">
        <f t="shared" si="19"/>
        <v>Dec</v>
      </c>
      <c r="O637" s="1">
        <v>191.04</v>
      </c>
      <c r="T637" s="4"/>
      <c r="U637" s="1" t="str">
        <f t="shared" si="20"/>
        <v>Normal</v>
      </c>
    </row>
    <row r="638" spans="1:21" x14ac:dyDescent="0.25">
      <c r="A638" s="1" t="s">
        <v>650</v>
      </c>
      <c r="B638" s="4">
        <v>45204</v>
      </c>
      <c r="C638" s="1" t="s">
        <v>1849</v>
      </c>
      <c r="D638" s="1" t="s">
        <v>2408</v>
      </c>
      <c r="E638" s="1">
        <v>4</v>
      </c>
      <c r="F638" s="1">
        <v>371.07</v>
      </c>
      <c r="G638" s="1" t="s">
        <v>2564</v>
      </c>
      <c r="H638" s="1" t="s">
        <v>3069</v>
      </c>
      <c r="I638" s="1" t="s">
        <v>3071</v>
      </c>
      <c r="J638" s="1" t="s">
        <v>3711</v>
      </c>
      <c r="K638" s="1">
        <v>7</v>
      </c>
      <c r="L638" s="1" t="s">
        <v>4277</v>
      </c>
      <c r="M638" s="1" t="s">
        <v>4281</v>
      </c>
      <c r="N638" s="6" t="str">
        <f t="shared" si="19"/>
        <v>Oct</v>
      </c>
      <c r="O638" s="1">
        <v>1484.28</v>
      </c>
      <c r="T638" s="4"/>
      <c r="U638" s="1" t="str">
        <f t="shared" si="20"/>
        <v>Normal</v>
      </c>
    </row>
    <row r="639" spans="1:21" x14ac:dyDescent="0.25">
      <c r="A639" s="1" t="s">
        <v>651</v>
      </c>
      <c r="B639" s="4">
        <v>45564</v>
      </c>
      <c r="C639" s="1" t="s">
        <v>1850</v>
      </c>
      <c r="D639" s="1" t="s">
        <v>2406</v>
      </c>
      <c r="E639" s="1">
        <v>4</v>
      </c>
      <c r="F639" s="1">
        <v>306.35000000000002</v>
      </c>
      <c r="G639" s="1" t="s">
        <v>2853</v>
      </c>
      <c r="H639" s="1" t="s">
        <v>3068</v>
      </c>
      <c r="I639" s="1" t="s">
        <v>3070</v>
      </c>
      <c r="J639" s="1" t="s">
        <v>3712</v>
      </c>
      <c r="K639" s="1">
        <v>7</v>
      </c>
      <c r="L639" s="1" t="s">
        <v>4277</v>
      </c>
      <c r="M639" s="1" t="s">
        <v>4279</v>
      </c>
      <c r="N639" s="6" t="str">
        <f t="shared" si="19"/>
        <v>Sep</v>
      </c>
      <c r="O639" s="1">
        <v>1225.4000000000001</v>
      </c>
      <c r="T639" s="4"/>
      <c r="U639" s="1" t="str">
        <f t="shared" si="20"/>
        <v>Normal</v>
      </c>
    </row>
    <row r="640" spans="1:21" x14ac:dyDescent="0.25">
      <c r="A640" s="1" t="s">
        <v>652</v>
      </c>
      <c r="B640" s="4">
        <v>45214</v>
      </c>
      <c r="C640" s="1" t="s">
        <v>1851</v>
      </c>
      <c r="D640" s="1" t="s">
        <v>2405</v>
      </c>
      <c r="E640" s="1">
        <v>4</v>
      </c>
      <c r="F640" s="1">
        <v>578.27</v>
      </c>
      <c r="G640" s="1" t="s">
        <v>2854</v>
      </c>
      <c r="H640" s="1" t="s">
        <v>3066</v>
      </c>
      <c r="I640" s="1" t="s">
        <v>3073</v>
      </c>
      <c r="J640" s="1" t="s">
        <v>3713</v>
      </c>
      <c r="K640" s="1">
        <v>9</v>
      </c>
      <c r="L640" s="1" t="s">
        <v>4277</v>
      </c>
      <c r="M640" s="1" t="s">
        <v>4280</v>
      </c>
      <c r="N640" s="6" t="str">
        <f t="shared" si="19"/>
        <v>Oct</v>
      </c>
      <c r="O640" s="1">
        <v>2313.08</v>
      </c>
      <c r="T640" s="4"/>
      <c r="U640" s="1" t="str">
        <f t="shared" si="20"/>
        <v>Normal</v>
      </c>
    </row>
    <row r="641" spans="1:21" x14ac:dyDescent="0.25">
      <c r="A641" s="1" t="s">
        <v>653</v>
      </c>
      <c r="B641" s="4">
        <v>44946</v>
      </c>
      <c r="C641" s="1" t="s">
        <v>1852</v>
      </c>
      <c r="D641" s="1" t="s">
        <v>2406</v>
      </c>
      <c r="E641" s="1">
        <v>1</v>
      </c>
      <c r="F641" s="1">
        <v>529.19000000000005</v>
      </c>
      <c r="G641" s="1" t="s">
        <v>2772</v>
      </c>
      <c r="H641" s="1" t="s">
        <v>3069</v>
      </c>
      <c r="I641" s="1" t="s">
        <v>3071</v>
      </c>
      <c r="J641" s="1" t="s">
        <v>3714</v>
      </c>
      <c r="K641" s="1">
        <v>5</v>
      </c>
      <c r="L641" s="1" t="s">
        <v>4283</v>
      </c>
      <c r="M641" s="1" t="s">
        <v>4279</v>
      </c>
      <c r="N641" s="6" t="str">
        <f t="shared" si="19"/>
        <v>Jan</v>
      </c>
      <c r="O641" s="1">
        <v>529.19000000000005</v>
      </c>
      <c r="T641" s="4"/>
      <c r="U641" s="1" t="str">
        <f t="shared" si="20"/>
        <v>Normal</v>
      </c>
    </row>
    <row r="642" spans="1:21" x14ac:dyDescent="0.25">
      <c r="A642" s="1" t="s">
        <v>654</v>
      </c>
      <c r="B642" s="4">
        <v>45349</v>
      </c>
      <c r="C642" s="1" t="s">
        <v>1853</v>
      </c>
      <c r="D642" s="1" t="s">
        <v>2406</v>
      </c>
      <c r="E642" s="1">
        <v>2</v>
      </c>
      <c r="F642" s="1">
        <v>587.49</v>
      </c>
      <c r="G642" s="1" t="s">
        <v>2507</v>
      </c>
      <c r="H642" s="1" t="s">
        <v>3068</v>
      </c>
      <c r="I642" s="1" t="s">
        <v>3072</v>
      </c>
      <c r="J642" s="1" t="s">
        <v>3715</v>
      </c>
      <c r="K642" s="1">
        <v>6</v>
      </c>
      <c r="L642" s="1" t="s">
        <v>4275</v>
      </c>
      <c r="M642" s="1" t="s">
        <v>4279</v>
      </c>
      <c r="N642" s="6" t="str">
        <f t="shared" ref="N642:N705" si="21">TEXT(B642,"MMM")</f>
        <v>Feb</v>
      </c>
      <c r="O642" s="1">
        <v>1174.98</v>
      </c>
      <c r="T642" s="4"/>
      <c r="U642" s="1" t="str">
        <f t="shared" si="20"/>
        <v>Normal</v>
      </c>
    </row>
    <row r="643" spans="1:21" x14ac:dyDescent="0.25">
      <c r="A643" s="1" t="s">
        <v>655</v>
      </c>
      <c r="B643" s="4">
        <v>45473</v>
      </c>
      <c r="C643" s="1" t="s">
        <v>1854</v>
      </c>
      <c r="D643" s="1" t="s">
        <v>2407</v>
      </c>
      <c r="E643" s="1">
        <v>4</v>
      </c>
      <c r="F643" s="1">
        <v>567.57000000000005</v>
      </c>
      <c r="G643" s="1" t="s">
        <v>2627</v>
      </c>
      <c r="H643" s="1" t="s">
        <v>3065</v>
      </c>
      <c r="I643" s="1" t="s">
        <v>3074</v>
      </c>
      <c r="J643" s="1" t="s">
        <v>3716</v>
      </c>
      <c r="K643" s="1">
        <v>9</v>
      </c>
      <c r="L643" s="1" t="s">
        <v>4277</v>
      </c>
      <c r="M643" s="1" t="s">
        <v>4282</v>
      </c>
      <c r="N643" s="6" t="str">
        <f t="shared" si="21"/>
        <v>Jun</v>
      </c>
      <c r="O643" s="1">
        <v>2270.2800000000002</v>
      </c>
      <c r="T643" s="4"/>
      <c r="U643" s="1" t="str">
        <f t="shared" ref="U643:U706" si="22">IF(O643&gt;$S$2,"Outlier","Normal")</f>
        <v>Normal</v>
      </c>
    </row>
    <row r="644" spans="1:21" x14ac:dyDescent="0.25">
      <c r="A644" s="1" t="s">
        <v>656</v>
      </c>
      <c r="B644" s="4">
        <v>45411</v>
      </c>
      <c r="C644" s="1" t="s">
        <v>1855</v>
      </c>
      <c r="D644" s="1" t="s">
        <v>2406</v>
      </c>
      <c r="E644" s="1">
        <v>5</v>
      </c>
      <c r="F644" s="1">
        <v>85.22</v>
      </c>
      <c r="G644" s="1" t="s">
        <v>2855</v>
      </c>
      <c r="H644" s="1" t="s">
        <v>3067</v>
      </c>
      <c r="I644" s="1" t="s">
        <v>3071</v>
      </c>
      <c r="J644" s="1" t="s">
        <v>3717</v>
      </c>
      <c r="K644" s="1">
        <v>7</v>
      </c>
      <c r="L644" s="1" t="s">
        <v>4276</v>
      </c>
      <c r="M644" s="1" t="s">
        <v>4280</v>
      </c>
      <c r="N644" s="6" t="str">
        <f t="shared" si="21"/>
        <v>Apr</v>
      </c>
      <c r="O644" s="1">
        <v>426.1</v>
      </c>
      <c r="T644" s="4"/>
      <c r="U644" s="1" t="str">
        <f t="shared" si="22"/>
        <v>Normal</v>
      </c>
    </row>
    <row r="645" spans="1:21" x14ac:dyDescent="0.25">
      <c r="A645" s="1" t="s">
        <v>657</v>
      </c>
      <c r="B645" s="4">
        <v>45530</v>
      </c>
      <c r="C645" s="1" t="s">
        <v>1856</v>
      </c>
      <c r="D645" s="1" t="s">
        <v>2408</v>
      </c>
      <c r="E645" s="1">
        <v>1</v>
      </c>
      <c r="F645" s="1">
        <v>438.37</v>
      </c>
      <c r="G645" s="1" t="s">
        <v>2507</v>
      </c>
      <c r="H645" s="1" t="s">
        <v>3069</v>
      </c>
      <c r="I645" s="1" t="s">
        <v>3071</v>
      </c>
      <c r="J645" s="1" t="s">
        <v>3718</v>
      </c>
      <c r="K645" s="1">
        <v>4</v>
      </c>
      <c r="L645" s="1" t="s">
        <v>4275</v>
      </c>
      <c r="M645" s="1" t="s">
        <v>4279</v>
      </c>
      <c r="N645" s="6" t="str">
        <f t="shared" si="21"/>
        <v>Aug</v>
      </c>
      <c r="O645" s="1">
        <v>438.37</v>
      </c>
      <c r="T645" s="4"/>
      <c r="U645" s="1" t="str">
        <f t="shared" si="22"/>
        <v>Normal</v>
      </c>
    </row>
    <row r="646" spans="1:21" x14ac:dyDescent="0.25">
      <c r="A646" s="1" t="s">
        <v>658</v>
      </c>
      <c r="B646" s="4">
        <v>45245</v>
      </c>
      <c r="C646" s="1" t="s">
        <v>1857</v>
      </c>
      <c r="D646" s="1" t="s">
        <v>2406</v>
      </c>
      <c r="E646" s="1">
        <v>2</v>
      </c>
      <c r="F646" s="1">
        <v>366.23</v>
      </c>
      <c r="G646" s="1" t="s">
        <v>2856</v>
      </c>
      <c r="H646" s="1" t="s">
        <v>3069</v>
      </c>
      <c r="I646" s="1" t="s">
        <v>3070</v>
      </c>
      <c r="J646" s="1" t="s">
        <v>3719</v>
      </c>
      <c r="K646" s="1">
        <v>2</v>
      </c>
      <c r="L646" s="1" t="s">
        <v>4277</v>
      </c>
      <c r="M646" s="1" t="s">
        <v>4280</v>
      </c>
      <c r="N646" s="6" t="str">
        <f t="shared" si="21"/>
        <v>Nov</v>
      </c>
      <c r="O646" s="1">
        <v>732.46</v>
      </c>
      <c r="T646" s="4"/>
      <c r="U646" s="1" t="str">
        <f t="shared" si="22"/>
        <v>Normal</v>
      </c>
    </row>
    <row r="647" spans="1:21" x14ac:dyDescent="0.25">
      <c r="A647" s="1" t="s">
        <v>659</v>
      </c>
      <c r="B647" s="4">
        <v>44928</v>
      </c>
      <c r="C647" s="1" t="s">
        <v>1858</v>
      </c>
      <c r="D647" s="1" t="s">
        <v>2408</v>
      </c>
      <c r="E647" s="1">
        <v>2</v>
      </c>
      <c r="F647" s="1">
        <v>150.05000000000001</v>
      </c>
      <c r="G647" s="1" t="s">
        <v>2525</v>
      </c>
      <c r="H647" s="1" t="s">
        <v>3067</v>
      </c>
      <c r="I647" s="1" t="s">
        <v>3071</v>
      </c>
      <c r="J647" s="1" t="s">
        <v>3720</v>
      </c>
      <c r="K647" s="1">
        <v>4</v>
      </c>
      <c r="L647" s="1" t="s">
        <v>4275</v>
      </c>
      <c r="M647" s="1" t="s">
        <v>4281</v>
      </c>
      <c r="N647" s="6" t="str">
        <f t="shared" si="21"/>
        <v>Jan</v>
      </c>
      <c r="O647" s="1">
        <v>300.10000000000002</v>
      </c>
      <c r="T647" s="4"/>
      <c r="U647" s="1" t="str">
        <f t="shared" si="22"/>
        <v>Normal</v>
      </c>
    </row>
    <row r="648" spans="1:21" x14ac:dyDescent="0.25">
      <c r="A648" s="1" t="s">
        <v>660</v>
      </c>
      <c r="B648" s="4">
        <v>45226</v>
      </c>
      <c r="C648" s="1" t="s">
        <v>1859</v>
      </c>
      <c r="D648" s="1" t="s">
        <v>2406</v>
      </c>
      <c r="E648" s="1">
        <v>4</v>
      </c>
      <c r="F648" s="1">
        <v>498.51</v>
      </c>
      <c r="G648" s="1" t="s">
        <v>2857</v>
      </c>
      <c r="H648" s="1" t="s">
        <v>3065</v>
      </c>
      <c r="I648" s="1" t="s">
        <v>3070</v>
      </c>
      <c r="J648" s="1" t="s">
        <v>3721</v>
      </c>
      <c r="K648" s="1">
        <v>4</v>
      </c>
      <c r="L648" s="1" t="s">
        <v>4275</v>
      </c>
      <c r="M648" s="1" t="s">
        <v>4282</v>
      </c>
      <c r="N648" s="6" t="str">
        <f t="shared" si="21"/>
        <v>Oct</v>
      </c>
      <c r="O648" s="1">
        <v>1994.04</v>
      </c>
      <c r="T648" s="4"/>
      <c r="U648" s="1" t="str">
        <f t="shared" si="22"/>
        <v>Normal</v>
      </c>
    </row>
    <row r="649" spans="1:21" x14ac:dyDescent="0.25">
      <c r="A649" s="1" t="s">
        <v>661</v>
      </c>
      <c r="B649" s="4">
        <v>45771</v>
      </c>
      <c r="C649" s="1" t="s">
        <v>1860</v>
      </c>
      <c r="D649" s="1" t="s">
        <v>2409</v>
      </c>
      <c r="E649" s="1">
        <v>3</v>
      </c>
      <c r="F649" s="1">
        <v>339.39</v>
      </c>
      <c r="G649" s="1" t="s">
        <v>2558</v>
      </c>
      <c r="H649" s="1" t="s">
        <v>3069</v>
      </c>
      <c r="I649" s="1" t="s">
        <v>3072</v>
      </c>
      <c r="J649" s="1" t="s">
        <v>3722</v>
      </c>
      <c r="K649" s="1">
        <v>7</v>
      </c>
      <c r="L649" s="1" t="s">
        <v>4276</v>
      </c>
      <c r="M649" s="1" t="s">
        <v>4282</v>
      </c>
      <c r="N649" s="6" t="str">
        <f t="shared" si="21"/>
        <v>Apr</v>
      </c>
      <c r="O649" s="1">
        <v>1018.17</v>
      </c>
      <c r="T649" s="4"/>
      <c r="U649" s="1" t="str">
        <f t="shared" si="22"/>
        <v>Normal</v>
      </c>
    </row>
    <row r="650" spans="1:21" x14ac:dyDescent="0.25">
      <c r="A650" s="1" t="s">
        <v>662</v>
      </c>
      <c r="B650" s="4">
        <v>45675</v>
      </c>
      <c r="C650" s="1" t="s">
        <v>1861</v>
      </c>
      <c r="D650" s="1" t="s">
        <v>2403</v>
      </c>
      <c r="E650" s="1">
        <v>2</v>
      </c>
      <c r="F650" s="1">
        <v>575.83000000000004</v>
      </c>
      <c r="G650" s="1" t="s">
        <v>2858</v>
      </c>
      <c r="H650" s="1" t="s">
        <v>3066</v>
      </c>
      <c r="I650" s="1" t="s">
        <v>3073</v>
      </c>
      <c r="J650" s="1" t="s">
        <v>3723</v>
      </c>
      <c r="K650" s="1">
        <v>3</v>
      </c>
      <c r="L650" s="1" t="s">
        <v>4277</v>
      </c>
      <c r="M650" s="1" t="s">
        <v>4279</v>
      </c>
      <c r="N650" s="6" t="str">
        <f t="shared" si="21"/>
        <v>Jan</v>
      </c>
      <c r="O650" s="1">
        <v>1151.6600000000001</v>
      </c>
      <c r="T650" s="4"/>
      <c r="U650" s="1" t="str">
        <f t="shared" si="22"/>
        <v>Normal</v>
      </c>
    </row>
    <row r="651" spans="1:21" x14ac:dyDescent="0.25">
      <c r="A651" s="1" t="s">
        <v>663</v>
      </c>
      <c r="B651" s="4">
        <v>45283</v>
      </c>
      <c r="C651" s="1" t="s">
        <v>1862</v>
      </c>
      <c r="D651" s="1" t="s">
        <v>2403</v>
      </c>
      <c r="E651" s="1">
        <v>2</v>
      </c>
      <c r="F651" s="1">
        <v>642.98</v>
      </c>
      <c r="G651" s="1" t="s">
        <v>2632</v>
      </c>
      <c r="H651" s="1" t="s">
        <v>3065</v>
      </c>
      <c r="I651" s="1" t="s">
        <v>3072</v>
      </c>
      <c r="J651" s="1" t="s">
        <v>3724</v>
      </c>
      <c r="K651" s="1">
        <v>7</v>
      </c>
      <c r="L651" s="1" t="s">
        <v>4276</v>
      </c>
      <c r="M651" s="1" t="s">
        <v>4280</v>
      </c>
      <c r="N651" s="6" t="str">
        <f t="shared" si="21"/>
        <v>Dec</v>
      </c>
      <c r="O651" s="1">
        <v>1285.96</v>
      </c>
      <c r="T651" s="4"/>
      <c r="U651" s="1" t="str">
        <f t="shared" si="22"/>
        <v>Normal</v>
      </c>
    </row>
    <row r="652" spans="1:21" x14ac:dyDescent="0.25">
      <c r="A652" s="1" t="s">
        <v>664</v>
      </c>
      <c r="B652" s="4">
        <v>45064</v>
      </c>
      <c r="C652" s="1" t="s">
        <v>1863</v>
      </c>
      <c r="D652" s="1" t="s">
        <v>2409</v>
      </c>
      <c r="E652" s="1">
        <v>2</v>
      </c>
      <c r="F652" s="1">
        <v>372.23</v>
      </c>
      <c r="G652" s="1" t="s">
        <v>2859</v>
      </c>
      <c r="H652" s="1" t="s">
        <v>3068</v>
      </c>
      <c r="I652" s="1" t="s">
        <v>3073</v>
      </c>
      <c r="J652" s="1" t="s">
        <v>3725</v>
      </c>
      <c r="K652" s="1">
        <v>7</v>
      </c>
      <c r="L652" s="1" t="s">
        <v>4275</v>
      </c>
      <c r="M652" s="1" t="s">
        <v>4280</v>
      </c>
      <c r="N652" s="6" t="str">
        <f t="shared" si="21"/>
        <v>May</v>
      </c>
      <c r="O652" s="1">
        <v>744.46</v>
      </c>
      <c r="T652" s="4"/>
      <c r="U652" s="1" t="str">
        <f t="shared" si="22"/>
        <v>Normal</v>
      </c>
    </row>
    <row r="653" spans="1:21" x14ac:dyDescent="0.25">
      <c r="A653" s="1" t="s">
        <v>665</v>
      </c>
      <c r="B653" s="4">
        <v>45608</v>
      </c>
      <c r="C653" s="1" t="s">
        <v>1864</v>
      </c>
      <c r="D653" s="1" t="s">
        <v>2406</v>
      </c>
      <c r="E653" s="1">
        <v>3</v>
      </c>
      <c r="F653" s="1">
        <v>646.34</v>
      </c>
      <c r="G653" s="1" t="s">
        <v>2584</v>
      </c>
      <c r="H653" s="1" t="s">
        <v>3065</v>
      </c>
      <c r="I653" s="1" t="s">
        <v>3074</v>
      </c>
      <c r="J653" s="1" t="s">
        <v>3726</v>
      </c>
      <c r="K653" s="1">
        <v>5</v>
      </c>
      <c r="L653" s="1" t="s">
        <v>4283</v>
      </c>
      <c r="M653" s="1" t="s">
        <v>4282</v>
      </c>
      <c r="N653" s="6" t="str">
        <f t="shared" si="21"/>
        <v>Nov</v>
      </c>
      <c r="O653" s="1">
        <v>1939.02</v>
      </c>
      <c r="T653" s="4"/>
      <c r="U653" s="1" t="str">
        <f t="shared" si="22"/>
        <v>Normal</v>
      </c>
    </row>
    <row r="654" spans="1:21" x14ac:dyDescent="0.25">
      <c r="A654" s="1" t="s">
        <v>666</v>
      </c>
      <c r="B654" s="4">
        <v>45448</v>
      </c>
      <c r="C654" s="1" t="s">
        <v>1865</v>
      </c>
      <c r="D654" s="1" t="s">
        <v>2406</v>
      </c>
      <c r="E654" s="1">
        <v>5</v>
      </c>
      <c r="F654" s="1">
        <v>341.84</v>
      </c>
      <c r="G654" s="1" t="s">
        <v>2860</v>
      </c>
      <c r="H654" s="1" t="s">
        <v>3066</v>
      </c>
      <c r="I654" s="1" t="s">
        <v>3070</v>
      </c>
      <c r="J654" s="1" t="s">
        <v>3727</v>
      </c>
      <c r="K654" s="1">
        <v>8</v>
      </c>
      <c r="L654" s="1" t="s">
        <v>4276</v>
      </c>
      <c r="M654" s="1" t="s">
        <v>4278</v>
      </c>
      <c r="N654" s="6" t="str">
        <f t="shared" si="21"/>
        <v>Jun</v>
      </c>
      <c r="O654" s="1">
        <v>1709.2</v>
      </c>
      <c r="T654" s="4"/>
      <c r="U654" s="1" t="str">
        <f t="shared" si="22"/>
        <v>Normal</v>
      </c>
    </row>
    <row r="655" spans="1:21" x14ac:dyDescent="0.25">
      <c r="A655" s="1" t="s">
        <v>667</v>
      </c>
      <c r="B655" s="4">
        <v>45347</v>
      </c>
      <c r="C655" s="1" t="s">
        <v>1866</v>
      </c>
      <c r="D655" s="1" t="s">
        <v>2407</v>
      </c>
      <c r="E655" s="1">
        <v>3</v>
      </c>
      <c r="F655" s="1">
        <v>690.3</v>
      </c>
      <c r="G655" s="1" t="s">
        <v>2710</v>
      </c>
      <c r="H655" s="1" t="s">
        <v>3067</v>
      </c>
      <c r="I655" s="1" t="s">
        <v>3070</v>
      </c>
      <c r="J655" s="1" t="s">
        <v>3728</v>
      </c>
      <c r="K655" s="1">
        <v>6</v>
      </c>
      <c r="L655" s="1" t="s">
        <v>4277</v>
      </c>
      <c r="M655" s="1" t="s">
        <v>4282</v>
      </c>
      <c r="N655" s="6" t="str">
        <f t="shared" si="21"/>
        <v>Feb</v>
      </c>
      <c r="O655" s="1">
        <v>2070.9</v>
      </c>
      <c r="T655" s="4"/>
      <c r="U655" s="1" t="str">
        <f t="shared" si="22"/>
        <v>Normal</v>
      </c>
    </row>
    <row r="656" spans="1:21" x14ac:dyDescent="0.25">
      <c r="A656" s="1" t="s">
        <v>668</v>
      </c>
      <c r="B656" s="4">
        <v>45089</v>
      </c>
      <c r="C656" s="1" t="s">
        <v>1867</v>
      </c>
      <c r="D656" s="1" t="s">
        <v>2405</v>
      </c>
      <c r="E656" s="1">
        <v>3</v>
      </c>
      <c r="F656" s="1">
        <v>382.37</v>
      </c>
      <c r="G656" s="1" t="s">
        <v>2861</v>
      </c>
      <c r="H656" s="1" t="s">
        <v>3065</v>
      </c>
      <c r="I656" s="1" t="s">
        <v>3072</v>
      </c>
      <c r="J656" s="1" t="s">
        <v>3729</v>
      </c>
      <c r="K656" s="1">
        <v>8</v>
      </c>
      <c r="L656" s="1" t="s">
        <v>4283</v>
      </c>
      <c r="M656" s="1" t="s">
        <v>4278</v>
      </c>
      <c r="N656" s="6" t="str">
        <f t="shared" si="21"/>
        <v>Jun</v>
      </c>
      <c r="O656" s="1">
        <v>1147.1099999999999</v>
      </c>
      <c r="T656" s="4"/>
      <c r="U656" s="1" t="str">
        <f t="shared" si="22"/>
        <v>Normal</v>
      </c>
    </row>
    <row r="657" spans="1:21" x14ac:dyDescent="0.25">
      <c r="A657" s="1" t="s">
        <v>669</v>
      </c>
      <c r="B657" s="4">
        <v>44999</v>
      </c>
      <c r="C657" s="1" t="s">
        <v>1868</v>
      </c>
      <c r="D657" s="1" t="s">
        <v>2406</v>
      </c>
      <c r="E657" s="1">
        <v>2</v>
      </c>
      <c r="F657" s="1">
        <v>132.6</v>
      </c>
      <c r="G657" s="1" t="s">
        <v>2758</v>
      </c>
      <c r="H657" s="1" t="s">
        <v>3065</v>
      </c>
      <c r="I657" s="1" t="s">
        <v>3071</v>
      </c>
      <c r="J657" s="1" t="s">
        <v>3730</v>
      </c>
      <c r="K657" s="1">
        <v>4</v>
      </c>
      <c r="L657" s="1" t="s">
        <v>4277</v>
      </c>
      <c r="M657" s="1" t="s">
        <v>4280</v>
      </c>
      <c r="N657" s="6" t="str">
        <f t="shared" si="21"/>
        <v>Mar</v>
      </c>
      <c r="O657" s="1">
        <v>265.2</v>
      </c>
      <c r="T657" s="4"/>
      <c r="U657" s="1" t="str">
        <f t="shared" si="22"/>
        <v>Normal</v>
      </c>
    </row>
    <row r="658" spans="1:21" x14ac:dyDescent="0.25">
      <c r="A658" s="1" t="s">
        <v>670</v>
      </c>
      <c r="B658" s="4">
        <v>45309</v>
      </c>
      <c r="C658" s="1" t="s">
        <v>1869</v>
      </c>
      <c r="D658" s="1" t="s">
        <v>2403</v>
      </c>
      <c r="E658" s="1">
        <v>2</v>
      </c>
      <c r="F658" s="1">
        <v>189.06</v>
      </c>
      <c r="G658" s="1" t="s">
        <v>2862</v>
      </c>
      <c r="H658" s="1" t="s">
        <v>3068</v>
      </c>
      <c r="I658" s="1" t="s">
        <v>3070</v>
      </c>
      <c r="J658" s="1" t="s">
        <v>3731</v>
      </c>
      <c r="K658" s="1">
        <v>7</v>
      </c>
      <c r="L658" s="1" t="s">
        <v>4275</v>
      </c>
      <c r="M658" s="1" t="s">
        <v>4281</v>
      </c>
      <c r="N658" s="6" t="str">
        <f t="shared" si="21"/>
        <v>Jan</v>
      </c>
      <c r="O658" s="1">
        <v>378.12</v>
      </c>
      <c r="T658" s="4"/>
      <c r="U658" s="1" t="str">
        <f t="shared" si="22"/>
        <v>Normal</v>
      </c>
    </row>
    <row r="659" spans="1:21" x14ac:dyDescent="0.25">
      <c r="A659" s="1" t="s">
        <v>671</v>
      </c>
      <c r="B659" s="4">
        <v>45284</v>
      </c>
      <c r="C659" s="1" t="s">
        <v>1870</v>
      </c>
      <c r="D659" s="1" t="s">
        <v>2405</v>
      </c>
      <c r="E659" s="1">
        <v>4</v>
      </c>
      <c r="F659" s="1">
        <v>87.79</v>
      </c>
      <c r="G659" s="1" t="s">
        <v>2685</v>
      </c>
      <c r="H659" s="1" t="s">
        <v>3069</v>
      </c>
      <c r="I659" s="1" t="s">
        <v>3071</v>
      </c>
      <c r="J659" s="1" t="s">
        <v>3732</v>
      </c>
      <c r="K659" s="1">
        <v>6</v>
      </c>
      <c r="L659" s="1" t="s">
        <v>4276</v>
      </c>
      <c r="M659" s="1" t="s">
        <v>4278</v>
      </c>
      <c r="N659" s="6" t="str">
        <f t="shared" si="21"/>
        <v>Dec</v>
      </c>
      <c r="O659" s="1">
        <v>351.16</v>
      </c>
      <c r="T659" s="4"/>
      <c r="U659" s="1" t="str">
        <f t="shared" si="22"/>
        <v>Normal</v>
      </c>
    </row>
    <row r="660" spans="1:21" x14ac:dyDescent="0.25">
      <c r="A660" s="1" t="s">
        <v>672</v>
      </c>
      <c r="B660" s="4">
        <v>45765</v>
      </c>
      <c r="C660" s="1" t="s">
        <v>1871</v>
      </c>
      <c r="D660" s="1" t="s">
        <v>2407</v>
      </c>
      <c r="E660" s="1">
        <v>2</v>
      </c>
      <c r="F660" s="1">
        <v>46.36</v>
      </c>
      <c r="G660" s="1" t="s">
        <v>2657</v>
      </c>
      <c r="H660" s="1" t="s">
        <v>3068</v>
      </c>
      <c r="I660" s="1" t="s">
        <v>3072</v>
      </c>
      <c r="J660" s="1" t="s">
        <v>3733</v>
      </c>
      <c r="K660" s="1">
        <v>4</v>
      </c>
      <c r="L660" s="1" t="s">
        <v>4275</v>
      </c>
      <c r="M660" s="1" t="s">
        <v>4282</v>
      </c>
      <c r="N660" s="6" t="str">
        <f t="shared" si="21"/>
        <v>Apr</v>
      </c>
      <c r="O660" s="1">
        <v>92.72</v>
      </c>
      <c r="T660" s="4"/>
      <c r="U660" s="1" t="str">
        <f t="shared" si="22"/>
        <v>Normal</v>
      </c>
    </row>
    <row r="661" spans="1:21" x14ac:dyDescent="0.25">
      <c r="A661" s="1" t="s">
        <v>673</v>
      </c>
      <c r="B661" s="4">
        <v>45591</v>
      </c>
      <c r="C661" s="1" t="s">
        <v>1872</v>
      </c>
      <c r="D661" s="1" t="s">
        <v>2404</v>
      </c>
      <c r="E661" s="1">
        <v>2</v>
      </c>
      <c r="F661" s="1">
        <v>642.04</v>
      </c>
      <c r="G661" s="1" t="s">
        <v>2813</v>
      </c>
      <c r="H661" s="1" t="s">
        <v>3068</v>
      </c>
      <c r="I661" s="1" t="s">
        <v>3073</v>
      </c>
      <c r="J661" s="1" t="s">
        <v>3734</v>
      </c>
      <c r="K661" s="1">
        <v>4</v>
      </c>
      <c r="L661" s="1" t="s">
        <v>4277</v>
      </c>
      <c r="M661" s="1" t="s">
        <v>4280</v>
      </c>
      <c r="N661" s="6" t="str">
        <f t="shared" si="21"/>
        <v>Oct</v>
      </c>
      <c r="O661" s="1">
        <v>1284.08</v>
      </c>
      <c r="T661" s="4"/>
      <c r="U661" s="1" t="str">
        <f t="shared" si="22"/>
        <v>Normal</v>
      </c>
    </row>
    <row r="662" spans="1:21" x14ac:dyDescent="0.25">
      <c r="A662" s="1" t="s">
        <v>674</v>
      </c>
      <c r="B662" s="4">
        <v>45584</v>
      </c>
      <c r="C662" s="1" t="s">
        <v>1873</v>
      </c>
      <c r="D662" s="1" t="s">
        <v>2406</v>
      </c>
      <c r="E662" s="1">
        <v>2</v>
      </c>
      <c r="F662" s="1">
        <v>651.57000000000005</v>
      </c>
      <c r="G662" s="1" t="s">
        <v>2543</v>
      </c>
      <c r="H662" s="1" t="s">
        <v>3065</v>
      </c>
      <c r="I662" s="1" t="s">
        <v>3070</v>
      </c>
      <c r="J662" s="1" t="s">
        <v>3735</v>
      </c>
      <c r="K662" s="1">
        <v>7</v>
      </c>
      <c r="L662" s="1" t="s">
        <v>4277</v>
      </c>
      <c r="M662" s="1" t="s">
        <v>4281</v>
      </c>
      <c r="N662" s="6" t="str">
        <f t="shared" si="21"/>
        <v>Oct</v>
      </c>
      <c r="O662" s="1">
        <v>1303.1400000000001</v>
      </c>
      <c r="T662" s="4"/>
      <c r="U662" s="1" t="str">
        <f t="shared" si="22"/>
        <v>Normal</v>
      </c>
    </row>
    <row r="663" spans="1:21" x14ac:dyDescent="0.25">
      <c r="A663" s="1" t="s">
        <v>675</v>
      </c>
      <c r="B663" s="4">
        <v>45716</v>
      </c>
      <c r="C663" s="1" t="s">
        <v>1874</v>
      </c>
      <c r="D663" s="1" t="s">
        <v>2405</v>
      </c>
      <c r="E663" s="1">
        <v>3</v>
      </c>
      <c r="F663" s="1">
        <v>424.89</v>
      </c>
      <c r="G663" s="1" t="s">
        <v>2863</v>
      </c>
      <c r="H663" s="1" t="s">
        <v>3065</v>
      </c>
      <c r="I663" s="1" t="s">
        <v>3071</v>
      </c>
      <c r="J663" s="1" t="s">
        <v>3736</v>
      </c>
      <c r="K663" s="1">
        <v>6</v>
      </c>
      <c r="L663" s="1" t="s">
        <v>4276</v>
      </c>
      <c r="M663" s="1" t="s">
        <v>4282</v>
      </c>
      <c r="N663" s="6" t="str">
        <f t="shared" si="21"/>
        <v>Feb</v>
      </c>
      <c r="O663" s="1">
        <v>1274.67</v>
      </c>
      <c r="T663" s="4"/>
      <c r="U663" s="1" t="str">
        <f t="shared" si="22"/>
        <v>Normal</v>
      </c>
    </row>
    <row r="664" spans="1:21" x14ac:dyDescent="0.25">
      <c r="A664" s="1" t="s">
        <v>676</v>
      </c>
      <c r="B664" s="4">
        <v>44954</v>
      </c>
      <c r="C664" s="1" t="s">
        <v>1875</v>
      </c>
      <c r="D664" s="1" t="s">
        <v>2408</v>
      </c>
      <c r="E664" s="1">
        <v>3</v>
      </c>
      <c r="F664" s="1">
        <v>438.89</v>
      </c>
      <c r="G664" s="1" t="s">
        <v>2864</v>
      </c>
      <c r="H664" s="1" t="s">
        <v>3069</v>
      </c>
      <c r="I664" s="1" t="s">
        <v>3072</v>
      </c>
      <c r="J664" s="1" t="s">
        <v>3737</v>
      </c>
      <c r="K664" s="1">
        <v>3</v>
      </c>
      <c r="L664" s="1" t="s">
        <v>4283</v>
      </c>
      <c r="M664" s="1" t="s">
        <v>4281</v>
      </c>
      <c r="N664" s="6" t="str">
        <f t="shared" si="21"/>
        <v>Jan</v>
      </c>
      <c r="O664" s="1">
        <v>1316.67</v>
      </c>
      <c r="T664" s="4"/>
      <c r="U664" s="1" t="str">
        <f t="shared" si="22"/>
        <v>Normal</v>
      </c>
    </row>
    <row r="665" spans="1:21" x14ac:dyDescent="0.25">
      <c r="A665" s="1" t="s">
        <v>677</v>
      </c>
      <c r="B665" s="4">
        <v>45397</v>
      </c>
      <c r="C665" s="1" t="s">
        <v>1876</v>
      </c>
      <c r="D665" s="1" t="s">
        <v>2403</v>
      </c>
      <c r="E665" s="1">
        <v>1</v>
      </c>
      <c r="F665" s="1">
        <v>72.599999999999994</v>
      </c>
      <c r="G665" s="1" t="s">
        <v>2800</v>
      </c>
      <c r="H665" s="1" t="s">
        <v>3065</v>
      </c>
      <c r="I665" s="1" t="s">
        <v>3071</v>
      </c>
      <c r="J665" s="1" t="s">
        <v>3738</v>
      </c>
      <c r="K665" s="1">
        <v>6</v>
      </c>
      <c r="L665" s="1" t="s">
        <v>4276</v>
      </c>
      <c r="M665" s="1" t="s">
        <v>4278</v>
      </c>
      <c r="N665" s="6" t="str">
        <f t="shared" si="21"/>
        <v>Apr</v>
      </c>
      <c r="O665" s="1">
        <v>72.599999999999994</v>
      </c>
      <c r="T665" s="4"/>
      <c r="U665" s="1" t="str">
        <f t="shared" si="22"/>
        <v>Normal</v>
      </c>
    </row>
    <row r="666" spans="1:21" x14ac:dyDescent="0.25">
      <c r="A666" s="1" t="s">
        <v>678</v>
      </c>
      <c r="B666" s="4">
        <v>45645</v>
      </c>
      <c r="C666" s="1" t="s">
        <v>1450</v>
      </c>
      <c r="D666" s="1" t="s">
        <v>2408</v>
      </c>
      <c r="E666" s="1">
        <v>4</v>
      </c>
      <c r="F666" s="1">
        <v>194.75</v>
      </c>
      <c r="G666" s="1" t="s">
        <v>2865</v>
      </c>
      <c r="H666" s="1" t="s">
        <v>3069</v>
      </c>
      <c r="I666" s="1" t="s">
        <v>3070</v>
      </c>
      <c r="J666" s="1" t="s">
        <v>3739</v>
      </c>
      <c r="K666" s="1">
        <v>5</v>
      </c>
      <c r="L666" s="1" t="s">
        <v>4283</v>
      </c>
      <c r="M666" s="1" t="s">
        <v>4281</v>
      </c>
      <c r="N666" s="6" t="str">
        <f t="shared" si="21"/>
        <v>Dec</v>
      </c>
      <c r="O666" s="1">
        <v>779</v>
      </c>
      <c r="T666" s="4"/>
      <c r="U666" s="1" t="str">
        <f t="shared" si="22"/>
        <v>Normal</v>
      </c>
    </row>
    <row r="667" spans="1:21" x14ac:dyDescent="0.25">
      <c r="A667" s="1" t="s">
        <v>679</v>
      </c>
      <c r="B667" s="4">
        <v>45048</v>
      </c>
      <c r="C667" s="1" t="s">
        <v>1877</v>
      </c>
      <c r="D667" s="1" t="s">
        <v>2405</v>
      </c>
      <c r="E667" s="1">
        <v>4</v>
      </c>
      <c r="F667" s="1">
        <v>231.26</v>
      </c>
      <c r="G667" s="1" t="s">
        <v>2866</v>
      </c>
      <c r="H667" s="1" t="s">
        <v>3066</v>
      </c>
      <c r="I667" s="1" t="s">
        <v>3070</v>
      </c>
      <c r="J667" s="1" t="s">
        <v>3740</v>
      </c>
      <c r="K667" s="1">
        <v>6</v>
      </c>
      <c r="L667" s="1" t="s">
        <v>4277</v>
      </c>
      <c r="M667" s="1" t="s">
        <v>4282</v>
      </c>
      <c r="N667" s="6" t="str">
        <f t="shared" si="21"/>
        <v>May</v>
      </c>
      <c r="O667" s="1">
        <v>925.04</v>
      </c>
      <c r="T667" s="4"/>
      <c r="U667" s="1" t="str">
        <f t="shared" si="22"/>
        <v>Normal</v>
      </c>
    </row>
    <row r="668" spans="1:21" x14ac:dyDescent="0.25">
      <c r="A668" s="1" t="s">
        <v>680</v>
      </c>
      <c r="B668" s="4">
        <v>45535</v>
      </c>
      <c r="C668" s="1" t="s">
        <v>1878</v>
      </c>
      <c r="D668" s="1" t="s">
        <v>2403</v>
      </c>
      <c r="E668" s="1">
        <v>4</v>
      </c>
      <c r="F668" s="1">
        <v>327.12</v>
      </c>
      <c r="G668" s="1" t="s">
        <v>2840</v>
      </c>
      <c r="H668" s="1" t="s">
        <v>3067</v>
      </c>
      <c r="I668" s="1" t="s">
        <v>3071</v>
      </c>
      <c r="J668" s="1" t="s">
        <v>3741</v>
      </c>
      <c r="K668" s="1">
        <v>4</v>
      </c>
      <c r="L668" s="1" t="s">
        <v>4283</v>
      </c>
      <c r="M668" s="1" t="s">
        <v>4280</v>
      </c>
      <c r="N668" s="6" t="str">
        <f t="shared" si="21"/>
        <v>Aug</v>
      </c>
      <c r="O668" s="1">
        <v>1308.48</v>
      </c>
      <c r="T668" s="4"/>
      <c r="U668" s="1" t="str">
        <f t="shared" si="22"/>
        <v>Normal</v>
      </c>
    </row>
    <row r="669" spans="1:21" x14ac:dyDescent="0.25">
      <c r="A669" s="1" t="s">
        <v>681</v>
      </c>
      <c r="B669" s="4">
        <v>45049</v>
      </c>
      <c r="C669" s="1" t="s">
        <v>1879</v>
      </c>
      <c r="D669" s="1" t="s">
        <v>2408</v>
      </c>
      <c r="E669" s="1">
        <v>1</v>
      </c>
      <c r="F669" s="1">
        <v>466.42</v>
      </c>
      <c r="G669" s="1" t="s">
        <v>2590</v>
      </c>
      <c r="H669" s="1" t="s">
        <v>3068</v>
      </c>
      <c r="I669" s="1" t="s">
        <v>3074</v>
      </c>
      <c r="J669" s="1" t="s">
        <v>3742</v>
      </c>
      <c r="K669" s="1">
        <v>5</v>
      </c>
      <c r="L669" s="1" t="s">
        <v>4275</v>
      </c>
      <c r="M669" s="1" t="s">
        <v>4280</v>
      </c>
      <c r="N669" s="6" t="str">
        <f t="shared" si="21"/>
        <v>May</v>
      </c>
      <c r="O669" s="1">
        <v>466.42</v>
      </c>
      <c r="T669" s="4"/>
      <c r="U669" s="1" t="str">
        <f t="shared" si="22"/>
        <v>Normal</v>
      </c>
    </row>
    <row r="670" spans="1:21" x14ac:dyDescent="0.25">
      <c r="A670" s="1" t="s">
        <v>682</v>
      </c>
      <c r="B670" s="4">
        <v>45478</v>
      </c>
      <c r="C670" s="1" t="s">
        <v>1880</v>
      </c>
      <c r="D670" s="1" t="s">
        <v>2403</v>
      </c>
      <c r="E670" s="1">
        <v>2</v>
      </c>
      <c r="F670" s="1">
        <v>253.67</v>
      </c>
      <c r="G670" s="1" t="s">
        <v>2549</v>
      </c>
      <c r="H670" s="1" t="s">
        <v>3069</v>
      </c>
      <c r="I670" s="1" t="s">
        <v>3072</v>
      </c>
      <c r="J670" s="1" t="s">
        <v>3743</v>
      </c>
      <c r="K670" s="1">
        <v>3</v>
      </c>
      <c r="L670" s="1" t="s">
        <v>4277</v>
      </c>
      <c r="M670" s="1" t="s">
        <v>4281</v>
      </c>
      <c r="N670" s="6" t="str">
        <f t="shared" si="21"/>
        <v>Jul</v>
      </c>
      <c r="O670" s="1">
        <v>507.34</v>
      </c>
      <c r="T670" s="4"/>
      <c r="U670" s="1" t="str">
        <f t="shared" si="22"/>
        <v>Normal</v>
      </c>
    </row>
    <row r="671" spans="1:21" x14ac:dyDescent="0.25">
      <c r="A671" s="1" t="s">
        <v>683</v>
      </c>
      <c r="B671" s="4">
        <v>44962</v>
      </c>
      <c r="C671" s="1" t="s">
        <v>1881</v>
      </c>
      <c r="D671" s="1" t="s">
        <v>2409</v>
      </c>
      <c r="E671" s="1">
        <v>1</v>
      </c>
      <c r="F671" s="1">
        <v>257</v>
      </c>
      <c r="G671" s="1" t="s">
        <v>2867</v>
      </c>
      <c r="H671" s="1" t="s">
        <v>3065</v>
      </c>
      <c r="I671" s="1" t="s">
        <v>3071</v>
      </c>
      <c r="J671" s="1" t="s">
        <v>3744</v>
      </c>
      <c r="K671" s="1">
        <v>5</v>
      </c>
      <c r="L671" s="1" t="s">
        <v>4283</v>
      </c>
      <c r="M671" s="1" t="s">
        <v>4279</v>
      </c>
      <c r="N671" s="6" t="str">
        <f t="shared" si="21"/>
        <v>Feb</v>
      </c>
      <c r="O671" s="1">
        <v>257</v>
      </c>
      <c r="T671" s="4"/>
      <c r="U671" s="1" t="str">
        <f t="shared" si="22"/>
        <v>Normal</v>
      </c>
    </row>
    <row r="672" spans="1:21" x14ac:dyDescent="0.25">
      <c r="A672" s="1" t="s">
        <v>684</v>
      </c>
      <c r="B672" s="4">
        <v>45400</v>
      </c>
      <c r="C672" s="1" t="s">
        <v>1882</v>
      </c>
      <c r="D672" s="1" t="s">
        <v>2409</v>
      </c>
      <c r="E672" s="1">
        <v>4</v>
      </c>
      <c r="F672" s="1">
        <v>539.20000000000005</v>
      </c>
      <c r="G672" s="1" t="s">
        <v>2710</v>
      </c>
      <c r="H672" s="1" t="s">
        <v>3067</v>
      </c>
      <c r="I672" s="1" t="s">
        <v>3074</v>
      </c>
      <c r="J672" s="1" t="s">
        <v>3745</v>
      </c>
      <c r="K672" s="1">
        <v>8</v>
      </c>
      <c r="L672" s="1" t="s">
        <v>4276</v>
      </c>
      <c r="M672" s="1" t="s">
        <v>4282</v>
      </c>
      <c r="N672" s="6" t="str">
        <f t="shared" si="21"/>
        <v>Apr</v>
      </c>
      <c r="O672" s="1">
        <v>2156.8000000000002</v>
      </c>
      <c r="T672" s="4"/>
      <c r="U672" s="1" t="str">
        <f t="shared" si="22"/>
        <v>Normal</v>
      </c>
    </row>
    <row r="673" spans="1:21" x14ac:dyDescent="0.25">
      <c r="A673" s="1" t="s">
        <v>685</v>
      </c>
      <c r="B673" s="4">
        <v>45092</v>
      </c>
      <c r="C673" s="1" t="s">
        <v>1883</v>
      </c>
      <c r="D673" s="1" t="s">
        <v>2406</v>
      </c>
      <c r="E673" s="1">
        <v>5</v>
      </c>
      <c r="F673" s="1">
        <v>50.74</v>
      </c>
      <c r="G673" s="1" t="s">
        <v>2554</v>
      </c>
      <c r="H673" s="1" t="s">
        <v>3068</v>
      </c>
      <c r="I673" s="1" t="s">
        <v>3071</v>
      </c>
      <c r="J673" s="1" t="s">
        <v>3746</v>
      </c>
      <c r="K673" s="1">
        <v>7</v>
      </c>
      <c r="L673" s="1" t="s">
        <v>4277</v>
      </c>
      <c r="M673" s="1" t="s">
        <v>4282</v>
      </c>
      <c r="N673" s="6" t="str">
        <f t="shared" si="21"/>
        <v>Jun</v>
      </c>
      <c r="O673" s="1">
        <v>253.7</v>
      </c>
      <c r="T673" s="4"/>
      <c r="U673" s="1" t="str">
        <f t="shared" si="22"/>
        <v>Normal</v>
      </c>
    </row>
    <row r="674" spans="1:21" x14ac:dyDescent="0.25">
      <c r="A674" s="1" t="s">
        <v>686</v>
      </c>
      <c r="B674" s="4">
        <v>45055</v>
      </c>
      <c r="C674" s="1" t="s">
        <v>1884</v>
      </c>
      <c r="D674" s="1" t="s">
        <v>2404</v>
      </c>
      <c r="E674" s="1">
        <v>2</v>
      </c>
      <c r="F674" s="1">
        <v>624.16</v>
      </c>
      <c r="G674" s="1" t="s">
        <v>2843</v>
      </c>
      <c r="H674" s="1" t="s">
        <v>3065</v>
      </c>
      <c r="I674" s="1" t="s">
        <v>3070</v>
      </c>
      <c r="J674" s="1" t="s">
        <v>3747</v>
      </c>
      <c r="K674" s="1">
        <v>2</v>
      </c>
      <c r="L674" s="1" t="s">
        <v>4275</v>
      </c>
      <c r="M674" s="1" t="s">
        <v>4278</v>
      </c>
      <c r="N674" s="6" t="str">
        <f t="shared" si="21"/>
        <v>May</v>
      </c>
      <c r="O674" s="1">
        <v>1248.32</v>
      </c>
      <c r="T674" s="4"/>
      <c r="U674" s="1" t="str">
        <f t="shared" si="22"/>
        <v>Normal</v>
      </c>
    </row>
    <row r="675" spans="1:21" x14ac:dyDescent="0.25">
      <c r="A675" s="1" t="s">
        <v>687</v>
      </c>
      <c r="B675" s="4">
        <v>44978</v>
      </c>
      <c r="C675" s="1" t="s">
        <v>1885</v>
      </c>
      <c r="D675" s="1" t="s">
        <v>2405</v>
      </c>
      <c r="E675" s="1">
        <v>2</v>
      </c>
      <c r="F675" s="1">
        <v>372.92</v>
      </c>
      <c r="G675" s="1" t="s">
        <v>2512</v>
      </c>
      <c r="H675" s="1" t="s">
        <v>3067</v>
      </c>
      <c r="I675" s="1" t="s">
        <v>3073</v>
      </c>
      <c r="J675" s="1" t="s">
        <v>3748</v>
      </c>
      <c r="K675" s="1">
        <v>7</v>
      </c>
      <c r="L675" s="1" t="s">
        <v>4275</v>
      </c>
      <c r="M675" s="1" t="s">
        <v>4280</v>
      </c>
      <c r="N675" s="6" t="str">
        <f t="shared" si="21"/>
        <v>Feb</v>
      </c>
      <c r="O675" s="1">
        <v>745.84</v>
      </c>
      <c r="T675" s="4"/>
      <c r="U675" s="1" t="str">
        <f t="shared" si="22"/>
        <v>Normal</v>
      </c>
    </row>
    <row r="676" spans="1:21" x14ac:dyDescent="0.25">
      <c r="A676" s="1" t="s">
        <v>688</v>
      </c>
      <c r="B676" s="4">
        <v>45300</v>
      </c>
      <c r="C676" s="1" t="s">
        <v>1886</v>
      </c>
      <c r="D676" s="1" t="s">
        <v>2408</v>
      </c>
      <c r="E676" s="1">
        <v>4</v>
      </c>
      <c r="F676" s="1">
        <v>358.75</v>
      </c>
      <c r="G676" s="1" t="s">
        <v>2868</v>
      </c>
      <c r="H676" s="1" t="s">
        <v>3068</v>
      </c>
      <c r="I676" s="1" t="s">
        <v>3073</v>
      </c>
      <c r="J676" s="1" t="s">
        <v>3749</v>
      </c>
      <c r="K676" s="1">
        <v>9</v>
      </c>
      <c r="L676" s="1" t="s">
        <v>4275</v>
      </c>
      <c r="M676" s="1" t="s">
        <v>4281</v>
      </c>
      <c r="N676" s="6" t="str">
        <f t="shared" si="21"/>
        <v>Jan</v>
      </c>
      <c r="O676" s="1">
        <v>1435</v>
      </c>
      <c r="T676" s="4"/>
      <c r="U676" s="1" t="str">
        <f t="shared" si="22"/>
        <v>Normal</v>
      </c>
    </row>
    <row r="677" spans="1:21" x14ac:dyDescent="0.25">
      <c r="A677" s="1" t="s">
        <v>689</v>
      </c>
      <c r="B677" s="4">
        <v>45510</v>
      </c>
      <c r="C677" s="1" t="s">
        <v>1887</v>
      </c>
      <c r="D677" s="1" t="s">
        <v>2409</v>
      </c>
      <c r="E677" s="1">
        <v>3</v>
      </c>
      <c r="F677" s="1">
        <v>342.02</v>
      </c>
      <c r="G677" s="1" t="s">
        <v>2807</v>
      </c>
      <c r="H677" s="1" t="s">
        <v>3065</v>
      </c>
      <c r="I677" s="1" t="s">
        <v>3074</v>
      </c>
      <c r="J677" s="1" t="s">
        <v>3750</v>
      </c>
      <c r="K677" s="1">
        <v>5</v>
      </c>
      <c r="L677" s="1" t="s">
        <v>4283</v>
      </c>
      <c r="M677" s="1" t="s">
        <v>4280</v>
      </c>
      <c r="N677" s="6" t="str">
        <f t="shared" si="21"/>
        <v>Aug</v>
      </c>
      <c r="O677" s="1">
        <v>1026.06</v>
      </c>
      <c r="T677" s="4"/>
      <c r="U677" s="1" t="str">
        <f t="shared" si="22"/>
        <v>Normal</v>
      </c>
    </row>
    <row r="678" spans="1:21" x14ac:dyDescent="0.25">
      <c r="A678" s="1" t="s">
        <v>690</v>
      </c>
      <c r="B678" s="4">
        <v>45831</v>
      </c>
      <c r="C678" s="1" t="s">
        <v>1888</v>
      </c>
      <c r="D678" s="1" t="s">
        <v>2408</v>
      </c>
      <c r="E678" s="1">
        <v>2</v>
      </c>
      <c r="F678" s="1">
        <v>422.34</v>
      </c>
      <c r="G678" s="1" t="s">
        <v>2864</v>
      </c>
      <c r="H678" s="1" t="s">
        <v>3067</v>
      </c>
      <c r="I678" s="1" t="s">
        <v>3071</v>
      </c>
      <c r="J678" s="1" t="s">
        <v>3751</v>
      </c>
      <c r="K678" s="1">
        <v>4</v>
      </c>
      <c r="L678" s="1" t="s">
        <v>4276</v>
      </c>
      <c r="M678" s="1" t="s">
        <v>4278</v>
      </c>
      <c r="N678" s="6" t="str">
        <f t="shared" si="21"/>
        <v>Jun</v>
      </c>
      <c r="O678" s="1">
        <v>844.68</v>
      </c>
      <c r="T678" s="4"/>
      <c r="U678" s="1" t="str">
        <f t="shared" si="22"/>
        <v>Normal</v>
      </c>
    </row>
    <row r="679" spans="1:21" x14ac:dyDescent="0.25">
      <c r="A679" s="1" t="s">
        <v>691</v>
      </c>
      <c r="B679" s="4">
        <v>45750</v>
      </c>
      <c r="C679" s="1" t="s">
        <v>1889</v>
      </c>
      <c r="D679" s="1" t="s">
        <v>2405</v>
      </c>
      <c r="E679" s="1">
        <v>5</v>
      </c>
      <c r="F679" s="1">
        <v>22.07</v>
      </c>
      <c r="G679" s="1" t="s">
        <v>2422</v>
      </c>
      <c r="H679" s="1" t="s">
        <v>3066</v>
      </c>
      <c r="I679" s="1" t="s">
        <v>3071</v>
      </c>
      <c r="J679" s="1" t="s">
        <v>3752</v>
      </c>
      <c r="K679" s="1">
        <v>7</v>
      </c>
      <c r="L679" s="1" t="s">
        <v>4276</v>
      </c>
      <c r="M679" s="1" t="s">
        <v>4278</v>
      </c>
      <c r="N679" s="6" t="str">
        <f t="shared" si="21"/>
        <v>Apr</v>
      </c>
      <c r="O679" s="1">
        <v>110.35</v>
      </c>
      <c r="T679" s="4"/>
      <c r="U679" s="1" t="str">
        <f t="shared" si="22"/>
        <v>Normal</v>
      </c>
    </row>
    <row r="680" spans="1:21" x14ac:dyDescent="0.25">
      <c r="A680" s="1" t="s">
        <v>692</v>
      </c>
      <c r="B680" s="4">
        <v>45620</v>
      </c>
      <c r="C680" s="1" t="s">
        <v>1890</v>
      </c>
      <c r="D680" s="1" t="s">
        <v>2406</v>
      </c>
      <c r="E680" s="1">
        <v>3</v>
      </c>
      <c r="F680" s="1">
        <v>163.13</v>
      </c>
      <c r="G680" s="1" t="s">
        <v>2600</v>
      </c>
      <c r="H680" s="1" t="s">
        <v>3068</v>
      </c>
      <c r="I680" s="1" t="s">
        <v>3070</v>
      </c>
      <c r="J680" s="1" t="s">
        <v>3753</v>
      </c>
      <c r="K680" s="1">
        <v>5</v>
      </c>
      <c r="L680" s="1" t="s">
        <v>4277</v>
      </c>
      <c r="M680" s="1" t="s">
        <v>4281</v>
      </c>
      <c r="N680" s="6" t="str">
        <f t="shared" si="21"/>
        <v>Nov</v>
      </c>
      <c r="O680" s="1">
        <v>489.39</v>
      </c>
      <c r="T680" s="4"/>
      <c r="U680" s="1" t="str">
        <f t="shared" si="22"/>
        <v>Normal</v>
      </c>
    </row>
    <row r="681" spans="1:21" x14ac:dyDescent="0.25">
      <c r="A681" s="1" t="s">
        <v>693</v>
      </c>
      <c r="B681" s="4">
        <v>44959</v>
      </c>
      <c r="C681" s="1" t="s">
        <v>1891</v>
      </c>
      <c r="D681" s="1" t="s">
        <v>2405</v>
      </c>
      <c r="E681" s="1">
        <v>3</v>
      </c>
      <c r="F681" s="1">
        <v>360.66</v>
      </c>
      <c r="G681" s="1" t="s">
        <v>2733</v>
      </c>
      <c r="H681" s="1" t="s">
        <v>3066</v>
      </c>
      <c r="I681" s="1" t="s">
        <v>3072</v>
      </c>
      <c r="J681" s="1" t="s">
        <v>3754</v>
      </c>
      <c r="K681" s="1">
        <v>5</v>
      </c>
      <c r="L681" s="1" t="s">
        <v>4276</v>
      </c>
      <c r="M681" s="1" t="s">
        <v>4278</v>
      </c>
      <c r="N681" s="6" t="str">
        <f t="shared" si="21"/>
        <v>Feb</v>
      </c>
      <c r="O681" s="1">
        <v>1081.98</v>
      </c>
      <c r="T681" s="4"/>
      <c r="U681" s="1" t="str">
        <f t="shared" si="22"/>
        <v>Normal</v>
      </c>
    </row>
    <row r="682" spans="1:21" x14ac:dyDescent="0.25">
      <c r="A682" s="1" t="s">
        <v>694</v>
      </c>
      <c r="B682" s="4">
        <v>45165</v>
      </c>
      <c r="C682" s="1" t="s">
        <v>1892</v>
      </c>
      <c r="D682" s="1" t="s">
        <v>2403</v>
      </c>
      <c r="E682" s="1">
        <v>3</v>
      </c>
      <c r="F682" s="1">
        <v>463.39</v>
      </c>
      <c r="G682" s="1" t="s">
        <v>2869</v>
      </c>
      <c r="H682" s="1" t="s">
        <v>3067</v>
      </c>
      <c r="I682" s="1" t="s">
        <v>3072</v>
      </c>
      <c r="J682" s="1" t="s">
        <v>3755</v>
      </c>
      <c r="K682" s="1">
        <v>3</v>
      </c>
      <c r="L682" s="1" t="s">
        <v>4283</v>
      </c>
      <c r="M682" s="1" t="s">
        <v>4281</v>
      </c>
      <c r="N682" s="6" t="str">
        <f t="shared" si="21"/>
        <v>Aug</v>
      </c>
      <c r="O682" s="1">
        <v>1390.17</v>
      </c>
      <c r="T682" s="4"/>
      <c r="U682" s="1" t="str">
        <f t="shared" si="22"/>
        <v>Normal</v>
      </c>
    </row>
    <row r="683" spans="1:21" x14ac:dyDescent="0.25">
      <c r="A683" s="1" t="s">
        <v>695</v>
      </c>
      <c r="B683" s="4">
        <v>45321</v>
      </c>
      <c r="C683" s="1" t="s">
        <v>1893</v>
      </c>
      <c r="D683" s="1" t="s">
        <v>2405</v>
      </c>
      <c r="E683" s="1">
        <v>1</v>
      </c>
      <c r="F683" s="1">
        <v>155.27000000000001</v>
      </c>
      <c r="G683" s="1" t="s">
        <v>2870</v>
      </c>
      <c r="H683" s="1" t="s">
        <v>3065</v>
      </c>
      <c r="I683" s="1" t="s">
        <v>3070</v>
      </c>
      <c r="J683" s="1" t="s">
        <v>3756</v>
      </c>
      <c r="K683" s="1">
        <v>6</v>
      </c>
      <c r="L683" s="1" t="s">
        <v>4283</v>
      </c>
      <c r="M683" s="1" t="s">
        <v>4280</v>
      </c>
      <c r="N683" s="6" t="str">
        <f t="shared" si="21"/>
        <v>Jan</v>
      </c>
      <c r="O683" s="1">
        <v>155.27000000000001</v>
      </c>
      <c r="T683" s="4"/>
      <c r="U683" s="1" t="str">
        <f t="shared" si="22"/>
        <v>Normal</v>
      </c>
    </row>
    <row r="684" spans="1:21" x14ac:dyDescent="0.25">
      <c r="A684" s="1" t="s">
        <v>696</v>
      </c>
      <c r="B684" s="4">
        <v>45130</v>
      </c>
      <c r="C684" s="1" t="s">
        <v>1894</v>
      </c>
      <c r="D684" s="1" t="s">
        <v>2403</v>
      </c>
      <c r="E684" s="1">
        <v>3</v>
      </c>
      <c r="F684" s="1">
        <v>509.42</v>
      </c>
      <c r="G684" s="1" t="s">
        <v>2777</v>
      </c>
      <c r="H684" s="1" t="s">
        <v>3067</v>
      </c>
      <c r="I684" s="1" t="s">
        <v>3071</v>
      </c>
      <c r="J684" s="1" t="s">
        <v>3757</v>
      </c>
      <c r="K684" s="1">
        <v>5</v>
      </c>
      <c r="L684" s="1" t="s">
        <v>4276</v>
      </c>
      <c r="M684" s="1" t="s">
        <v>4282</v>
      </c>
      <c r="N684" s="6" t="str">
        <f t="shared" si="21"/>
        <v>Jul</v>
      </c>
      <c r="O684" s="1">
        <v>1528.26</v>
      </c>
      <c r="T684" s="4"/>
      <c r="U684" s="1" t="str">
        <f t="shared" si="22"/>
        <v>Normal</v>
      </c>
    </row>
    <row r="685" spans="1:21" x14ac:dyDescent="0.25">
      <c r="A685" s="1" t="s">
        <v>697</v>
      </c>
      <c r="B685" s="4">
        <v>45795</v>
      </c>
      <c r="C685" s="1" t="s">
        <v>1895</v>
      </c>
      <c r="D685" s="1" t="s">
        <v>2409</v>
      </c>
      <c r="E685" s="1">
        <v>4</v>
      </c>
      <c r="F685" s="1">
        <v>652.48</v>
      </c>
      <c r="G685" s="1" t="s">
        <v>2871</v>
      </c>
      <c r="H685" s="1" t="s">
        <v>3069</v>
      </c>
      <c r="I685" s="1" t="s">
        <v>3074</v>
      </c>
      <c r="J685" s="1" t="s">
        <v>3758</v>
      </c>
      <c r="K685" s="1">
        <v>5</v>
      </c>
      <c r="L685" s="1" t="s">
        <v>4276</v>
      </c>
      <c r="M685" s="1" t="s">
        <v>4278</v>
      </c>
      <c r="N685" s="6" t="str">
        <f t="shared" si="21"/>
        <v>May</v>
      </c>
      <c r="O685" s="1">
        <v>2609.92</v>
      </c>
      <c r="T685" s="4"/>
      <c r="U685" s="1" t="str">
        <f t="shared" si="22"/>
        <v>Normal</v>
      </c>
    </row>
    <row r="686" spans="1:21" x14ac:dyDescent="0.25">
      <c r="A686" s="1" t="s">
        <v>698</v>
      </c>
      <c r="B686" s="4">
        <v>45557</v>
      </c>
      <c r="C686" s="1" t="s">
        <v>1896</v>
      </c>
      <c r="D686" s="1" t="s">
        <v>2407</v>
      </c>
      <c r="E686" s="1">
        <v>4</v>
      </c>
      <c r="F686" s="1">
        <v>34.840000000000003</v>
      </c>
      <c r="G686" s="1" t="s">
        <v>2872</v>
      </c>
      <c r="H686" s="1" t="s">
        <v>3067</v>
      </c>
      <c r="I686" s="1" t="s">
        <v>3070</v>
      </c>
      <c r="J686" s="1" t="s">
        <v>3759</v>
      </c>
      <c r="K686" s="1">
        <v>8</v>
      </c>
      <c r="L686" s="1" t="s">
        <v>4283</v>
      </c>
      <c r="M686" s="1" t="s">
        <v>4280</v>
      </c>
      <c r="N686" s="6" t="str">
        <f t="shared" si="21"/>
        <v>Sep</v>
      </c>
      <c r="O686" s="1">
        <v>139.36000000000001</v>
      </c>
      <c r="T686" s="4"/>
      <c r="U686" s="1" t="str">
        <f t="shared" si="22"/>
        <v>Normal</v>
      </c>
    </row>
    <row r="687" spans="1:21" x14ac:dyDescent="0.25">
      <c r="A687" s="1" t="s">
        <v>699</v>
      </c>
      <c r="B687" s="4">
        <v>45695</v>
      </c>
      <c r="C687" s="1" t="s">
        <v>1897</v>
      </c>
      <c r="D687" s="1" t="s">
        <v>2409</v>
      </c>
      <c r="E687" s="1">
        <v>1</v>
      </c>
      <c r="F687" s="1">
        <v>234.37</v>
      </c>
      <c r="G687" s="1" t="s">
        <v>2873</v>
      </c>
      <c r="H687" s="1" t="s">
        <v>3065</v>
      </c>
      <c r="I687" s="1" t="s">
        <v>3070</v>
      </c>
      <c r="J687" s="1" t="s">
        <v>3760</v>
      </c>
      <c r="K687" s="1">
        <v>5</v>
      </c>
      <c r="L687" s="1" t="s">
        <v>4276</v>
      </c>
      <c r="M687" s="1" t="s">
        <v>4280</v>
      </c>
      <c r="N687" s="6" t="str">
        <f t="shared" si="21"/>
        <v>Feb</v>
      </c>
      <c r="O687" s="1">
        <v>234.37</v>
      </c>
      <c r="T687" s="4"/>
      <c r="U687" s="1" t="str">
        <f t="shared" si="22"/>
        <v>Normal</v>
      </c>
    </row>
    <row r="688" spans="1:21" x14ac:dyDescent="0.25">
      <c r="A688" s="1" t="s">
        <v>700</v>
      </c>
      <c r="B688" s="4">
        <v>45208</v>
      </c>
      <c r="C688" s="1" t="s">
        <v>1898</v>
      </c>
      <c r="D688" s="1" t="s">
        <v>2409</v>
      </c>
      <c r="E688" s="1">
        <v>3</v>
      </c>
      <c r="F688" s="1">
        <v>53.6</v>
      </c>
      <c r="G688" s="1" t="s">
        <v>2874</v>
      </c>
      <c r="H688" s="1" t="s">
        <v>3069</v>
      </c>
      <c r="I688" s="1" t="s">
        <v>3074</v>
      </c>
      <c r="J688" s="1" t="s">
        <v>3761</v>
      </c>
      <c r="K688" s="1">
        <v>4</v>
      </c>
      <c r="L688" s="1" t="s">
        <v>4277</v>
      </c>
      <c r="M688" s="1" t="s">
        <v>4281</v>
      </c>
      <c r="N688" s="6" t="str">
        <f t="shared" si="21"/>
        <v>Oct</v>
      </c>
      <c r="O688" s="1">
        <v>160.80000000000001</v>
      </c>
      <c r="T688" s="4"/>
      <c r="U688" s="1" t="str">
        <f t="shared" si="22"/>
        <v>Normal</v>
      </c>
    </row>
    <row r="689" spans="1:21" x14ac:dyDescent="0.25">
      <c r="A689" s="1" t="s">
        <v>701</v>
      </c>
      <c r="B689" s="4">
        <v>45182</v>
      </c>
      <c r="C689" s="1" t="s">
        <v>1899</v>
      </c>
      <c r="D689" s="1" t="s">
        <v>2405</v>
      </c>
      <c r="E689" s="1">
        <v>1</v>
      </c>
      <c r="F689" s="1">
        <v>332.09</v>
      </c>
      <c r="G689" s="1" t="s">
        <v>2875</v>
      </c>
      <c r="H689" s="1" t="s">
        <v>3068</v>
      </c>
      <c r="I689" s="1" t="s">
        <v>3072</v>
      </c>
      <c r="J689" s="1" t="s">
        <v>3762</v>
      </c>
      <c r="K689" s="1">
        <v>5</v>
      </c>
      <c r="L689" s="1" t="s">
        <v>4276</v>
      </c>
      <c r="M689" s="1" t="s">
        <v>4278</v>
      </c>
      <c r="N689" s="6" t="str">
        <f t="shared" si="21"/>
        <v>Sep</v>
      </c>
      <c r="O689" s="1">
        <v>332.09</v>
      </c>
      <c r="T689" s="4"/>
      <c r="U689" s="1" t="str">
        <f t="shared" si="22"/>
        <v>Normal</v>
      </c>
    </row>
    <row r="690" spans="1:21" x14ac:dyDescent="0.25">
      <c r="A690" s="1" t="s">
        <v>702</v>
      </c>
      <c r="B690" s="4">
        <v>45357</v>
      </c>
      <c r="C690" s="1" t="s">
        <v>1900</v>
      </c>
      <c r="D690" s="1" t="s">
        <v>2403</v>
      </c>
      <c r="E690" s="1">
        <v>4</v>
      </c>
      <c r="F690" s="1">
        <v>593.22</v>
      </c>
      <c r="G690" s="1" t="s">
        <v>2842</v>
      </c>
      <c r="H690" s="1" t="s">
        <v>3067</v>
      </c>
      <c r="I690" s="1" t="s">
        <v>3071</v>
      </c>
      <c r="J690" s="1" t="s">
        <v>3763</v>
      </c>
      <c r="K690" s="1">
        <v>8</v>
      </c>
      <c r="L690" s="1" t="s">
        <v>4277</v>
      </c>
      <c r="M690" s="1" t="s">
        <v>4281</v>
      </c>
      <c r="N690" s="6" t="str">
        <f t="shared" si="21"/>
        <v>Mar</v>
      </c>
      <c r="O690" s="1">
        <v>2372.88</v>
      </c>
      <c r="T690" s="4"/>
      <c r="U690" s="1" t="str">
        <f t="shared" si="22"/>
        <v>Normal</v>
      </c>
    </row>
    <row r="691" spans="1:21" x14ac:dyDescent="0.25">
      <c r="A691" s="1" t="s">
        <v>703</v>
      </c>
      <c r="B691" s="4">
        <v>45167</v>
      </c>
      <c r="C691" s="1" t="s">
        <v>1901</v>
      </c>
      <c r="D691" s="1" t="s">
        <v>2405</v>
      </c>
      <c r="E691" s="1">
        <v>2</v>
      </c>
      <c r="F691" s="1">
        <v>444.84</v>
      </c>
      <c r="G691" s="1" t="s">
        <v>2876</v>
      </c>
      <c r="H691" s="1" t="s">
        <v>3066</v>
      </c>
      <c r="I691" s="1" t="s">
        <v>3070</v>
      </c>
      <c r="J691" s="1" t="s">
        <v>3764</v>
      </c>
      <c r="K691" s="1">
        <v>7</v>
      </c>
      <c r="L691" s="1" t="s">
        <v>4283</v>
      </c>
      <c r="M691" s="1" t="s">
        <v>4281</v>
      </c>
      <c r="N691" s="6" t="str">
        <f t="shared" si="21"/>
        <v>Aug</v>
      </c>
      <c r="O691" s="1">
        <v>889.68</v>
      </c>
      <c r="T691" s="4"/>
      <c r="U691" s="1" t="str">
        <f t="shared" si="22"/>
        <v>Normal</v>
      </c>
    </row>
    <row r="692" spans="1:21" x14ac:dyDescent="0.25">
      <c r="A692" s="1" t="s">
        <v>704</v>
      </c>
      <c r="B692" s="4">
        <v>45485</v>
      </c>
      <c r="C692" s="1" t="s">
        <v>1902</v>
      </c>
      <c r="D692" s="1" t="s">
        <v>2403</v>
      </c>
      <c r="E692" s="1">
        <v>1</v>
      </c>
      <c r="F692" s="1">
        <v>24.48</v>
      </c>
      <c r="G692" s="1" t="s">
        <v>2445</v>
      </c>
      <c r="H692" s="1" t="s">
        <v>3068</v>
      </c>
      <c r="I692" s="1" t="s">
        <v>3072</v>
      </c>
      <c r="J692" s="1" t="s">
        <v>3765</v>
      </c>
      <c r="K692" s="1">
        <v>1</v>
      </c>
      <c r="L692" s="1" t="s">
        <v>4283</v>
      </c>
      <c r="M692" s="1" t="s">
        <v>4278</v>
      </c>
      <c r="N692" s="6" t="str">
        <f t="shared" si="21"/>
        <v>Jul</v>
      </c>
      <c r="O692" s="1">
        <v>24.48</v>
      </c>
      <c r="T692" s="4"/>
      <c r="U692" s="1" t="str">
        <f t="shared" si="22"/>
        <v>Normal</v>
      </c>
    </row>
    <row r="693" spans="1:21" x14ac:dyDescent="0.25">
      <c r="A693" s="1" t="s">
        <v>705</v>
      </c>
      <c r="B693" s="4">
        <v>45620</v>
      </c>
      <c r="C693" s="1" t="s">
        <v>1903</v>
      </c>
      <c r="D693" s="1" t="s">
        <v>2408</v>
      </c>
      <c r="E693" s="1">
        <v>3</v>
      </c>
      <c r="F693" s="1">
        <v>239.08</v>
      </c>
      <c r="G693" s="1" t="s">
        <v>2877</v>
      </c>
      <c r="H693" s="1" t="s">
        <v>3069</v>
      </c>
      <c r="I693" s="1" t="s">
        <v>3070</v>
      </c>
      <c r="J693" s="1" t="s">
        <v>3766</v>
      </c>
      <c r="K693" s="1">
        <v>8</v>
      </c>
      <c r="L693" s="1" t="s">
        <v>4283</v>
      </c>
      <c r="M693" s="1" t="s">
        <v>4282</v>
      </c>
      <c r="N693" s="6" t="str">
        <f t="shared" si="21"/>
        <v>Nov</v>
      </c>
      <c r="O693" s="1">
        <v>717.24</v>
      </c>
      <c r="T693" s="4"/>
      <c r="U693" s="1" t="str">
        <f t="shared" si="22"/>
        <v>Normal</v>
      </c>
    </row>
    <row r="694" spans="1:21" x14ac:dyDescent="0.25">
      <c r="A694" s="1" t="s">
        <v>706</v>
      </c>
      <c r="B694" s="4">
        <v>44949</v>
      </c>
      <c r="C694" s="1" t="s">
        <v>1904</v>
      </c>
      <c r="D694" s="1" t="s">
        <v>2409</v>
      </c>
      <c r="E694" s="1">
        <v>5</v>
      </c>
      <c r="F694" s="1">
        <v>196.84</v>
      </c>
      <c r="G694" s="1" t="s">
        <v>2732</v>
      </c>
      <c r="H694" s="1" t="s">
        <v>3067</v>
      </c>
      <c r="I694" s="1" t="s">
        <v>3073</v>
      </c>
      <c r="J694" s="1" t="s">
        <v>3767</v>
      </c>
      <c r="K694" s="1">
        <v>5</v>
      </c>
      <c r="L694" s="1" t="s">
        <v>4277</v>
      </c>
      <c r="M694" s="1" t="s">
        <v>4278</v>
      </c>
      <c r="N694" s="6" t="str">
        <f t="shared" si="21"/>
        <v>Jan</v>
      </c>
      <c r="O694" s="1">
        <v>984.2</v>
      </c>
      <c r="T694" s="4"/>
      <c r="U694" s="1" t="str">
        <f t="shared" si="22"/>
        <v>Normal</v>
      </c>
    </row>
    <row r="695" spans="1:21" x14ac:dyDescent="0.25">
      <c r="A695" s="1" t="s">
        <v>707</v>
      </c>
      <c r="B695" s="4">
        <v>45728</v>
      </c>
      <c r="C695" s="1" t="s">
        <v>1905</v>
      </c>
      <c r="D695" s="1" t="s">
        <v>2403</v>
      </c>
      <c r="E695" s="1">
        <v>1</v>
      </c>
      <c r="F695" s="1">
        <v>176.58</v>
      </c>
      <c r="G695" s="1" t="s">
        <v>2878</v>
      </c>
      <c r="H695" s="1" t="s">
        <v>3065</v>
      </c>
      <c r="I695" s="1" t="s">
        <v>3072</v>
      </c>
      <c r="J695" s="1" t="s">
        <v>3768</v>
      </c>
      <c r="K695" s="1">
        <v>4</v>
      </c>
      <c r="L695" s="1" t="s">
        <v>4283</v>
      </c>
      <c r="M695" s="1" t="s">
        <v>4279</v>
      </c>
      <c r="N695" s="6" t="str">
        <f t="shared" si="21"/>
        <v>Mar</v>
      </c>
      <c r="O695" s="1">
        <v>176.58</v>
      </c>
      <c r="T695" s="4"/>
      <c r="U695" s="1" t="str">
        <f t="shared" si="22"/>
        <v>Normal</v>
      </c>
    </row>
    <row r="696" spans="1:21" x14ac:dyDescent="0.25">
      <c r="A696" s="1" t="s">
        <v>708</v>
      </c>
      <c r="B696" s="4">
        <v>45201</v>
      </c>
      <c r="C696" s="1" t="s">
        <v>1906</v>
      </c>
      <c r="D696" s="1" t="s">
        <v>2407</v>
      </c>
      <c r="E696" s="1">
        <v>4</v>
      </c>
      <c r="F696" s="1">
        <v>666.52</v>
      </c>
      <c r="G696" s="1" t="s">
        <v>2695</v>
      </c>
      <c r="H696" s="1" t="s">
        <v>3069</v>
      </c>
      <c r="I696" s="1" t="s">
        <v>3070</v>
      </c>
      <c r="J696" s="1" t="s">
        <v>3769</v>
      </c>
      <c r="K696" s="1">
        <v>8</v>
      </c>
      <c r="L696" s="1" t="s">
        <v>4276</v>
      </c>
      <c r="M696" s="1" t="s">
        <v>4280</v>
      </c>
      <c r="N696" s="6" t="str">
        <f t="shared" si="21"/>
        <v>Oct</v>
      </c>
      <c r="O696" s="1">
        <v>2666.08</v>
      </c>
      <c r="T696" s="4"/>
      <c r="U696" s="1" t="str">
        <f t="shared" si="22"/>
        <v>Normal</v>
      </c>
    </row>
    <row r="697" spans="1:21" x14ac:dyDescent="0.25">
      <c r="A697" s="1" t="s">
        <v>709</v>
      </c>
      <c r="B697" s="4">
        <v>45619</v>
      </c>
      <c r="C697" s="1" t="s">
        <v>1907</v>
      </c>
      <c r="D697" s="1" t="s">
        <v>2407</v>
      </c>
      <c r="E697" s="1">
        <v>5</v>
      </c>
      <c r="F697" s="1">
        <v>101.3</v>
      </c>
      <c r="G697" s="1" t="s">
        <v>2568</v>
      </c>
      <c r="H697" s="1" t="s">
        <v>3066</v>
      </c>
      <c r="I697" s="1" t="s">
        <v>3070</v>
      </c>
      <c r="J697" s="1" t="s">
        <v>3770</v>
      </c>
      <c r="K697" s="1">
        <v>7</v>
      </c>
      <c r="L697" s="1" t="s">
        <v>4276</v>
      </c>
      <c r="M697" s="1" t="s">
        <v>4280</v>
      </c>
      <c r="N697" s="6" t="str">
        <f t="shared" si="21"/>
        <v>Nov</v>
      </c>
      <c r="O697" s="1">
        <v>506.5</v>
      </c>
      <c r="T697" s="4"/>
      <c r="U697" s="1" t="str">
        <f t="shared" si="22"/>
        <v>Normal</v>
      </c>
    </row>
    <row r="698" spans="1:21" x14ac:dyDescent="0.25">
      <c r="A698" s="1" t="s">
        <v>710</v>
      </c>
      <c r="B698" s="4">
        <v>45109</v>
      </c>
      <c r="C698" s="1" t="s">
        <v>1908</v>
      </c>
      <c r="D698" s="1" t="s">
        <v>2406</v>
      </c>
      <c r="E698" s="1">
        <v>4</v>
      </c>
      <c r="F698" s="1">
        <v>151.19999999999999</v>
      </c>
      <c r="G698" s="1" t="s">
        <v>2879</v>
      </c>
      <c r="H698" s="1" t="s">
        <v>3068</v>
      </c>
      <c r="I698" s="1" t="s">
        <v>3074</v>
      </c>
      <c r="J698" s="1" t="s">
        <v>3771</v>
      </c>
      <c r="K698" s="1">
        <v>9</v>
      </c>
      <c r="L698" s="1" t="s">
        <v>4277</v>
      </c>
      <c r="M698" s="1" t="s">
        <v>4281</v>
      </c>
      <c r="N698" s="6" t="str">
        <f t="shared" si="21"/>
        <v>Jul</v>
      </c>
      <c r="O698" s="1">
        <v>604.79999999999995</v>
      </c>
      <c r="T698" s="4"/>
      <c r="U698" s="1" t="str">
        <f t="shared" si="22"/>
        <v>Normal</v>
      </c>
    </row>
    <row r="699" spans="1:21" x14ac:dyDescent="0.25">
      <c r="A699" s="1" t="s">
        <v>711</v>
      </c>
      <c r="B699" s="4">
        <v>45692</v>
      </c>
      <c r="C699" s="1" t="s">
        <v>1909</v>
      </c>
      <c r="D699" s="1" t="s">
        <v>2407</v>
      </c>
      <c r="E699" s="1">
        <v>5</v>
      </c>
      <c r="F699" s="1">
        <v>94.85</v>
      </c>
      <c r="G699" s="1" t="s">
        <v>2840</v>
      </c>
      <c r="H699" s="1" t="s">
        <v>3069</v>
      </c>
      <c r="I699" s="1" t="s">
        <v>3070</v>
      </c>
      <c r="J699" s="1" t="s">
        <v>3772</v>
      </c>
      <c r="K699" s="1">
        <v>6</v>
      </c>
      <c r="L699" s="1" t="s">
        <v>4277</v>
      </c>
      <c r="M699" s="1" t="s">
        <v>4280</v>
      </c>
      <c r="N699" s="6" t="str">
        <f t="shared" si="21"/>
        <v>Feb</v>
      </c>
      <c r="O699" s="1">
        <v>474.25</v>
      </c>
      <c r="T699" s="4"/>
      <c r="U699" s="1" t="str">
        <f t="shared" si="22"/>
        <v>Normal</v>
      </c>
    </row>
    <row r="700" spans="1:21" x14ac:dyDescent="0.25">
      <c r="A700" s="1" t="s">
        <v>712</v>
      </c>
      <c r="B700" s="4">
        <v>44930</v>
      </c>
      <c r="C700" s="1" t="s">
        <v>1910</v>
      </c>
      <c r="D700" s="1" t="s">
        <v>2408</v>
      </c>
      <c r="E700" s="1">
        <v>2</v>
      </c>
      <c r="F700" s="1">
        <v>388.22</v>
      </c>
      <c r="G700" s="1" t="s">
        <v>2792</v>
      </c>
      <c r="H700" s="1" t="s">
        <v>3069</v>
      </c>
      <c r="I700" s="1" t="s">
        <v>3073</v>
      </c>
      <c r="J700" s="1" t="s">
        <v>3773</v>
      </c>
      <c r="K700" s="1">
        <v>2</v>
      </c>
      <c r="L700" s="1" t="s">
        <v>4277</v>
      </c>
      <c r="M700" s="1" t="s">
        <v>4278</v>
      </c>
      <c r="N700" s="6" t="str">
        <f t="shared" si="21"/>
        <v>Jan</v>
      </c>
      <c r="O700" s="1">
        <v>776.44</v>
      </c>
      <c r="T700" s="4"/>
      <c r="U700" s="1" t="str">
        <f t="shared" si="22"/>
        <v>Normal</v>
      </c>
    </row>
    <row r="701" spans="1:21" x14ac:dyDescent="0.25">
      <c r="A701" s="1" t="s">
        <v>713</v>
      </c>
      <c r="B701" s="4">
        <v>45243</v>
      </c>
      <c r="C701" s="1" t="s">
        <v>1911</v>
      </c>
      <c r="D701" s="1" t="s">
        <v>2408</v>
      </c>
      <c r="E701" s="1">
        <v>3</v>
      </c>
      <c r="F701" s="1">
        <v>614.15</v>
      </c>
      <c r="G701" s="1" t="s">
        <v>2880</v>
      </c>
      <c r="H701" s="1" t="s">
        <v>3068</v>
      </c>
      <c r="I701" s="1" t="s">
        <v>3071</v>
      </c>
      <c r="J701" s="1" t="s">
        <v>3774</v>
      </c>
      <c r="K701" s="1">
        <v>3</v>
      </c>
      <c r="L701" s="1" t="s">
        <v>4283</v>
      </c>
      <c r="M701" s="1" t="s">
        <v>4281</v>
      </c>
      <c r="N701" s="6" t="str">
        <f t="shared" si="21"/>
        <v>Nov</v>
      </c>
      <c r="O701" s="1">
        <v>1842.45</v>
      </c>
      <c r="T701" s="4"/>
      <c r="U701" s="1" t="str">
        <f t="shared" si="22"/>
        <v>Normal</v>
      </c>
    </row>
    <row r="702" spans="1:21" x14ac:dyDescent="0.25">
      <c r="A702" s="1" t="s">
        <v>714</v>
      </c>
      <c r="B702" s="4">
        <v>45560</v>
      </c>
      <c r="C702" s="1" t="s">
        <v>1912</v>
      </c>
      <c r="D702" s="1" t="s">
        <v>2408</v>
      </c>
      <c r="E702" s="1">
        <v>2</v>
      </c>
      <c r="F702" s="1">
        <v>92.91</v>
      </c>
      <c r="G702" s="1" t="s">
        <v>2881</v>
      </c>
      <c r="H702" s="1" t="s">
        <v>3069</v>
      </c>
      <c r="I702" s="1" t="s">
        <v>3072</v>
      </c>
      <c r="J702" s="1" t="s">
        <v>3775</v>
      </c>
      <c r="K702" s="1">
        <v>3</v>
      </c>
      <c r="L702" s="1" t="s">
        <v>4277</v>
      </c>
      <c r="M702" s="1" t="s">
        <v>4278</v>
      </c>
      <c r="N702" s="6" t="str">
        <f t="shared" si="21"/>
        <v>Sep</v>
      </c>
      <c r="O702" s="1">
        <v>185.82</v>
      </c>
      <c r="T702" s="4"/>
      <c r="U702" s="1" t="str">
        <f t="shared" si="22"/>
        <v>Normal</v>
      </c>
    </row>
    <row r="703" spans="1:21" x14ac:dyDescent="0.25">
      <c r="A703" s="1" t="s">
        <v>715</v>
      </c>
      <c r="B703" s="4">
        <v>45466</v>
      </c>
      <c r="C703" s="1" t="s">
        <v>1913</v>
      </c>
      <c r="D703" s="1" t="s">
        <v>2403</v>
      </c>
      <c r="E703" s="1">
        <v>3</v>
      </c>
      <c r="F703" s="1">
        <v>92.22</v>
      </c>
      <c r="G703" s="1" t="s">
        <v>2517</v>
      </c>
      <c r="H703" s="1" t="s">
        <v>3067</v>
      </c>
      <c r="I703" s="1" t="s">
        <v>3073</v>
      </c>
      <c r="J703" s="1" t="s">
        <v>3776</v>
      </c>
      <c r="K703" s="1">
        <v>5</v>
      </c>
      <c r="L703" s="1" t="s">
        <v>4276</v>
      </c>
      <c r="M703" s="1" t="s">
        <v>4280</v>
      </c>
      <c r="N703" s="6" t="str">
        <f t="shared" si="21"/>
        <v>Jun</v>
      </c>
      <c r="O703" s="1">
        <v>276.66000000000003</v>
      </c>
      <c r="T703" s="4"/>
      <c r="U703" s="1" t="str">
        <f t="shared" si="22"/>
        <v>Normal</v>
      </c>
    </row>
    <row r="704" spans="1:21" x14ac:dyDescent="0.25">
      <c r="A704" s="1" t="s">
        <v>716</v>
      </c>
      <c r="B704" s="4">
        <v>45452</v>
      </c>
      <c r="C704" s="1" t="s">
        <v>1914</v>
      </c>
      <c r="D704" s="1" t="s">
        <v>2407</v>
      </c>
      <c r="E704" s="1">
        <v>3</v>
      </c>
      <c r="F704" s="1">
        <v>562.54999999999995</v>
      </c>
      <c r="G704" s="1" t="s">
        <v>2842</v>
      </c>
      <c r="H704" s="1" t="s">
        <v>3065</v>
      </c>
      <c r="I704" s="1" t="s">
        <v>3072</v>
      </c>
      <c r="J704" s="1" t="s">
        <v>3777</v>
      </c>
      <c r="K704" s="1">
        <v>6</v>
      </c>
      <c r="L704" s="1" t="s">
        <v>4283</v>
      </c>
      <c r="M704" s="1" t="s">
        <v>4280</v>
      </c>
      <c r="N704" s="6" t="str">
        <f t="shared" si="21"/>
        <v>Jun</v>
      </c>
      <c r="O704" s="1">
        <v>1687.65</v>
      </c>
      <c r="T704" s="4"/>
      <c r="U704" s="1" t="str">
        <f t="shared" si="22"/>
        <v>Normal</v>
      </c>
    </row>
    <row r="705" spans="1:21" x14ac:dyDescent="0.25">
      <c r="A705" s="1" t="s">
        <v>717</v>
      </c>
      <c r="B705" s="4">
        <v>45007</v>
      </c>
      <c r="C705" s="1" t="s">
        <v>1915</v>
      </c>
      <c r="D705" s="1" t="s">
        <v>2409</v>
      </c>
      <c r="E705" s="1">
        <v>1</v>
      </c>
      <c r="F705" s="1">
        <v>92.79</v>
      </c>
      <c r="G705" s="1" t="s">
        <v>2882</v>
      </c>
      <c r="H705" s="1" t="s">
        <v>3069</v>
      </c>
      <c r="I705" s="1" t="s">
        <v>3074</v>
      </c>
      <c r="J705" s="1" t="s">
        <v>3778</v>
      </c>
      <c r="K705" s="1">
        <v>3</v>
      </c>
      <c r="L705" s="1" t="s">
        <v>4277</v>
      </c>
      <c r="M705" s="1" t="s">
        <v>4280</v>
      </c>
      <c r="N705" s="6" t="str">
        <f t="shared" si="21"/>
        <v>Mar</v>
      </c>
      <c r="O705" s="1">
        <v>92.79</v>
      </c>
      <c r="T705" s="4"/>
      <c r="U705" s="1" t="str">
        <f t="shared" si="22"/>
        <v>Normal</v>
      </c>
    </row>
    <row r="706" spans="1:21" x14ac:dyDescent="0.25">
      <c r="A706" s="1" t="s">
        <v>718</v>
      </c>
      <c r="B706" s="4">
        <v>45080</v>
      </c>
      <c r="C706" s="1" t="s">
        <v>1916</v>
      </c>
      <c r="D706" s="1" t="s">
        <v>2409</v>
      </c>
      <c r="E706" s="1">
        <v>4</v>
      </c>
      <c r="F706" s="1">
        <v>30.27</v>
      </c>
      <c r="G706" s="1" t="s">
        <v>2555</v>
      </c>
      <c r="H706" s="1" t="s">
        <v>3066</v>
      </c>
      <c r="I706" s="1" t="s">
        <v>3073</v>
      </c>
      <c r="J706" s="1" t="s">
        <v>3779</v>
      </c>
      <c r="K706" s="1">
        <v>9</v>
      </c>
      <c r="L706" s="1" t="s">
        <v>4276</v>
      </c>
      <c r="M706" s="1" t="s">
        <v>4282</v>
      </c>
      <c r="N706" s="6" t="str">
        <f t="shared" ref="N706:N769" si="23">TEXT(B706,"MMM")</f>
        <v>Jun</v>
      </c>
      <c r="O706" s="1">
        <v>121.08</v>
      </c>
      <c r="T706" s="4"/>
      <c r="U706" s="1" t="str">
        <f t="shared" si="22"/>
        <v>Normal</v>
      </c>
    </row>
    <row r="707" spans="1:21" x14ac:dyDescent="0.25">
      <c r="A707" s="1" t="s">
        <v>719</v>
      </c>
      <c r="B707" s="4">
        <v>45746</v>
      </c>
      <c r="C707" s="1" t="s">
        <v>1917</v>
      </c>
      <c r="D707" s="1" t="s">
        <v>2403</v>
      </c>
      <c r="E707" s="1">
        <v>2</v>
      </c>
      <c r="F707" s="1">
        <v>49.08</v>
      </c>
      <c r="G707" s="1" t="s">
        <v>2883</v>
      </c>
      <c r="H707" s="1" t="s">
        <v>3065</v>
      </c>
      <c r="I707" s="1" t="s">
        <v>3072</v>
      </c>
      <c r="J707" s="1" t="s">
        <v>3780</v>
      </c>
      <c r="K707" s="1">
        <v>7</v>
      </c>
      <c r="L707" s="1" t="s">
        <v>4276</v>
      </c>
      <c r="M707" s="1" t="s">
        <v>4278</v>
      </c>
      <c r="N707" s="6" t="str">
        <f t="shared" si="23"/>
        <v>Mar</v>
      </c>
      <c r="O707" s="1">
        <v>98.16</v>
      </c>
      <c r="T707" s="4"/>
      <c r="U707" s="1" t="str">
        <f t="shared" ref="U707:U770" si="24">IF(O707&gt;$S$2,"Outlier","Normal")</f>
        <v>Normal</v>
      </c>
    </row>
    <row r="708" spans="1:21" x14ac:dyDescent="0.25">
      <c r="A708" s="1" t="s">
        <v>720</v>
      </c>
      <c r="B708" s="4">
        <v>45718</v>
      </c>
      <c r="C708" s="1" t="s">
        <v>1918</v>
      </c>
      <c r="D708" s="1" t="s">
        <v>2409</v>
      </c>
      <c r="E708" s="1">
        <v>5</v>
      </c>
      <c r="F708" s="1">
        <v>228.09</v>
      </c>
      <c r="G708" s="1" t="s">
        <v>2720</v>
      </c>
      <c r="H708" s="1" t="s">
        <v>3068</v>
      </c>
      <c r="I708" s="1" t="s">
        <v>3072</v>
      </c>
      <c r="J708" s="1" t="s">
        <v>3781</v>
      </c>
      <c r="K708" s="1">
        <v>9</v>
      </c>
      <c r="L708" s="1" t="s">
        <v>4276</v>
      </c>
      <c r="M708" s="1" t="s">
        <v>4281</v>
      </c>
      <c r="N708" s="6" t="str">
        <f t="shared" si="23"/>
        <v>Mar</v>
      </c>
      <c r="O708" s="1">
        <v>1140.45</v>
      </c>
      <c r="T708" s="4"/>
      <c r="U708" s="1" t="str">
        <f t="shared" si="24"/>
        <v>Normal</v>
      </c>
    </row>
    <row r="709" spans="1:21" x14ac:dyDescent="0.25">
      <c r="A709" s="1" t="s">
        <v>721</v>
      </c>
      <c r="B709" s="4">
        <v>45597</v>
      </c>
      <c r="C709" s="1" t="s">
        <v>1919</v>
      </c>
      <c r="D709" s="1" t="s">
        <v>2406</v>
      </c>
      <c r="E709" s="1">
        <v>4</v>
      </c>
      <c r="F709" s="1">
        <v>650.04</v>
      </c>
      <c r="G709" s="1" t="s">
        <v>2487</v>
      </c>
      <c r="H709" s="1" t="s">
        <v>3068</v>
      </c>
      <c r="I709" s="1" t="s">
        <v>3071</v>
      </c>
      <c r="J709" s="1" t="s">
        <v>3782</v>
      </c>
      <c r="K709" s="1">
        <v>6</v>
      </c>
      <c r="L709" s="1" t="s">
        <v>4275</v>
      </c>
      <c r="M709" s="1" t="s">
        <v>4281</v>
      </c>
      <c r="N709" s="6" t="str">
        <f t="shared" si="23"/>
        <v>Nov</v>
      </c>
      <c r="O709" s="1">
        <v>2600.16</v>
      </c>
      <c r="T709" s="4"/>
      <c r="U709" s="1" t="str">
        <f t="shared" si="24"/>
        <v>Normal</v>
      </c>
    </row>
    <row r="710" spans="1:21" x14ac:dyDescent="0.25">
      <c r="A710" s="1" t="s">
        <v>722</v>
      </c>
      <c r="B710" s="4">
        <v>45720</v>
      </c>
      <c r="C710" s="1" t="s">
        <v>1920</v>
      </c>
      <c r="D710" s="1" t="s">
        <v>2407</v>
      </c>
      <c r="E710" s="1">
        <v>1</v>
      </c>
      <c r="F710" s="1">
        <v>665.11</v>
      </c>
      <c r="G710" s="1" t="s">
        <v>2840</v>
      </c>
      <c r="H710" s="1" t="s">
        <v>3069</v>
      </c>
      <c r="I710" s="1" t="s">
        <v>3074</v>
      </c>
      <c r="J710" s="1" t="s">
        <v>3783</v>
      </c>
      <c r="K710" s="1">
        <v>3</v>
      </c>
      <c r="L710" s="1" t="s">
        <v>4276</v>
      </c>
      <c r="M710" s="1" t="s">
        <v>4278</v>
      </c>
      <c r="N710" s="6" t="str">
        <f t="shared" si="23"/>
        <v>Mar</v>
      </c>
      <c r="O710" s="1">
        <v>665.11</v>
      </c>
      <c r="T710" s="4"/>
      <c r="U710" s="1" t="str">
        <f t="shared" si="24"/>
        <v>Normal</v>
      </c>
    </row>
    <row r="711" spans="1:21" x14ac:dyDescent="0.25">
      <c r="A711" s="1" t="s">
        <v>723</v>
      </c>
      <c r="B711" s="4">
        <v>45633</v>
      </c>
      <c r="C711" s="1" t="s">
        <v>1921</v>
      </c>
      <c r="D711" s="1" t="s">
        <v>2409</v>
      </c>
      <c r="E711" s="1">
        <v>1</v>
      </c>
      <c r="F711" s="1">
        <v>386.03</v>
      </c>
      <c r="G711" s="1" t="s">
        <v>2884</v>
      </c>
      <c r="H711" s="1" t="s">
        <v>3066</v>
      </c>
      <c r="I711" s="1" t="s">
        <v>3074</v>
      </c>
      <c r="J711" s="1" t="s">
        <v>3784</v>
      </c>
      <c r="K711" s="1">
        <v>4</v>
      </c>
      <c r="L711" s="1" t="s">
        <v>4276</v>
      </c>
      <c r="M711" s="1" t="s">
        <v>4282</v>
      </c>
      <c r="N711" s="6" t="str">
        <f t="shared" si="23"/>
        <v>Dec</v>
      </c>
      <c r="O711" s="1">
        <v>386.03</v>
      </c>
      <c r="T711" s="4"/>
      <c r="U711" s="1" t="str">
        <f t="shared" si="24"/>
        <v>Normal</v>
      </c>
    </row>
    <row r="712" spans="1:21" x14ac:dyDescent="0.25">
      <c r="A712" s="1" t="s">
        <v>724</v>
      </c>
      <c r="B712" s="4">
        <v>45495</v>
      </c>
      <c r="C712" s="1" t="s">
        <v>1922</v>
      </c>
      <c r="D712" s="1" t="s">
        <v>2408</v>
      </c>
      <c r="E712" s="1">
        <v>5</v>
      </c>
      <c r="F712" s="1">
        <v>21.54</v>
      </c>
      <c r="G712" s="1" t="s">
        <v>2885</v>
      </c>
      <c r="H712" s="1" t="s">
        <v>3068</v>
      </c>
      <c r="I712" s="1" t="s">
        <v>3072</v>
      </c>
      <c r="J712" s="1" t="s">
        <v>3785</v>
      </c>
      <c r="K712" s="1">
        <v>10</v>
      </c>
      <c r="L712" s="1" t="s">
        <v>4283</v>
      </c>
      <c r="M712" s="1" t="s">
        <v>4282</v>
      </c>
      <c r="N712" s="6" t="str">
        <f t="shared" si="23"/>
        <v>Jul</v>
      </c>
      <c r="O712" s="1">
        <v>107.7</v>
      </c>
      <c r="T712" s="4"/>
      <c r="U712" s="1" t="str">
        <f t="shared" si="24"/>
        <v>Normal</v>
      </c>
    </row>
    <row r="713" spans="1:21" x14ac:dyDescent="0.25">
      <c r="A713" s="1" t="s">
        <v>725</v>
      </c>
      <c r="B713" s="4">
        <v>45477</v>
      </c>
      <c r="C713" s="1" t="s">
        <v>1923</v>
      </c>
      <c r="D713" s="1" t="s">
        <v>2405</v>
      </c>
      <c r="E713" s="1">
        <v>2</v>
      </c>
      <c r="F713" s="1">
        <v>475.78</v>
      </c>
      <c r="G713" s="1" t="s">
        <v>2886</v>
      </c>
      <c r="H713" s="1" t="s">
        <v>3066</v>
      </c>
      <c r="I713" s="1" t="s">
        <v>3070</v>
      </c>
      <c r="J713" s="1" t="s">
        <v>3786</v>
      </c>
      <c r="K713" s="1">
        <v>2</v>
      </c>
      <c r="L713" s="1" t="s">
        <v>4277</v>
      </c>
      <c r="M713" s="1" t="s">
        <v>4282</v>
      </c>
      <c r="N713" s="6" t="str">
        <f t="shared" si="23"/>
        <v>Jul</v>
      </c>
      <c r="O713" s="1">
        <v>951.56</v>
      </c>
      <c r="T713" s="4"/>
      <c r="U713" s="1" t="str">
        <f t="shared" si="24"/>
        <v>Normal</v>
      </c>
    </row>
    <row r="714" spans="1:21" x14ac:dyDescent="0.25">
      <c r="A714" s="1" t="s">
        <v>726</v>
      </c>
      <c r="B714" s="4">
        <v>45300</v>
      </c>
      <c r="C714" s="1" t="s">
        <v>1771</v>
      </c>
      <c r="D714" s="1" t="s">
        <v>2405</v>
      </c>
      <c r="E714" s="1">
        <v>2</v>
      </c>
      <c r="F714" s="1">
        <v>68.400000000000006</v>
      </c>
      <c r="G714" s="1" t="s">
        <v>2887</v>
      </c>
      <c r="H714" s="1" t="s">
        <v>3068</v>
      </c>
      <c r="I714" s="1" t="s">
        <v>3074</v>
      </c>
      <c r="J714" s="1" t="s">
        <v>3787</v>
      </c>
      <c r="K714" s="1">
        <v>7</v>
      </c>
      <c r="L714" s="1" t="s">
        <v>4276</v>
      </c>
      <c r="M714" s="1" t="s">
        <v>4280</v>
      </c>
      <c r="N714" s="6" t="str">
        <f t="shared" si="23"/>
        <v>Jan</v>
      </c>
      <c r="O714" s="1">
        <v>136.80000000000001</v>
      </c>
      <c r="T714" s="4"/>
      <c r="U714" s="1" t="str">
        <f t="shared" si="24"/>
        <v>Normal</v>
      </c>
    </row>
    <row r="715" spans="1:21" x14ac:dyDescent="0.25">
      <c r="A715" s="1" t="s">
        <v>727</v>
      </c>
      <c r="B715" s="4">
        <v>45829</v>
      </c>
      <c r="C715" s="1" t="s">
        <v>1924</v>
      </c>
      <c r="D715" s="1" t="s">
        <v>2405</v>
      </c>
      <c r="E715" s="1">
        <v>4</v>
      </c>
      <c r="F715" s="1">
        <v>532.49</v>
      </c>
      <c r="G715" s="1" t="s">
        <v>2873</v>
      </c>
      <c r="H715" s="1" t="s">
        <v>3066</v>
      </c>
      <c r="I715" s="1" t="s">
        <v>3071</v>
      </c>
      <c r="J715" s="1" t="s">
        <v>3788</v>
      </c>
      <c r="K715" s="1">
        <v>6</v>
      </c>
      <c r="L715" s="1" t="s">
        <v>4275</v>
      </c>
      <c r="M715" s="1" t="s">
        <v>4281</v>
      </c>
      <c r="N715" s="6" t="str">
        <f t="shared" si="23"/>
        <v>Jun</v>
      </c>
      <c r="O715" s="1">
        <v>2129.96</v>
      </c>
      <c r="T715" s="4"/>
      <c r="U715" s="1" t="str">
        <f t="shared" si="24"/>
        <v>Normal</v>
      </c>
    </row>
    <row r="716" spans="1:21" x14ac:dyDescent="0.25">
      <c r="A716" s="1" t="s">
        <v>728</v>
      </c>
      <c r="B716" s="4">
        <v>45037</v>
      </c>
      <c r="C716" s="1" t="s">
        <v>1925</v>
      </c>
      <c r="D716" s="1" t="s">
        <v>2408</v>
      </c>
      <c r="E716" s="1">
        <v>1</v>
      </c>
      <c r="F716" s="1">
        <v>51.73</v>
      </c>
      <c r="G716" s="1" t="s">
        <v>2660</v>
      </c>
      <c r="H716" s="1" t="s">
        <v>3065</v>
      </c>
      <c r="I716" s="1" t="s">
        <v>3074</v>
      </c>
      <c r="J716" s="1" t="s">
        <v>3789</v>
      </c>
      <c r="K716" s="1">
        <v>1</v>
      </c>
      <c r="L716" s="1" t="s">
        <v>4276</v>
      </c>
      <c r="M716" s="1" t="s">
        <v>4281</v>
      </c>
      <c r="N716" s="6" t="str">
        <f t="shared" si="23"/>
        <v>Apr</v>
      </c>
      <c r="O716" s="1">
        <v>51.73</v>
      </c>
      <c r="T716" s="4"/>
      <c r="U716" s="1" t="str">
        <f t="shared" si="24"/>
        <v>Normal</v>
      </c>
    </row>
    <row r="717" spans="1:21" x14ac:dyDescent="0.25">
      <c r="A717" s="1" t="s">
        <v>729</v>
      </c>
      <c r="B717" s="4">
        <v>45499</v>
      </c>
      <c r="C717" s="1" t="s">
        <v>1926</v>
      </c>
      <c r="D717" s="1" t="s">
        <v>2407</v>
      </c>
      <c r="E717" s="1">
        <v>3</v>
      </c>
      <c r="F717" s="1">
        <v>653.63</v>
      </c>
      <c r="G717" s="1" t="s">
        <v>2888</v>
      </c>
      <c r="H717" s="1" t="s">
        <v>3066</v>
      </c>
      <c r="I717" s="1" t="s">
        <v>3073</v>
      </c>
      <c r="J717" s="1" t="s">
        <v>3790</v>
      </c>
      <c r="K717" s="1">
        <v>7</v>
      </c>
      <c r="L717" s="1" t="s">
        <v>4276</v>
      </c>
      <c r="M717" s="1" t="s">
        <v>4280</v>
      </c>
      <c r="N717" s="6" t="str">
        <f t="shared" si="23"/>
        <v>Jul</v>
      </c>
      <c r="O717" s="1">
        <v>1960.89</v>
      </c>
      <c r="T717" s="4"/>
      <c r="U717" s="1" t="str">
        <f t="shared" si="24"/>
        <v>Normal</v>
      </c>
    </row>
    <row r="718" spans="1:21" x14ac:dyDescent="0.25">
      <c r="A718" s="1" t="s">
        <v>730</v>
      </c>
      <c r="B718" s="4">
        <v>45456</v>
      </c>
      <c r="C718" s="1" t="s">
        <v>1927</v>
      </c>
      <c r="D718" s="1" t="s">
        <v>2406</v>
      </c>
      <c r="E718" s="1">
        <v>3</v>
      </c>
      <c r="F718" s="1">
        <v>454.29</v>
      </c>
      <c r="G718" s="1" t="s">
        <v>2428</v>
      </c>
      <c r="H718" s="1" t="s">
        <v>3067</v>
      </c>
      <c r="I718" s="1" t="s">
        <v>3074</v>
      </c>
      <c r="J718" s="1" t="s">
        <v>3791</v>
      </c>
      <c r="K718" s="1">
        <v>4</v>
      </c>
      <c r="L718" s="1" t="s">
        <v>4277</v>
      </c>
      <c r="M718" s="1" t="s">
        <v>4282</v>
      </c>
      <c r="N718" s="6" t="str">
        <f t="shared" si="23"/>
        <v>Jun</v>
      </c>
      <c r="O718" s="1">
        <v>1362.87</v>
      </c>
      <c r="T718" s="4"/>
      <c r="U718" s="1" t="str">
        <f t="shared" si="24"/>
        <v>Normal</v>
      </c>
    </row>
    <row r="719" spans="1:21" x14ac:dyDescent="0.25">
      <c r="A719" s="1" t="s">
        <v>731</v>
      </c>
      <c r="B719" s="4">
        <v>45215</v>
      </c>
      <c r="C719" s="1" t="s">
        <v>1928</v>
      </c>
      <c r="D719" s="1" t="s">
        <v>2406</v>
      </c>
      <c r="E719" s="1">
        <v>3</v>
      </c>
      <c r="F719" s="1">
        <v>122.11</v>
      </c>
      <c r="G719" s="1" t="s">
        <v>2889</v>
      </c>
      <c r="H719" s="1" t="s">
        <v>3066</v>
      </c>
      <c r="I719" s="1" t="s">
        <v>3073</v>
      </c>
      <c r="J719" s="1" t="s">
        <v>3792</v>
      </c>
      <c r="K719" s="1">
        <v>4</v>
      </c>
      <c r="L719" s="1" t="s">
        <v>4277</v>
      </c>
      <c r="M719" s="1" t="s">
        <v>4280</v>
      </c>
      <c r="N719" s="6" t="str">
        <f t="shared" si="23"/>
        <v>Oct</v>
      </c>
      <c r="O719" s="1">
        <v>366.33</v>
      </c>
      <c r="T719" s="4"/>
      <c r="U719" s="1" t="str">
        <f t="shared" si="24"/>
        <v>Normal</v>
      </c>
    </row>
    <row r="720" spans="1:21" x14ac:dyDescent="0.25">
      <c r="A720" s="1" t="s">
        <v>732</v>
      </c>
      <c r="B720" s="4">
        <v>45024</v>
      </c>
      <c r="C720" s="1" t="s">
        <v>1929</v>
      </c>
      <c r="D720" s="1" t="s">
        <v>2408</v>
      </c>
      <c r="E720" s="1">
        <v>4</v>
      </c>
      <c r="F720" s="1">
        <v>64.739999999999995</v>
      </c>
      <c r="G720" s="1" t="s">
        <v>2890</v>
      </c>
      <c r="H720" s="1" t="s">
        <v>3068</v>
      </c>
      <c r="I720" s="1" t="s">
        <v>3071</v>
      </c>
      <c r="J720" s="1" t="s">
        <v>3793</v>
      </c>
      <c r="K720" s="1">
        <v>8</v>
      </c>
      <c r="L720" s="1" t="s">
        <v>4275</v>
      </c>
      <c r="M720" s="1" t="s">
        <v>4282</v>
      </c>
      <c r="N720" s="6" t="str">
        <f t="shared" si="23"/>
        <v>Apr</v>
      </c>
      <c r="O720" s="1">
        <v>258.95999999999998</v>
      </c>
      <c r="T720" s="4"/>
      <c r="U720" s="1" t="str">
        <f t="shared" si="24"/>
        <v>Normal</v>
      </c>
    </row>
    <row r="721" spans="1:21" x14ac:dyDescent="0.25">
      <c r="A721" s="1" t="s">
        <v>733</v>
      </c>
      <c r="B721" s="4">
        <v>45312</v>
      </c>
      <c r="C721" s="1" t="s">
        <v>1930</v>
      </c>
      <c r="D721" s="1" t="s">
        <v>2408</v>
      </c>
      <c r="E721" s="1">
        <v>2</v>
      </c>
      <c r="F721" s="1">
        <v>681.06</v>
      </c>
      <c r="G721" s="1" t="s">
        <v>2891</v>
      </c>
      <c r="H721" s="1" t="s">
        <v>3065</v>
      </c>
      <c r="I721" s="1" t="s">
        <v>3070</v>
      </c>
      <c r="J721" s="1" t="s">
        <v>3794</v>
      </c>
      <c r="K721" s="1">
        <v>3</v>
      </c>
      <c r="L721" s="1" t="s">
        <v>4276</v>
      </c>
      <c r="M721" s="1" t="s">
        <v>4281</v>
      </c>
      <c r="N721" s="6" t="str">
        <f t="shared" si="23"/>
        <v>Jan</v>
      </c>
      <c r="O721" s="1">
        <v>1362.12</v>
      </c>
      <c r="T721" s="4"/>
      <c r="U721" s="1" t="str">
        <f t="shared" si="24"/>
        <v>Normal</v>
      </c>
    </row>
    <row r="722" spans="1:21" x14ac:dyDescent="0.25">
      <c r="A722" s="1" t="s">
        <v>734</v>
      </c>
      <c r="B722" s="4">
        <v>45190</v>
      </c>
      <c r="C722" s="1" t="s">
        <v>1931</v>
      </c>
      <c r="D722" s="1" t="s">
        <v>2409</v>
      </c>
      <c r="E722" s="1">
        <v>5</v>
      </c>
      <c r="F722" s="1">
        <v>128.94999999999999</v>
      </c>
      <c r="G722" s="1" t="s">
        <v>2892</v>
      </c>
      <c r="H722" s="1" t="s">
        <v>3069</v>
      </c>
      <c r="I722" s="1" t="s">
        <v>3074</v>
      </c>
      <c r="J722" s="1" t="s">
        <v>3795</v>
      </c>
      <c r="K722" s="1">
        <v>10</v>
      </c>
      <c r="L722" s="1" t="s">
        <v>4276</v>
      </c>
      <c r="M722" s="1" t="s">
        <v>4278</v>
      </c>
      <c r="N722" s="6" t="str">
        <f t="shared" si="23"/>
        <v>Sep</v>
      </c>
      <c r="O722" s="1">
        <v>644.75</v>
      </c>
      <c r="T722" s="4"/>
      <c r="U722" s="1" t="str">
        <f t="shared" si="24"/>
        <v>Normal</v>
      </c>
    </row>
    <row r="723" spans="1:21" x14ac:dyDescent="0.25">
      <c r="A723" s="1" t="s">
        <v>735</v>
      </c>
      <c r="B723" s="4">
        <v>45369</v>
      </c>
      <c r="C723" s="1" t="s">
        <v>1932</v>
      </c>
      <c r="D723" s="1" t="s">
        <v>2409</v>
      </c>
      <c r="E723" s="1">
        <v>2</v>
      </c>
      <c r="F723" s="1">
        <v>118.59</v>
      </c>
      <c r="G723" s="1" t="s">
        <v>2893</v>
      </c>
      <c r="H723" s="1" t="s">
        <v>3067</v>
      </c>
      <c r="I723" s="1" t="s">
        <v>3073</v>
      </c>
      <c r="J723" s="1" t="s">
        <v>3796</v>
      </c>
      <c r="K723" s="1">
        <v>2</v>
      </c>
      <c r="L723" s="1" t="s">
        <v>4283</v>
      </c>
      <c r="M723" s="1" t="s">
        <v>4280</v>
      </c>
      <c r="N723" s="6" t="str">
        <f t="shared" si="23"/>
        <v>Mar</v>
      </c>
      <c r="O723" s="1">
        <v>237.18</v>
      </c>
      <c r="T723" s="4"/>
      <c r="U723" s="1" t="str">
        <f t="shared" si="24"/>
        <v>Normal</v>
      </c>
    </row>
    <row r="724" spans="1:21" x14ac:dyDescent="0.25">
      <c r="A724" s="1" t="s">
        <v>736</v>
      </c>
      <c r="B724" s="4">
        <v>45611</v>
      </c>
      <c r="C724" s="1" t="s">
        <v>1933</v>
      </c>
      <c r="D724" s="1" t="s">
        <v>2407</v>
      </c>
      <c r="E724" s="1">
        <v>1</v>
      </c>
      <c r="F724" s="1">
        <v>95.1</v>
      </c>
      <c r="G724" s="1" t="s">
        <v>2654</v>
      </c>
      <c r="H724" s="1" t="s">
        <v>3068</v>
      </c>
      <c r="I724" s="1" t="s">
        <v>3074</v>
      </c>
      <c r="J724" s="1" t="s">
        <v>3797</v>
      </c>
      <c r="K724" s="1">
        <v>1</v>
      </c>
      <c r="L724" s="1" t="s">
        <v>4277</v>
      </c>
      <c r="M724" s="1" t="s">
        <v>4278</v>
      </c>
      <c r="N724" s="6" t="str">
        <f t="shared" si="23"/>
        <v>Nov</v>
      </c>
      <c r="O724" s="1">
        <v>95.1</v>
      </c>
      <c r="T724" s="4"/>
      <c r="U724" s="1" t="str">
        <f t="shared" si="24"/>
        <v>Normal</v>
      </c>
    </row>
    <row r="725" spans="1:21" x14ac:dyDescent="0.25">
      <c r="A725" s="1" t="s">
        <v>737</v>
      </c>
      <c r="B725" s="4">
        <v>45269</v>
      </c>
      <c r="C725" s="1" t="s">
        <v>1934</v>
      </c>
      <c r="D725" s="1" t="s">
        <v>2409</v>
      </c>
      <c r="E725" s="1">
        <v>3</v>
      </c>
      <c r="F725" s="1">
        <v>54.95</v>
      </c>
      <c r="G725" s="1" t="s">
        <v>2471</v>
      </c>
      <c r="H725" s="1" t="s">
        <v>3069</v>
      </c>
      <c r="I725" s="1" t="s">
        <v>3072</v>
      </c>
      <c r="J725" s="1" t="s">
        <v>3798</v>
      </c>
      <c r="K725" s="1">
        <v>8</v>
      </c>
      <c r="L725" s="1" t="s">
        <v>4275</v>
      </c>
      <c r="M725" s="1" t="s">
        <v>4279</v>
      </c>
      <c r="N725" s="6" t="str">
        <f t="shared" si="23"/>
        <v>Dec</v>
      </c>
      <c r="O725" s="1">
        <v>164.85</v>
      </c>
      <c r="T725" s="4"/>
      <c r="U725" s="1" t="str">
        <f t="shared" si="24"/>
        <v>Normal</v>
      </c>
    </row>
    <row r="726" spans="1:21" x14ac:dyDescent="0.25">
      <c r="A726" s="1" t="s">
        <v>738</v>
      </c>
      <c r="B726" s="4">
        <v>45583</v>
      </c>
      <c r="C726" s="1" t="s">
        <v>1935</v>
      </c>
      <c r="D726" s="1" t="s">
        <v>2407</v>
      </c>
      <c r="E726" s="1">
        <v>3</v>
      </c>
      <c r="F726" s="1">
        <v>136.97</v>
      </c>
      <c r="G726" s="1" t="s">
        <v>2667</v>
      </c>
      <c r="H726" s="1" t="s">
        <v>3067</v>
      </c>
      <c r="I726" s="1" t="s">
        <v>3072</v>
      </c>
      <c r="J726" s="1" t="s">
        <v>3799</v>
      </c>
      <c r="K726" s="1">
        <v>4</v>
      </c>
      <c r="L726" s="1" t="s">
        <v>4276</v>
      </c>
      <c r="M726" s="1" t="s">
        <v>4279</v>
      </c>
      <c r="N726" s="6" t="str">
        <f t="shared" si="23"/>
        <v>Oct</v>
      </c>
      <c r="O726" s="1">
        <v>410.91</v>
      </c>
      <c r="T726" s="4"/>
      <c r="U726" s="1" t="str">
        <f t="shared" si="24"/>
        <v>Normal</v>
      </c>
    </row>
    <row r="727" spans="1:21" x14ac:dyDescent="0.25">
      <c r="A727" s="1" t="s">
        <v>739</v>
      </c>
      <c r="B727" s="4">
        <v>44997</v>
      </c>
      <c r="C727" s="1" t="s">
        <v>1936</v>
      </c>
      <c r="D727" s="1" t="s">
        <v>2406</v>
      </c>
      <c r="E727" s="1">
        <v>2</v>
      </c>
      <c r="F727" s="1">
        <v>194.85</v>
      </c>
      <c r="G727" s="1" t="s">
        <v>2787</v>
      </c>
      <c r="H727" s="1" t="s">
        <v>3068</v>
      </c>
      <c r="I727" s="1" t="s">
        <v>3072</v>
      </c>
      <c r="J727" s="1" t="s">
        <v>3800</v>
      </c>
      <c r="K727" s="1">
        <v>5</v>
      </c>
      <c r="L727" s="1" t="s">
        <v>4283</v>
      </c>
      <c r="M727" s="1" t="s">
        <v>4279</v>
      </c>
      <c r="N727" s="6" t="str">
        <f t="shared" si="23"/>
        <v>Mar</v>
      </c>
      <c r="O727" s="1">
        <v>389.7</v>
      </c>
      <c r="T727" s="4"/>
      <c r="U727" s="1" t="str">
        <f t="shared" si="24"/>
        <v>Normal</v>
      </c>
    </row>
    <row r="728" spans="1:21" x14ac:dyDescent="0.25">
      <c r="A728" s="1" t="s">
        <v>740</v>
      </c>
      <c r="B728" s="4">
        <v>45590</v>
      </c>
      <c r="C728" s="1" t="s">
        <v>1937</v>
      </c>
      <c r="D728" s="1" t="s">
        <v>2408</v>
      </c>
      <c r="E728" s="1">
        <v>4</v>
      </c>
      <c r="F728" s="1">
        <v>583.02</v>
      </c>
      <c r="G728" s="1" t="s">
        <v>2894</v>
      </c>
      <c r="H728" s="1" t="s">
        <v>3066</v>
      </c>
      <c r="I728" s="1" t="s">
        <v>3073</v>
      </c>
      <c r="J728" s="1" t="s">
        <v>3801</v>
      </c>
      <c r="K728" s="1">
        <v>4</v>
      </c>
      <c r="L728" s="1" t="s">
        <v>4276</v>
      </c>
      <c r="M728" s="1" t="s">
        <v>4281</v>
      </c>
      <c r="N728" s="6" t="str">
        <f t="shared" si="23"/>
        <v>Oct</v>
      </c>
      <c r="O728" s="1">
        <v>2332.08</v>
      </c>
      <c r="T728" s="4"/>
      <c r="U728" s="1" t="str">
        <f t="shared" si="24"/>
        <v>Normal</v>
      </c>
    </row>
    <row r="729" spans="1:21" x14ac:dyDescent="0.25">
      <c r="A729" s="1" t="s">
        <v>741</v>
      </c>
      <c r="B729" s="4">
        <v>45564</v>
      </c>
      <c r="C729" s="1" t="s">
        <v>1938</v>
      </c>
      <c r="D729" s="1" t="s">
        <v>2406</v>
      </c>
      <c r="E729" s="1">
        <v>5</v>
      </c>
      <c r="F729" s="1">
        <v>95.75</v>
      </c>
      <c r="G729" s="1" t="s">
        <v>2748</v>
      </c>
      <c r="H729" s="1" t="s">
        <v>3066</v>
      </c>
      <c r="I729" s="1" t="s">
        <v>3070</v>
      </c>
      <c r="J729" s="1" t="s">
        <v>3802</v>
      </c>
      <c r="K729" s="1">
        <v>8</v>
      </c>
      <c r="L729" s="1" t="s">
        <v>4275</v>
      </c>
      <c r="M729" s="1" t="s">
        <v>4278</v>
      </c>
      <c r="N729" s="6" t="str">
        <f t="shared" si="23"/>
        <v>Sep</v>
      </c>
      <c r="O729" s="1">
        <v>478.75</v>
      </c>
      <c r="T729" s="4"/>
      <c r="U729" s="1" t="str">
        <f t="shared" si="24"/>
        <v>Normal</v>
      </c>
    </row>
    <row r="730" spans="1:21" x14ac:dyDescent="0.25">
      <c r="A730" s="1" t="s">
        <v>742</v>
      </c>
      <c r="B730" s="4">
        <v>45502</v>
      </c>
      <c r="C730" s="1" t="s">
        <v>1939</v>
      </c>
      <c r="D730" s="1" t="s">
        <v>2409</v>
      </c>
      <c r="E730" s="1">
        <v>4</v>
      </c>
      <c r="F730" s="1">
        <v>325.76</v>
      </c>
      <c r="G730" s="1" t="s">
        <v>2895</v>
      </c>
      <c r="H730" s="1" t="s">
        <v>3068</v>
      </c>
      <c r="I730" s="1" t="s">
        <v>3070</v>
      </c>
      <c r="J730" s="1" t="s">
        <v>3803</v>
      </c>
      <c r="K730" s="1">
        <v>8</v>
      </c>
      <c r="L730" s="1" t="s">
        <v>4277</v>
      </c>
      <c r="M730" s="1" t="s">
        <v>4280</v>
      </c>
      <c r="N730" s="6" t="str">
        <f t="shared" si="23"/>
        <v>Jul</v>
      </c>
      <c r="O730" s="1">
        <v>1303.04</v>
      </c>
      <c r="T730" s="4"/>
      <c r="U730" s="1" t="str">
        <f t="shared" si="24"/>
        <v>Normal</v>
      </c>
    </row>
    <row r="731" spans="1:21" x14ac:dyDescent="0.25">
      <c r="A731" s="1" t="s">
        <v>743</v>
      </c>
      <c r="B731" s="4">
        <v>45177</v>
      </c>
      <c r="C731" s="1" t="s">
        <v>1940</v>
      </c>
      <c r="D731" s="1" t="s">
        <v>2404</v>
      </c>
      <c r="E731" s="1">
        <v>4</v>
      </c>
      <c r="F731" s="1">
        <v>186.41</v>
      </c>
      <c r="G731" s="1" t="s">
        <v>2555</v>
      </c>
      <c r="H731" s="1" t="s">
        <v>3068</v>
      </c>
      <c r="I731" s="1" t="s">
        <v>3074</v>
      </c>
      <c r="J731" s="1" t="s">
        <v>3804</v>
      </c>
      <c r="K731" s="1">
        <v>6</v>
      </c>
      <c r="L731" s="1" t="s">
        <v>4275</v>
      </c>
      <c r="M731" s="1" t="s">
        <v>4282</v>
      </c>
      <c r="N731" s="6" t="str">
        <f t="shared" si="23"/>
        <v>Sep</v>
      </c>
      <c r="O731" s="1">
        <v>745.64</v>
      </c>
      <c r="T731" s="4"/>
      <c r="U731" s="1" t="str">
        <f t="shared" si="24"/>
        <v>Normal</v>
      </c>
    </row>
    <row r="732" spans="1:21" x14ac:dyDescent="0.25">
      <c r="A732" s="1" t="s">
        <v>744</v>
      </c>
      <c r="B732" s="4">
        <v>45710</v>
      </c>
      <c r="C732" s="1" t="s">
        <v>1941</v>
      </c>
      <c r="D732" s="1" t="s">
        <v>2404</v>
      </c>
      <c r="E732" s="1">
        <v>1</v>
      </c>
      <c r="F732" s="1">
        <v>474.6</v>
      </c>
      <c r="G732" s="1" t="s">
        <v>2618</v>
      </c>
      <c r="H732" s="1" t="s">
        <v>3065</v>
      </c>
      <c r="I732" s="1" t="s">
        <v>3073</v>
      </c>
      <c r="J732" s="1" t="s">
        <v>3805</v>
      </c>
      <c r="K732" s="1">
        <v>4</v>
      </c>
      <c r="L732" s="1" t="s">
        <v>4275</v>
      </c>
      <c r="M732" s="1" t="s">
        <v>4280</v>
      </c>
      <c r="N732" s="6" t="str">
        <f t="shared" si="23"/>
        <v>Feb</v>
      </c>
      <c r="O732" s="1">
        <v>474.6</v>
      </c>
      <c r="T732" s="4"/>
      <c r="U732" s="1" t="str">
        <f t="shared" si="24"/>
        <v>Normal</v>
      </c>
    </row>
    <row r="733" spans="1:21" x14ac:dyDescent="0.25">
      <c r="A733" s="1" t="s">
        <v>745</v>
      </c>
      <c r="B733" s="4">
        <v>45450</v>
      </c>
      <c r="C733" s="1" t="s">
        <v>1942</v>
      </c>
      <c r="D733" s="1" t="s">
        <v>2407</v>
      </c>
      <c r="E733" s="1">
        <v>5</v>
      </c>
      <c r="F733" s="1">
        <v>584.46</v>
      </c>
      <c r="G733" s="1" t="s">
        <v>2896</v>
      </c>
      <c r="H733" s="1" t="s">
        <v>3067</v>
      </c>
      <c r="I733" s="1" t="s">
        <v>3072</v>
      </c>
      <c r="J733" s="1" t="s">
        <v>3806</v>
      </c>
      <c r="K733" s="1">
        <v>8</v>
      </c>
      <c r="L733" s="1" t="s">
        <v>4283</v>
      </c>
      <c r="M733" s="1" t="s">
        <v>4280</v>
      </c>
      <c r="N733" s="6" t="str">
        <f t="shared" si="23"/>
        <v>Jun</v>
      </c>
      <c r="O733" s="1">
        <v>2922.3</v>
      </c>
      <c r="T733" s="4"/>
      <c r="U733" s="1" t="str">
        <f t="shared" si="24"/>
        <v>Normal</v>
      </c>
    </row>
    <row r="734" spans="1:21" x14ac:dyDescent="0.25">
      <c r="A734" s="1" t="s">
        <v>746</v>
      </c>
      <c r="B734" s="4">
        <v>45723</v>
      </c>
      <c r="C734" s="1" t="s">
        <v>1943</v>
      </c>
      <c r="D734" s="1" t="s">
        <v>2408</v>
      </c>
      <c r="E734" s="1">
        <v>1</v>
      </c>
      <c r="F734" s="1">
        <v>132.05000000000001</v>
      </c>
      <c r="G734" s="1" t="s">
        <v>2876</v>
      </c>
      <c r="H734" s="1" t="s">
        <v>3066</v>
      </c>
      <c r="I734" s="1" t="s">
        <v>3073</v>
      </c>
      <c r="J734" s="1" t="s">
        <v>3807</v>
      </c>
      <c r="K734" s="1">
        <v>2</v>
      </c>
      <c r="L734" s="1" t="s">
        <v>4283</v>
      </c>
      <c r="M734" s="1" t="s">
        <v>4282</v>
      </c>
      <c r="N734" s="6" t="str">
        <f t="shared" si="23"/>
        <v>Mar</v>
      </c>
      <c r="O734" s="1">
        <v>132.05000000000001</v>
      </c>
      <c r="T734" s="4"/>
      <c r="U734" s="1" t="str">
        <f t="shared" si="24"/>
        <v>Normal</v>
      </c>
    </row>
    <row r="735" spans="1:21" x14ac:dyDescent="0.25">
      <c r="A735" s="1" t="s">
        <v>747</v>
      </c>
      <c r="B735" s="4">
        <v>45264</v>
      </c>
      <c r="C735" s="1" t="s">
        <v>1944</v>
      </c>
      <c r="D735" s="1" t="s">
        <v>2405</v>
      </c>
      <c r="E735" s="1">
        <v>4</v>
      </c>
      <c r="F735" s="1">
        <v>494.84</v>
      </c>
      <c r="G735" s="1" t="s">
        <v>2869</v>
      </c>
      <c r="H735" s="1" t="s">
        <v>3069</v>
      </c>
      <c r="I735" s="1" t="s">
        <v>3072</v>
      </c>
      <c r="J735" s="1" t="s">
        <v>3808</v>
      </c>
      <c r="K735" s="1">
        <v>8</v>
      </c>
      <c r="L735" s="1" t="s">
        <v>4275</v>
      </c>
      <c r="M735" s="1" t="s">
        <v>4280</v>
      </c>
      <c r="N735" s="6" t="str">
        <f t="shared" si="23"/>
        <v>Dec</v>
      </c>
      <c r="O735" s="1">
        <v>1979.36</v>
      </c>
      <c r="T735" s="4"/>
      <c r="U735" s="1" t="str">
        <f t="shared" si="24"/>
        <v>Normal</v>
      </c>
    </row>
    <row r="736" spans="1:21" x14ac:dyDescent="0.25">
      <c r="A736" s="1" t="s">
        <v>748</v>
      </c>
      <c r="B736" s="4">
        <v>45314</v>
      </c>
      <c r="C736" s="1" t="s">
        <v>1945</v>
      </c>
      <c r="D736" s="1" t="s">
        <v>2407</v>
      </c>
      <c r="E736" s="1">
        <v>4</v>
      </c>
      <c r="F736" s="1">
        <v>224.61</v>
      </c>
      <c r="G736" s="1" t="s">
        <v>2655</v>
      </c>
      <c r="H736" s="1" t="s">
        <v>3067</v>
      </c>
      <c r="I736" s="1" t="s">
        <v>3072</v>
      </c>
      <c r="J736" s="1" t="s">
        <v>3809</v>
      </c>
      <c r="K736" s="1">
        <v>6</v>
      </c>
      <c r="L736" s="1" t="s">
        <v>4277</v>
      </c>
      <c r="M736" s="1" t="s">
        <v>4281</v>
      </c>
      <c r="N736" s="6" t="str">
        <f t="shared" si="23"/>
        <v>Jan</v>
      </c>
      <c r="O736" s="1">
        <v>898.44</v>
      </c>
      <c r="T736" s="4"/>
      <c r="U736" s="1" t="str">
        <f t="shared" si="24"/>
        <v>Normal</v>
      </c>
    </row>
    <row r="737" spans="1:21" x14ac:dyDescent="0.25">
      <c r="A737" s="1" t="s">
        <v>749</v>
      </c>
      <c r="B737" s="4">
        <v>45471</v>
      </c>
      <c r="C737" s="1" t="s">
        <v>1946</v>
      </c>
      <c r="D737" s="1" t="s">
        <v>2403</v>
      </c>
      <c r="E737" s="1">
        <v>4</v>
      </c>
      <c r="F737" s="1">
        <v>44.07</v>
      </c>
      <c r="G737" s="1" t="s">
        <v>2729</v>
      </c>
      <c r="H737" s="1" t="s">
        <v>3065</v>
      </c>
      <c r="I737" s="1" t="s">
        <v>3074</v>
      </c>
      <c r="J737" s="1" t="s">
        <v>3810</v>
      </c>
      <c r="K737" s="1">
        <v>6</v>
      </c>
      <c r="L737" s="1" t="s">
        <v>4283</v>
      </c>
      <c r="M737" s="1" t="s">
        <v>4280</v>
      </c>
      <c r="N737" s="6" t="str">
        <f t="shared" si="23"/>
        <v>Jun</v>
      </c>
      <c r="O737" s="1">
        <v>176.28</v>
      </c>
      <c r="T737" s="4"/>
      <c r="U737" s="1" t="str">
        <f t="shared" si="24"/>
        <v>Normal</v>
      </c>
    </row>
    <row r="738" spans="1:21" x14ac:dyDescent="0.25">
      <c r="A738" s="1" t="s">
        <v>750</v>
      </c>
      <c r="B738" s="4">
        <v>45331</v>
      </c>
      <c r="C738" s="1" t="s">
        <v>1947</v>
      </c>
      <c r="D738" s="1" t="s">
        <v>2403</v>
      </c>
      <c r="E738" s="1">
        <v>5</v>
      </c>
      <c r="F738" s="1">
        <v>418.53</v>
      </c>
      <c r="G738" s="1" t="s">
        <v>2796</v>
      </c>
      <c r="H738" s="1" t="s">
        <v>3067</v>
      </c>
      <c r="I738" s="1" t="s">
        <v>3074</v>
      </c>
      <c r="J738" s="1" t="s">
        <v>3811</v>
      </c>
      <c r="K738" s="1">
        <v>6</v>
      </c>
      <c r="L738" s="1" t="s">
        <v>4276</v>
      </c>
      <c r="M738" s="1" t="s">
        <v>4282</v>
      </c>
      <c r="N738" s="6" t="str">
        <f t="shared" si="23"/>
        <v>Feb</v>
      </c>
      <c r="O738" s="1">
        <v>2092.65</v>
      </c>
      <c r="T738" s="4"/>
      <c r="U738" s="1" t="str">
        <f t="shared" si="24"/>
        <v>Normal</v>
      </c>
    </row>
    <row r="739" spans="1:21" x14ac:dyDescent="0.25">
      <c r="A739" s="1" t="s">
        <v>751</v>
      </c>
      <c r="B739" s="4">
        <v>45294</v>
      </c>
      <c r="C739" s="1" t="s">
        <v>1948</v>
      </c>
      <c r="D739" s="1" t="s">
        <v>2404</v>
      </c>
      <c r="E739" s="1">
        <v>4</v>
      </c>
      <c r="F739" s="1">
        <v>532.87</v>
      </c>
      <c r="G739" s="1" t="s">
        <v>2897</v>
      </c>
      <c r="H739" s="1" t="s">
        <v>3069</v>
      </c>
      <c r="I739" s="1" t="s">
        <v>3074</v>
      </c>
      <c r="J739" s="1" t="s">
        <v>3812</v>
      </c>
      <c r="K739" s="1">
        <v>9</v>
      </c>
      <c r="L739" s="1" t="s">
        <v>4276</v>
      </c>
      <c r="M739" s="1" t="s">
        <v>4278</v>
      </c>
      <c r="N739" s="6" t="str">
        <f t="shared" si="23"/>
        <v>Jan</v>
      </c>
      <c r="O739" s="1">
        <v>2131.48</v>
      </c>
      <c r="T739" s="4"/>
      <c r="U739" s="1" t="str">
        <f t="shared" si="24"/>
        <v>Normal</v>
      </c>
    </row>
    <row r="740" spans="1:21" x14ac:dyDescent="0.25">
      <c r="A740" s="1" t="s">
        <v>752</v>
      </c>
      <c r="B740" s="4">
        <v>45812</v>
      </c>
      <c r="C740" s="1" t="s">
        <v>1949</v>
      </c>
      <c r="D740" s="1" t="s">
        <v>2404</v>
      </c>
      <c r="E740" s="1">
        <v>2</v>
      </c>
      <c r="F740" s="1">
        <v>485.37</v>
      </c>
      <c r="G740" s="1" t="s">
        <v>2898</v>
      </c>
      <c r="H740" s="1" t="s">
        <v>3067</v>
      </c>
      <c r="I740" s="1" t="s">
        <v>3070</v>
      </c>
      <c r="J740" s="1" t="s">
        <v>3813</v>
      </c>
      <c r="K740" s="1">
        <v>5</v>
      </c>
      <c r="L740" s="1" t="s">
        <v>4275</v>
      </c>
      <c r="M740" s="1" t="s">
        <v>4280</v>
      </c>
      <c r="N740" s="6" t="str">
        <f t="shared" si="23"/>
        <v>Jun</v>
      </c>
      <c r="O740" s="1">
        <v>970.74</v>
      </c>
      <c r="T740" s="4"/>
      <c r="U740" s="1" t="str">
        <f t="shared" si="24"/>
        <v>Normal</v>
      </c>
    </row>
    <row r="741" spans="1:21" x14ac:dyDescent="0.25">
      <c r="A741" s="1" t="s">
        <v>753</v>
      </c>
      <c r="B741" s="4">
        <v>45456</v>
      </c>
      <c r="C741" s="1" t="s">
        <v>1950</v>
      </c>
      <c r="D741" s="1" t="s">
        <v>2404</v>
      </c>
      <c r="E741" s="1">
        <v>4</v>
      </c>
      <c r="F741" s="1">
        <v>386.73</v>
      </c>
      <c r="G741" s="1" t="s">
        <v>2532</v>
      </c>
      <c r="H741" s="1" t="s">
        <v>3069</v>
      </c>
      <c r="I741" s="1" t="s">
        <v>3073</v>
      </c>
      <c r="J741" s="1" t="s">
        <v>3814</v>
      </c>
      <c r="K741" s="1">
        <v>4</v>
      </c>
      <c r="L741" s="1" t="s">
        <v>4275</v>
      </c>
      <c r="M741" s="1" t="s">
        <v>4281</v>
      </c>
      <c r="N741" s="6" t="str">
        <f t="shared" si="23"/>
        <v>Jun</v>
      </c>
      <c r="O741" s="1">
        <v>1546.92</v>
      </c>
      <c r="T741" s="4"/>
      <c r="U741" s="1" t="str">
        <f t="shared" si="24"/>
        <v>Normal</v>
      </c>
    </row>
    <row r="742" spans="1:21" x14ac:dyDescent="0.25">
      <c r="A742" s="1" t="s">
        <v>754</v>
      </c>
      <c r="B742" s="4">
        <v>45493</v>
      </c>
      <c r="C742" s="1" t="s">
        <v>1951</v>
      </c>
      <c r="D742" s="1" t="s">
        <v>2409</v>
      </c>
      <c r="E742" s="1">
        <v>2</v>
      </c>
      <c r="F742" s="1">
        <v>377.47</v>
      </c>
      <c r="G742" s="1" t="s">
        <v>2749</v>
      </c>
      <c r="H742" s="1" t="s">
        <v>3069</v>
      </c>
      <c r="I742" s="1" t="s">
        <v>3074</v>
      </c>
      <c r="J742" s="1" t="s">
        <v>3815</v>
      </c>
      <c r="K742" s="1">
        <v>7</v>
      </c>
      <c r="L742" s="1" t="s">
        <v>4283</v>
      </c>
      <c r="M742" s="1" t="s">
        <v>4282</v>
      </c>
      <c r="N742" s="6" t="str">
        <f t="shared" si="23"/>
        <v>Jul</v>
      </c>
      <c r="O742" s="1">
        <v>754.94</v>
      </c>
      <c r="T742" s="4"/>
      <c r="U742" s="1" t="str">
        <f t="shared" si="24"/>
        <v>Normal</v>
      </c>
    </row>
    <row r="743" spans="1:21" x14ac:dyDescent="0.25">
      <c r="A743" s="1" t="s">
        <v>755</v>
      </c>
      <c r="B743" s="4">
        <v>45680</v>
      </c>
      <c r="C743" s="1" t="s">
        <v>1952</v>
      </c>
      <c r="D743" s="1" t="s">
        <v>2403</v>
      </c>
      <c r="E743" s="1">
        <v>5</v>
      </c>
      <c r="F743" s="1">
        <v>332.64</v>
      </c>
      <c r="G743" s="1" t="s">
        <v>2899</v>
      </c>
      <c r="H743" s="1" t="s">
        <v>3068</v>
      </c>
      <c r="I743" s="1" t="s">
        <v>3073</v>
      </c>
      <c r="J743" s="1" t="s">
        <v>3816</v>
      </c>
      <c r="K743" s="1">
        <v>10</v>
      </c>
      <c r="L743" s="1" t="s">
        <v>4283</v>
      </c>
      <c r="M743" s="1" t="s">
        <v>4279</v>
      </c>
      <c r="N743" s="6" t="str">
        <f t="shared" si="23"/>
        <v>Jan</v>
      </c>
      <c r="O743" s="1">
        <v>1663.2</v>
      </c>
      <c r="T743" s="4"/>
      <c r="U743" s="1" t="str">
        <f t="shared" si="24"/>
        <v>Normal</v>
      </c>
    </row>
    <row r="744" spans="1:21" x14ac:dyDescent="0.25">
      <c r="A744" s="1" t="s">
        <v>756</v>
      </c>
      <c r="B744" s="4">
        <v>45626</v>
      </c>
      <c r="C744" s="1" t="s">
        <v>1953</v>
      </c>
      <c r="D744" s="1" t="s">
        <v>2408</v>
      </c>
      <c r="E744" s="1">
        <v>3</v>
      </c>
      <c r="F744" s="1">
        <v>699.93</v>
      </c>
      <c r="G744" s="1" t="s">
        <v>2664</v>
      </c>
      <c r="H744" s="1" t="s">
        <v>3069</v>
      </c>
      <c r="I744" s="1" t="s">
        <v>3072</v>
      </c>
      <c r="J744" s="1" t="s">
        <v>3817</v>
      </c>
      <c r="K744" s="1">
        <v>7</v>
      </c>
      <c r="L744" s="1" t="s">
        <v>4275</v>
      </c>
      <c r="M744" s="1" t="s">
        <v>4282</v>
      </c>
      <c r="N744" s="6" t="str">
        <f t="shared" si="23"/>
        <v>Nov</v>
      </c>
      <c r="O744" s="1">
        <v>2099.79</v>
      </c>
      <c r="T744" s="4"/>
      <c r="U744" s="1" t="str">
        <f t="shared" si="24"/>
        <v>Normal</v>
      </c>
    </row>
    <row r="745" spans="1:21" x14ac:dyDescent="0.25">
      <c r="A745" s="1" t="s">
        <v>757</v>
      </c>
      <c r="B745" s="4">
        <v>45565</v>
      </c>
      <c r="C745" s="1" t="s">
        <v>1954</v>
      </c>
      <c r="D745" s="1" t="s">
        <v>2403</v>
      </c>
      <c r="E745" s="1">
        <v>1</v>
      </c>
      <c r="F745" s="1">
        <v>576.35</v>
      </c>
      <c r="G745" s="1" t="s">
        <v>2448</v>
      </c>
      <c r="H745" s="1" t="s">
        <v>3068</v>
      </c>
      <c r="I745" s="1" t="s">
        <v>3072</v>
      </c>
      <c r="J745" s="1" t="s">
        <v>3818</v>
      </c>
      <c r="K745" s="1">
        <v>1</v>
      </c>
      <c r="L745" s="1" t="s">
        <v>4277</v>
      </c>
      <c r="M745" s="1" t="s">
        <v>4278</v>
      </c>
      <c r="N745" s="6" t="str">
        <f t="shared" si="23"/>
        <v>Sep</v>
      </c>
      <c r="O745" s="1">
        <v>576.35</v>
      </c>
      <c r="T745" s="4"/>
      <c r="U745" s="1" t="str">
        <f t="shared" si="24"/>
        <v>Normal</v>
      </c>
    </row>
    <row r="746" spans="1:21" x14ac:dyDescent="0.25">
      <c r="A746" s="1" t="s">
        <v>758</v>
      </c>
      <c r="B746" s="4">
        <v>45455</v>
      </c>
      <c r="C746" s="1" t="s">
        <v>1955</v>
      </c>
      <c r="D746" s="1" t="s">
        <v>2405</v>
      </c>
      <c r="E746" s="1">
        <v>2</v>
      </c>
      <c r="F746" s="1">
        <v>461.37</v>
      </c>
      <c r="G746" s="1" t="s">
        <v>2900</v>
      </c>
      <c r="H746" s="1" t="s">
        <v>3069</v>
      </c>
      <c r="I746" s="1" t="s">
        <v>3073</v>
      </c>
      <c r="J746" s="1" t="s">
        <v>3819</v>
      </c>
      <c r="K746" s="1">
        <v>5</v>
      </c>
      <c r="L746" s="1" t="s">
        <v>4275</v>
      </c>
      <c r="M746" s="1" t="s">
        <v>4282</v>
      </c>
      <c r="N746" s="6" t="str">
        <f t="shared" si="23"/>
        <v>Jun</v>
      </c>
      <c r="O746" s="1">
        <v>922.74</v>
      </c>
      <c r="T746" s="4"/>
      <c r="U746" s="1" t="str">
        <f t="shared" si="24"/>
        <v>Normal</v>
      </c>
    </row>
    <row r="747" spans="1:21" x14ac:dyDescent="0.25">
      <c r="A747" s="1" t="s">
        <v>759</v>
      </c>
      <c r="B747" s="4">
        <v>44987</v>
      </c>
      <c r="C747" s="1" t="s">
        <v>1956</v>
      </c>
      <c r="D747" s="1" t="s">
        <v>2407</v>
      </c>
      <c r="E747" s="1">
        <v>4</v>
      </c>
      <c r="F747" s="1">
        <v>111.3</v>
      </c>
      <c r="G747" s="1" t="s">
        <v>2901</v>
      </c>
      <c r="H747" s="1" t="s">
        <v>3065</v>
      </c>
      <c r="I747" s="1" t="s">
        <v>3074</v>
      </c>
      <c r="J747" s="1" t="s">
        <v>3820</v>
      </c>
      <c r="K747" s="1">
        <v>7</v>
      </c>
      <c r="L747" s="1" t="s">
        <v>4276</v>
      </c>
      <c r="M747" s="1" t="s">
        <v>4280</v>
      </c>
      <c r="N747" s="6" t="str">
        <f t="shared" si="23"/>
        <v>Mar</v>
      </c>
      <c r="O747" s="1">
        <v>445.2</v>
      </c>
      <c r="T747" s="4"/>
      <c r="U747" s="1" t="str">
        <f t="shared" si="24"/>
        <v>Normal</v>
      </c>
    </row>
    <row r="748" spans="1:21" x14ac:dyDescent="0.25">
      <c r="A748" s="1" t="s">
        <v>760</v>
      </c>
      <c r="B748" s="4">
        <v>45712</v>
      </c>
      <c r="C748" s="1" t="s">
        <v>1957</v>
      </c>
      <c r="D748" s="1" t="s">
        <v>2409</v>
      </c>
      <c r="E748" s="1">
        <v>3</v>
      </c>
      <c r="F748" s="1">
        <v>661.89</v>
      </c>
      <c r="G748" s="1" t="s">
        <v>2902</v>
      </c>
      <c r="H748" s="1" t="s">
        <v>3066</v>
      </c>
      <c r="I748" s="1" t="s">
        <v>3071</v>
      </c>
      <c r="J748" s="1" t="s">
        <v>3821</v>
      </c>
      <c r="K748" s="1">
        <v>6</v>
      </c>
      <c r="L748" s="1" t="s">
        <v>4277</v>
      </c>
      <c r="M748" s="1" t="s">
        <v>4279</v>
      </c>
      <c r="N748" s="6" t="str">
        <f t="shared" si="23"/>
        <v>Feb</v>
      </c>
      <c r="O748" s="1">
        <v>1985.67</v>
      </c>
      <c r="T748" s="4"/>
      <c r="U748" s="1" t="str">
        <f t="shared" si="24"/>
        <v>Normal</v>
      </c>
    </row>
    <row r="749" spans="1:21" x14ac:dyDescent="0.25">
      <c r="A749" s="1" t="s">
        <v>761</v>
      </c>
      <c r="B749" s="4">
        <v>45728</v>
      </c>
      <c r="C749" s="1" t="s">
        <v>1958</v>
      </c>
      <c r="D749" s="1" t="s">
        <v>2405</v>
      </c>
      <c r="E749" s="1">
        <v>2</v>
      </c>
      <c r="F749" s="1">
        <v>259.58</v>
      </c>
      <c r="G749" s="1" t="s">
        <v>2903</v>
      </c>
      <c r="H749" s="1" t="s">
        <v>3065</v>
      </c>
      <c r="I749" s="1" t="s">
        <v>3073</v>
      </c>
      <c r="J749" s="1" t="s">
        <v>3822</v>
      </c>
      <c r="K749" s="1">
        <v>7</v>
      </c>
      <c r="L749" s="1" t="s">
        <v>4276</v>
      </c>
      <c r="M749" s="1" t="s">
        <v>4278</v>
      </c>
      <c r="N749" s="6" t="str">
        <f t="shared" si="23"/>
        <v>Mar</v>
      </c>
      <c r="O749" s="1">
        <v>519.16</v>
      </c>
      <c r="T749" s="4"/>
      <c r="U749" s="1" t="str">
        <f t="shared" si="24"/>
        <v>Normal</v>
      </c>
    </row>
    <row r="750" spans="1:21" x14ac:dyDescent="0.25">
      <c r="A750" s="1" t="s">
        <v>762</v>
      </c>
      <c r="B750" s="4">
        <v>45488</v>
      </c>
      <c r="C750" s="1" t="s">
        <v>1959</v>
      </c>
      <c r="D750" s="1" t="s">
        <v>2405</v>
      </c>
      <c r="E750" s="1">
        <v>3</v>
      </c>
      <c r="F750" s="1">
        <v>70.81</v>
      </c>
      <c r="G750" s="1" t="s">
        <v>2789</v>
      </c>
      <c r="H750" s="1" t="s">
        <v>3067</v>
      </c>
      <c r="I750" s="1" t="s">
        <v>3070</v>
      </c>
      <c r="J750" s="1" t="s">
        <v>3823</v>
      </c>
      <c r="K750" s="1">
        <v>8</v>
      </c>
      <c r="L750" s="1" t="s">
        <v>4276</v>
      </c>
      <c r="M750" s="1" t="s">
        <v>4279</v>
      </c>
      <c r="N750" s="6" t="str">
        <f t="shared" si="23"/>
        <v>Jul</v>
      </c>
      <c r="O750" s="1">
        <v>212.43</v>
      </c>
      <c r="T750" s="4"/>
      <c r="U750" s="1" t="str">
        <f t="shared" si="24"/>
        <v>Normal</v>
      </c>
    </row>
    <row r="751" spans="1:21" x14ac:dyDescent="0.25">
      <c r="A751" s="1" t="s">
        <v>763</v>
      </c>
      <c r="B751" s="4">
        <v>45760</v>
      </c>
      <c r="C751" s="1" t="s">
        <v>1960</v>
      </c>
      <c r="D751" s="1" t="s">
        <v>2408</v>
      </c>
      <c r="E751" s="1">
        <v>1</v>
      </c>
      <c r="F751" s="1">
        <v>518.39</v>
      </c>
      <c r="G751" s="1" t="s">
        <v>2904</v>
      </c>
      <c r="H751" s="1" t="s">
        <v>3065</v>
      </c>
      <c r="I751" s="1" t="s">
        <v>3074</v>
      </c>
      <c r="J751" s="1" t="s">
        <v>3824</v>
      </c>
      <c r="K751" s="1">
        <v>4</v>
      </c>
      <c r="L751" s="1" t="s">
        <v>4276</v>
      </c>
      <c r="M751" s="1" t="s">
        <v>4278</v>
      </c>
      <c r="N751" s="6" t="str">
        <f t="shared" si="23"/>
        <v>Apr</v>
      </c>
      <c r="O751" s="1">
        <v>518.39</v>
      </c>
      <c r="T751" s="4"/>
      <c r="U751" s="1" t="str">
        <f t="shared" si="24"/>
        <v>Normal</v>
      </c>
    </row>
    <row r="752" spans="1:21" x14ac:dyDescent="0.25">
      <c r="A752" s="1" t="s">
        <v>764</v>
      </c>
      <c r="B752" s="4">
        <v>44940</v>
      </c>
      <c r="C752" s="1" t="s">
        <v>1961</v>
      </c>
      <c r="D752" s="1" t="s">
        <v>2405</v>
      </c>
      <c r="E752" s="1">
        <v>4</v>
      </c>
      <c r="F752" s="1">
        <v>145.41</v>
      </c>
      <c r="G752" s="1" t="s">
        <v>2905</v>
      </c>
      <c r="H752" s="1" t="s">
        <v>3067</v>
      </c>
      <c r="I752" s="1" t="s">
        <v>3072</v>
      </c>
      <c r="J752" s="1" t="s">
        <v>3825</v>
      </c>
      <c r="K752" s="1">
        <v>7</v>
      </c>
      <c r="L752" s="1" t="s">
        <v>4276</v>
      </c>
      <c r="M752" s="1" t="s">
        <v>4280</v>
      </c>
      <c r="N752" s="6" t="str">
        <f t="shared" si="23"/>
        <v>Jan</v>
      </c>
      <c r="O752" s="1">
        <v>581.64</v>
      </c>
      <c r="T752" s="4"/>
      <c r="U752" s="1" t="str">
        <f t="shared" si="24"/>
        <v>Normal</v>
      </c>
    </row>
    <row r="753" spans="1:21" x14ac:dyDescent="0.25">
      <c r="A753" s="1" t="s">
        <v>765</v>
      </c>
      <c r="B753" s="4">
        <v>44950</v>
      </c>
      <c r="C753" s="1" t="s">
        <v>1962</v>
      </c>
      <c r="D753" s="1" t="s">
        <v>2405</v>
      </c>
      <c r="E753" s="1">
        <v>2</v>
      </c>
      <c r="F753" s="1">
        <v>599.86</v>
      </c>
      <c r="G753" s="1" t="s">
        <v>2906</v>
      </c>
      <c r="H753" s="1" t="s">
        <v>3068</v>
      </c>
      <c r="I753" s="1" t="s">
        <v>3074</v>
      </c>
      <c r="J753" s="1" t="s">
        <v>3826</v>
      </c>
      <c r="K753" s="1">
        <v>7</v>
      </c>
      <c r="L753" s="1" t="s">
        <v>4276</v>
      </c>
      <c r="M753" s="1" t="s">
        <v>4281</v>
      </c>
      <c r="N753" s="6" t="str">
        <f t="shared" si="23"/>
        <v>Jan</v>
      </c>
      <c r="O753" s="1">
        <v>1199.72</v>
      </c>
      <c r="T753" s="4"/>
      <c r="U753" s="1" t="str">
        <f t="shared" si="24"/>
        <v>Normal</v>
      </c>
    </row>
    <row r="754" spans="1:21" x14ac:dyDescent="0.25">
      <c r="A754" s="1" t="s">
        <v>766</v>
      </c>
      <c r="B754" s="4">
        <v>45568</v>
      </c>
      <c r="C754" s="1" t="s">
        <v>1963</v>
      </c>
      <c r="D754" s="1" t="s">
        <v>2404</v>
      </c>
      <c r="E754" s="1">
        <v>4</v>
      </c>
      <c r="F754" s="1">
        <v>429.37</v>
      </c>
      <c r="G754" s="1" t="s">
        <v>2648</v>
      </c>
      <c r="H754" s="1" t="s">
        <v>3067</v>
      </c>
      <c r="I754" s="1" t="s">
        <v>3073</v>
      </c>
      <c r="J754" s="1" t="s">
        <v>3827</v>
      </c>
      <c r="K754" s="1">
        <v>8</v>
      </c>
      <c r="L754" s="1" t="s">
        <v>4276</v>
      </c>
      <c r="M754" s="1" t="s">
        <v>4282</v>
      </c>
      <c r="N754" s="6" t="str">
        <f t="shared" si="23"/>
        <v>Oct</v>
      </c>
      <c r="O754" s="1">
        <v>1717.48</v>
      </c>
      <c r="T754" s="4"/>
      <c r="U754" s="1" t="str">
        <f t="shared" si="24"/>
        <v>Normal</v>
      </c>
    </row>
    <row r="755" spans="1:21" x14ac:dyDescent="0.25">
      <c r="A755" s="1" t="s">
        <v>767</v>
      </c>
      <c r="B755" s="4">
        <v>45406</v>
      </c>
      <c r="C755" s="1" t="s">
        <v>1964</v>
      </c>
      <c r="D755" s="1" t="s">
        <v>2404</v>
      </c>
      <c r="E755" s="1">
        <v>2</v>
      </c>
      <c r="F755" s="1">
        <v>241.49</v>
      </c>
      <c r="G755" s="1" t="s">
        <v>2907</v>
      </c>
      <c r="H755" s="1" t="s">
        <v>3065</v>
      </c>
      <c r="I755" s="1" t="s">
        <v>3072</v>
      </c>
      <c r="J755" s="1" t="s">
        <v>3828</v>
      </c>
      <c r="K755" s="1">
        <v>7</v>
      </c>
      <c r="L755" s="1" t="s">
        <v>4276</v>
      </c>
      <c r="M755" s="1" t="s">
        <v>4278</v>
      </c>
      <c r="N755" s="6" t="str">
        <f t="shared" si="23"/>
        <v>Apr</v>
      </c>
      <c r="O755" s="1">
        <v>482.98</v>
      </c>
      <c r="T755" s="4"/>
      <c r="U755" s="1" t="str">
        <f t="shared" si="24"/>
        <v>Normal</v>
      </c>
    </row>
    <row r="756" spans="1:21" x14ac:dyDescent="0.25">
      <c r="A756" s="1" t="s">
        <v>768</v>
      </c>
      <c r="B756" s="4">
        <v>45808</v>
      </c>
      <c r="C756" s="1" t="s">
        <v>1965</v>
      </c>
      <c r="D756" s="1" t="s">
        <v>2407</v>
      </c>
      <c r="E756" s="1">
        <v>2</v>
      </c>
      <c r="F756" s="1">
        <v>452.05</v>
      </c>
      <c r="G756" s="1" t="s">
        <v>2908</v>
      </c>
      <c r="H756" s="1" t="s">
        <v>3067</v>
      </c>
      <c r="I756" s="1" t="s">
        <v>3072</v>
      </c>
      <c r="J756" s="1" t="s">
        <v>3829</v>
      </c>
      <c r="K756" s="1">
        <v>3</v>
      </c>
      <c r="L756" s="1" t="s">
        <v>4277</v>
      </c>
      <c r="M756" s="1" t="s">
        <v>4280</v>
      </c>
      <c r="N756" s="6" t="str">
        <f t="shared" si="23"/>
        <v>May</v>
      </c>
      <c r="O756" s="1">
        <v>904.1</v>
      </c>
      <c r="T756" s="4"/>
      <c r="U756" s="1" t="str">
        <f t="shared" si="24"/>
        <v>Normal</v>
      </c>
    </row>
    <row r="757" spans="1:21" x14ac:dyDescent="0.25">
      <c r="A757" s="1" t="s">
        <v>769</v>
      </c>
      <c r="B757" s="4">
        <v>45090</v>
      </c>
      <c r="C757" s="1" t="s">
        <v>1966</v>
      </c>
      <c r="D757" s="1" t="s">
        <v>2409</v>
      </c>
      <c r="E757" s="1">
        <v>3</v>
      </c>
      <c r="F757" s="1">
        <v>336.71</v>
      </c>
      <c r="G757" s="1" t="s">
        <v>2909</v>
      </c>
      <c r="H757" s="1" t="s">
        <v>3067</v>
      </c>
      <c r="I757" s="1" t="s">
        <v>3074</v>
      </c>
      <c r="J757" s="1" t="s">
        <v>3830</v>
      </c>
      <c r="K757" s="1">
        <v>4</v>
      </c>
      <c r="L757" s="1" t="s">
        <v>4283</v>
      </c>
      <c r="M757" s="1" t="s">
        <v>4280</v>
      </c>
      <c r="N757" s="6" t="str">
        <f t="shared" si="23"/>
        <v>Jun</v>
      </c>
      <c r="O757" s="1">
        <v>1010.13</v>
      </c>
      <c r="T757" s="4"/>
      <c r="U757" s="1" t="str">
        <f t="shared" si="24"/>
        <v>Normal</v>
      </c>
    </row>
    <row r="758" spans="1:21" x14ac:dyDescent="0.25">
      <c r="A758" s="1" t="s">
        <v>770</v>
      </c>
      <c r="B758" s="4">
        <v>45470</v>
      </c>
      <c r="C758" s="1" t="s">
        <v>1967</v>
      </c>
      <c r="D758" s="1" t="s">
        <v>2404</v>
      </c>
      <c r="E758" s="1">
        <v>1</v>
      </c>
      <c r="F758" s="1">
        <v>283.69</v>
      </c>
      <c r="G758" s="1" t="s">
        <v>2464</v>
      </c>
      <c r="H758" s="1" t="s">
        <v>3068</v>
      </c>
      <c r="I758" s="1" t="s">
        <v>3070</v>
      </c>
      <c r="J758" s="1" t="s">
        <v>3831</v>
      </c>
      <c r="K758" s="1">
        <v>6</v>
      </c>
      <c r="L758" s="1" t="s">
        <v>4283</v>
      </c>
      <c r="M758" s="1" t="s">
        <v>4282</v>
      </c>
      <c r="N758" s="6" t="str">
        <f t="shared" si="23"/>
        <v>Jun</v>
      </c>
      <c r="O758" s="1">
        <v>283.69</v>
      </c>
      <c r="T758" s="4"/>
      <c r="U758" s="1" t="str">
        <f t="shared" si="24"/>
        <v>Normal</v>
      </c>
    </row>
    <row r="759" spans="1:21" x14ac:dyDescent="0.25">
      <c r="A759" s="1" t="s">
        <v>771</v>
      </c>
      <c r="B759" s="4">
        <v>45344</v>
      </c>
      <c r="C759" s="1" t="s">
        <v>1968</v>
      </c>
      <c r="D759" s="1" t="s">
        <v>2409</v>
      </c>
      <c r="E759" s="1">
        <v>1</v>
      </c>
      <c r="F759" s="1">
        <v>157.72</v>
      </c>
      <c r="G759" s="1" t="s">
        <v>2581</v>
      </c>
      <c r="H759" s="1" t="s">
        <v>3065</v>
      </c>
      <c r="I759" s="1" t="s">
        <v>3073</v>
      </c>
      <c r="J759" s="1" t="s">
        <v>3832</v>
      </c>
      <c r="K759" s="1">
        <v>2</v>
      </c>
      <c r="L759" s="1" t="s">
        <v>4276</v>
      </c>
      <c r="M759" s="1" t="s">
        <v>4282</v>
      </c>
      <c r="N759" s="6" t="str">
        <f t="shared" si="23"/>
        <v>Feb</v>
      </c>
      <c r="O759" s="1">
        <v>157.72</v>
      </c>
      <c r="T759" s="4"/>
      <c r="U759" s="1" t="str">
        <f t="shared" si="24"/>
        <v>Normal</v>
      </c>
    </row>
    <row r="760" spans="1:21" x14ac:dyDescent="0.25">
      <c r="A760" s="1" t="s">
        <v>772</v>
      </c>
      <c r="B760" s="4">
        <v>45011</v>
      </c>
      <c r="C760" s="1" t="s">
        <v>1969</v>
      </c>
      <c r="D760" s="1" t="s">
        <v>2405</v>
      </c>
      <c r="E760" s="1">
        <v>3</v>
      </c>
      <c r="F760" s="1">
        <v>624.84</v>
      </c>
      <c r="G760" s="1" t="s">
        <v>2479</v>
      </c>
      <c r="H760" s="1" t="s">
        <v>3067</v>
      </c>
      <c r="I760" s="1" t="s">
        <v>3071</v>
      </c>
      <c r="J760" s="1" t="s">
        <v>3833</v>
      </c>
      <c r="K760" s="1">
        <v>8</v>
      </c>
      <c r="L760" s="1" t="s">
        <v>4277</v>
      </c>
      <c r="M760" s="1" t="s">
        <v>4281</v>
      </c>
      <c r="N760" s="6" t="str">
        <f t="shared" si="23"/>
        <v>Mar</v>
      </c>
      <c r="O760" s="1">
        <v>1874.52</v>
      </c>
      <c r="T760" s="4"/>
      <c r="U760" s="1" t="str">
        <f t="shared" si="24"/>
        <v>Normal</v>
      </c>
    </row>
    <row r="761" spans="1:21" x14ac:dyDescent="0.25">
      <c r="A761" s="1" t="s">
        <v>773</v>
      </c>
      <c r="B761" s="4">
        <v>45131</v>
      </c>
      <c r="C761" s="1" t="s">
        <v>1970</v>
      </c>
      <c r="D761" s="1" t="s">
        <v>2409</v>
      </c>
      <c r="E761" s="1">
        <v>3</v>
      </c>
      <c r="F761" s="1">
        <v>308.01</v>
      </c>
      <c r="G761" s="1" t="s">
        <v>2910</v>
      </c>
      <c r="H761" s="1" t="s">
        <v>3069</v>
      </c>
      <c r="I761" s="1" t="s">
        <v>3074</v>
      </c>
      <c r="J761" s="1" t="s">
        <v>3834</v>
      </c>
      <c r="K761" s="1">
        <v>3</v>
      </c>
      <c r="L761" s="1" t="s">
        <v>4276</v>
      </c>
      <c r="M761" s="1" t="s">
        <v>4281</v>
      </c>
      <c r="N761" s="6" t="str">
        <f t="shared" si="23"/>
        <v>Jul</v>
      </c>
      <c r="O761" s="1">
        <v>924.03</v>
      </c>
      <c r="T761" s="4"/>
      <c r="U761" s="1" t="str">
        <f t="shared" si="24"/>
        <v>Normal</v>
      </c>
    </row>
    <row r="762" spans="1:21" x14ac:dyDescent="0.25">
      <c r="A762" s="1" t="s">
        <v>774</v>
      </c>
      <c r="B762" s="4">
        <v>45706</v>
      </c>
      <c r="C762" s="1" t="s">
        <v>1971</v>
      </c>
      <c r="D762" s="1" t="s">
        <v>2409</v>
      </c>
      <c r="E762" s="1">
        <v>1</v>
      </c>
      <c r="F762" s="1">
        <v>39.56</v>
      </c>
      <c r="G762" s="1" t="s">
        <v>2570</v>
      </c>
      <c r="H762" s="1" t="s">
        <v>3065</v>
      </c>
      <c r="I762" s="1" t="s">
        <v>3071</v>
      </c>
      <c r="J762" s="1" t="s">
        <v>3835</v>
      </c>
      <c r="K762" s="1">
        <v>5</v>
      </c>
      <c r="L762" s="1" t="s">
        <v>4283</v>
      </c>
      <c r="M762" s="1" t="s">
        <v>4282</v>
      </c>
      <c r="N762" s="6" t="str">
        <f t="shared" si="23"/>
        <v>Feb</v>
      </c>
      <c r="O762" s="1">
        <v>39.56</v>
      </c>
      <c r="T762" s="4"/>
      <c r="U762" s="1" t="str">
        <f t="shared" si="24"/>
        <v>Normal</v>
      </c>
    </row>
    <row r="763" spans="1:21" x14ac:dyDescent="0.25">
      <c r="A763" s="1" t="s">
        <v>775</v>
      </c>
      <c r="B763" s="4">
        <v>45079</v>
      </c>
      <c r="C763" s="1" t="s">
        <v>1972</v>
      </c>
      <c r="D763" s="1" t="s">
        <v>2409</v>
      </c>
      <c r="E763" s="1">
        <v>4</v>
      </c>
      <c r="F763" s="1">
        <v>37.76</v>
      </c>
      <c r="G763" s="1" t="s">
        <v>2911</v>
      </c>
      <c r="H763" s="1" t="s">
        <v>3065</v>
      </c>
      <c r="I763" s="1" t="s">
        <v>3073</v>
      </c>
      <c r="J763" s="1" t="s">
        <v>3836</v>
      </c>
      <c r="K763" s="1">
        <v>7</v>
      </c>
      <c r="L763" s="1" t="s">
        <v>4283</v>
      </c>
      <c r="M763" s="1" t="s">
        <v>4282</v>
      </c>
      <c r="N763" s="6" t="str">
        <f t="shared" si="23"/>
        <v>Jun</v>
      </c>
      <c r="O763" s="1">
        <v>151.04</v>
      </c>
      <c r="T763" s="4"/>
      <c r="U763" s="1" t="str">
        <f t="shared" si="24"/>
        <v>Normal</v>
      </c>
    </row>
    <row r="764" spans="1:21" x14ac:dyDescent="0.25">
      <c r="A764" s="1" t="s">
        <v>776</v>
      </c>
      <c r="B764" s="4">
        <v>45552</v>
      </c>
      <c r="C764" s="1" t="s">
        <v>1973</v>
      </c>
      <c r="D764" s="1" t="s">
        <v>2404</v>
      </c>
      <c r="E764" s="1">
        <v>3</v>
      </c>
      <c r="F764" s="1">
        <v>76.959999999999994</v>
      </c>
      <c r="G764" s="1" t="s">
        <v>2494</v>
      </c>
      <c r="H764" s="1" t="s">
        <v>3069</v>
      </c>
      <c r="I764" s="1" t="s">
        <v>3072</v>
      </c>
      <c r="J764" s="1" t="s">
        <v>3837</v>
      </c>
      <c r="K764" s="1">
        <v>8</v>
      </c>
      <c r="L764" s="1" t="s">
        <v>4276</v>
      </c>
      <c r="M764" s="1" t="s">
        <v>4280</v>
      </c>
      <c r="N764" s="6" t="str">
        <f t="shared" si="23"/>
        <v>Sep</v>
      </c>
      <c r="O764" s="1">
        <v>230.88</v>
      </c>
      <c r="T764" s="4"/>
      <c r="U764" s="1" t="str">
        <f t="shared" si="24"/>
        <v>Normal</v>
      </c>
    </row>
    <row r="765" spans="1:21" x14ac:dyDescent="0.25">
      <c r="A765" s="1" t="s">
        <v>777</v>
      </c>
      <c r="B765" s="4">
        <v>45022</v>
      </c>
      <c r="C765" s="1" t="s">
        <v>1974</v>
      </c>
      <c r="D765" s="1" t="s">
        <v>2408</v>
      </c>
      <c r="E765" s="1">
        <v>1</v>
      </c>
      <c r="F765" s="1">
        <v>569.96</v>
      </c>
      <c r="G765" s="1" t="s">
        <v>2501</v>
      </c>
      <c r="H765" s="1" t="s">
        <v>3066</v>
      </c>
      <c r="I765" s="1" t="s">
        <v>3073</v>
      </c>
      <c r="J765" s="1" t="s">
        <v>3838</v>
      </c>
      <c r="K765" s="1">
        <v>4</v>
      </c>
      <c r="L765" s="1" t="s">
        <v>4276</v>
      </c>
      <c r="M765" s="1" t="s">
        <v>4280</v>
      </c>
      <c r="N765" s="6" t="str">
        <f t="shared" si="23"/>
        <v>Apr</v>
      </c>
      <c r="O765" s="1">
        <v>569.96</v>
      </c>
      <c r="T765" s="4"/>
      <c r="U765" s="1" t="str">
        <f t="shared" si="24"/>
        <v>Normal</v>
      </c>
    </row>
    <row r="766" spans="1:21" x14ac:dyDescent="0.25">
      <c r="A766" s="1" t="s">
        <v>778</v>
      </c>
      <c r="B766" s="4">
        <v>45361</v>
      </c>
      <c r="C766" s="1" t="s">
        <v>1975</v>
      </c>
      <c r="D766" s="1" t="s">
        <v>2408</v>
      </c>
      <c r="E766" s="1">
        <v>5</v>
      </c>
      <c r="F766" s="1">
        <v>627.42999999999995</v>
      </c>
      <c r="G766" s="1" t="s">
        <v>2565</v>
      </c>
      <c r="H766" s="1" t="s">
        <v>3067</v>
      </c>
      <c r="I766" s="1" t="s">
        <v>3071</v>
      </c>
      <c r="J766" s="1" t="s">
        <v>3839</v>
      </c>
      <c r="K766" s="1">
        <v>10</v>
      </c>
      <c r="L766" s="1" t="s">
        <v>4276</v>
      </c>
      <c r="M766" s="1" t="s">
        <v>4280</v>
      </c>
      <c r="N766" s="6" t="str">
        <f t="shared" si="23"/>
        <v>Mar</v>
      </c>
      <c r="O766" s="1">
        <v>3137.15</v>
      </c>
      <c r="T766" s="4"/>
      <c r="U766" s="1" t="str">
        <f t="shared" si="24"/>
        <v>Normal</v>
      </c>
    </row>
    <row r="767" spans="1:21" x14ac:dyDescent="0.25">
      <c r="A767" s="1" t="s">
        <v>779</v>
      </c>
      <c r="B767" s="4">
        <v>45205</v>
      </c>
      <c r="C767" s="1" t="s">
        <v>1976</v>
      </c>
      <c r="D767" s="1" t="s">
        <v>2408</v>
      </c>
      <c r="E767" s="1">
        <v>2</v>
      </c>
      <c r="F767" s="1">
        <v>534.91</v>
      </c>
      <c r="G767" s="1" t="s">
        <v>2888</v>
      </c>
      <c r="H767" s="1" t="s">
        <v>3065</v>
      </c>
      <c r="I767" s="1" t="s">
        <v>3072</v>
      </c>
      <c r="J767" s="1" t="s">
        <v>3840</v>
      </c>
      <c r="K767" s="1">
        <v>5</v>
      </c>
      <c r="L767" s="1" t="s">
        <v>4275</v>
      </c>
      <c r="M767" s="1" t="s">
        <v>4282</v>
      </c>
      <c r="N767" s="6" t="str">
        <f t="shared" si="23"/>
        <v>Oct</v>
      </c>
      <c r="O767" s="1">
        <v>1069.82</v>
      </c>
      <c r="T767" s="4"/>
      <c r="U767" s="1" t="str">
        <f t="shared" si="24"/>
        <v>Normal</v>
      </c>
    </row>
    <row r="768" spans="1:21" x14ac:dyDescent="0.25">
      <c r="A768" s="1" t="s">
        <v>780</v>
      </c>
      <c r="B768" s="4">
        <v>44948</v>
      </c>
      <c r="C768" s="1" t="s">
        <v>1977</v>
      </c>
      <c r="D768" s="1" t="s">
        <v>2407</v>
      </c>
      <c r="E768" s="1">
        <v>2</v>
      </c>
      <c r="F768" s="1">
        <v>278.88</v>
      </c>
      <c r="G768" s="1" t="s">
        <v>2704</v>
      </c>
      <c r="H768" s="1" t="s">
        <v>3065</v>
      </c>
      <c r="I768" s="1" t="s">
        <v>3074</v>
      </c>
      <c r="J768" s="1" t="s">
        <v>3841</v>
      </c>
      <c r="K768" s="1">
        <v>3</v>
      </c>
      <c r="L768" s="1" t="s">
        <v>4276</v>
      </c>
      <c r="M768" s="1" t="s">
        <v>4279</v>
      </c>
      <c r="N768" s="6" t="str">
        <f t="shared" si="23"/>
        <v>Jan</v>
      </c>
      <c r="O768" s="1">
        <v>557.76</v>
      </c>
      <c r="T768" s="4"/>
      <c r="U768" s="1" t="str">
        <f t="shared" si="24"/>
        <v>Normal</v>
      </c>
    </row>
    <row r="769" spans="1:21" x14ac:dyDescent="0.25">
      <c r="A769" s="1" t="s">
        <v>781</v>
      </c>
      <c r="B769" s="4">
        <v>45765</v>
      </c>
      <c r="C769" s="1" t="s">
        <v>1978</v>
      </c>
      <c r="D769" s="1" t="s">
        <v>2405</v>
      </c>
      <c r="E769" s="1">
        <v>2</v>
      </c>
      <c r="F769" s="1">
        <v>323.22000000000003</v>
      </c>
      <c r="G769" s="1" t="s">
        <v>2912</v>
      </c>
      <c r="H769" s="1" t="s">
        <v>3067</v>
      </c>
      <c r="I769" s="1" t="s">
        <v>3073</v>
      </c>
      <c r="J769" s="1" t="s">
        <v>3842</v>
      </c>
      <c r="K769" s="1">
        <v>7</v>
      </c>
      <c r="L769" s="1" t="s">
        <v>4283</v>
      </c>
      <c r="M769" s="1" t="s">
        <v>4278</v>
      </c>
      <c r="N769" s="6" t="str">
        <f t="shared" si="23"/>
        <v>Apr</v>
      </c>
      <c r="O769" s="1">
        <v>646.44000000000005</v>
      </c>
      <c r="T769" s="4"/>
      <c r="U769" s="1" t="str">
        <f t="shared" si="24"/>
        <v>Normal</v>
      </c>
    </row>
    <row r="770" spans="1:21" x14ac:dyDescent="0.25">
      <c r="A770" s="1" t="s">
        <v>782</v>
      </c>
      <c r="B770" s="4">
        <v>45173</v>
      </c>
      <c r="C770" s="1" t="s">
        <v>1979</v>
      </c>
      <c r="D770" s="1" t="s">
        <v>2405</v>
      </c>
      <c r="E770" s="1">
        <v>5</v>
      </c>
      <c r="F770" s="1">
        <v>653.46</v>
      </c>
      <c r="G770" s="1" t="s">
        <v>2913</v>
      </c>
      <c r="H770" s="1" t="s">
        <v>3069</v>
      </c>
      <c r="I770" s="1" t="s">
        <v>3071</v>
      </c>
      <c r="J770" s="1" t="s">
        <v>3843</v>
      </c>
      <c r="K770" s="1">
        <v>9</v>
      </c>
      <c r="L770" s="1" t="s">
        <v>4277</v>
      </c>
      <c r="M770" s="1" t="s">
        <v>4280</v>
      </c>
      <c r="N770" s="6" t="str">
        <f t="shared" ref="N770:N833" si="25">TEXT(B770,"MMM")</f>
        <v>Sep</v>
      </c>
      <c r="O770" s="1">
        <v>3267.3</v>
      </c>
      <c r="T770" s="4"/>
      <c r="U770" s="1" t="str">
        <f t="shared" si="24"/>
        <v>Normal</v>
      </c>
    </row>
    <row r="771" spans="1:21" x14ac:dyDescent="0.25">
      <c r="A771" s="1" t="s">
        <v>783</v>
      </c>
      <c r="B771" s="4">
        <v>45113</v>
      </c>
      <c r="C771" s="1" t="s">
        <v>1980</v>
      </c>
      <c r="D771" s="1" t="s">
        <v>2407</v>
      </c>
      <c r="E771" s="1">
        <v>4</v>
      </c>
      <c r="F771" s="1">
        <v>678.55</v>
      </c>
      <c r="G771" s="1" t="s">
        <v>2438</v>
      </c>
      <c r="H771" s="1" t="s">
        <v>3069</v>
      </c>
      <c r="I771" s="1" t="s">
        <v>3073</v>
      </c>
      <c r="J771" s="1" t="s">
        <v>3844</v>
      </c>
      <c r="K771" s="1">
        <v>5</v>
      </c>
      <c r="L771" s="1" t="s">
        <v>4283</v>
      </c>
      <c r="M771" s="1" t="s">
        <v>4280</v>
      </c>
      <c r="N771" s="6" t="str">
        <f t="shared" si="25"/>
        <v>Jul</v>
      </c>
      <c r="O771" s="1">
        <v>2714.2</v>
      </c>
      <c r="T771" s="4"/>
      <c r="U771" s="1" t="str">
        <f t="shared" ref="U771:U834" si="26">IF(O771&gt;$S$2,"Outlier","Normal")</f>
        <v>Normal</v>
      </c>
    </row>
    <row r="772" spans="1:21" x14ac:dyDescent="0.25">
      <c r="A772" s="1" t="s">
        <v>784</v>
      </c>
      <c r="B772" s="4">
        <v>45333</v>
      </c>
      <c r="C772" s="1" t="s">
        <v>1981</v>
      </c>
      <c r="D772" s="1" t="s">
        <v>2409</v>
      </c>
      <c r="E772" s="1">
        <v>1</v>
      </c>
      <c r="F772" s="1">
        <v>314.38</v>
      </c>
      <c r="G772" s="1" t="s">
        <v>2757</v>
      </c>
      <c r="H772" s="1" t="s">
        <v>3066</v>
      </c>
      <c r="I772" s="1" t="s">
        <v>3072</v>
      </c>
      <c r="J772" s="1" t="s">
        <v>3845</v>
      </c>
      <c r="K772" s="1">
        <v>6</v>
      </c>
      <c r="L772" s="1" t="s">
        <v>4283</v>
      </c>
      <c r="M772" s="1" t="s">
        <v>4282</v>
      </c>
      <c r="N772" s="6" t="str">
        <f t="shared" si="25"/>
        <v>Feb</v>
      </c>
      <c r="O772" s="1">
        <v>314.38</v>
      </c>
      <c r="T772" s="4"/>
      <c r="U772" s="1" t="str">
        <f t="shared" si="26"/>
        <v>Normal</v>
      </c>
    </row>
    <row r="773" spans="1:21" x14ac:dyDescent="0.25">
      <c r="A773" s="1" t="s">
        <v>785</v>
      </c>
      <c r="B773" s="4">
        <v>45455</v>
      </c>
      <c r="C773" s="1" t="s">
        <v>1982</v>
      </c>
      <c r="D773" s="1" t="s">
        <v>2404</v>
      </c>
      <c r="E773" s="1">
        <v>3</v>
      </c>
      <c r="F773" s="1">
        <v>692.44</v>
      </c>
      <c r="G773" s="1" t="s">
        <v>2724</v>
      </c>
      <c r="H773" s="1" t="s">
        <v>3065</v>
      </c>
      <c r="I773" s="1" t="s">
        <v>3071</v>
      </c>
      <c r="J773" s="1" t="s">
        <v>3846</v>
      </c>
      <c r="K773" s="1">
        <v>8</v>
      </c>
      <c r="L773" s="1" t="s">
        <v>4276</v>
      </c>
      <c r="M773" s="1" t="s">
        <v>4282</v>
      </c>
      <c r="N773" s="6" t="str">
        <f t="shared" si="25"/>
        <v>Jun</v>
      </c>
      <c r="O773" s="1">
        <v>2077.3200000000002</v>
      </c>
      <c r="T773" s="4"/>
      <c r="U773" s="1" t="str">
        <f t="shared" si="26"/>
        <v>Normal</v>
      </c>
    </row>
    <row r="774" spans="1:21" x14ac:dyDescent="0.25">
      <c r="A774" s="1" t="s">
        <v>786</v>
      </c>
      <c r="B774" s="4">
        <v>45501</v>
      </c>
      <c r="C774" s="1" t="s">
        <v>1983</v>
      </c>
      <c r="D774" s="1" t="s">
        <v>2403</v>
      </c>
      <c r="E774" s="1">
        <v>1</v>
      </c>
      <c r="F774" s="1">
        <v>604.87</v>
      </c>
      <c r="G774" s="1" t="s">
        <v>2914</v>
      </c>
      <c r="H774" s="1" t="s">
        <v>3066</v>
      </c>
      <c r="I774" s="1" t="s">
        <v>3073</v>
      </c>
      <c r="J774" s="1" t="s">
        <v>3847</v>
      </c>
      <c r="K774" s="1">
        <v>4</v>
      </c>
      <c r="L774" s="1" t="s">
        <v>4283</v>
      </c>
      <c r="M774" s="1" t="s">
        <v>4278</v>
      </c>
      <c r="N774" s="6" t="str">
        <f t="shared" si="25"/>
        <v>Jul</v>
      </c>
      <c r="O774" s="1">
        <v>604.87</v>
      </c>
      <c r="T774" s="4"/>
      <c r="U774" s="1" t="str">
        <f t="shared" si="26"/>
        <v>Normal</v>
      </c>
    </row>
    <row r="775" spans="1:21" x14ac:dyDescent="0.25">
      <c r="A775" s="1" t="s">
        <v>787</v>
      </c>
      <c r="B775" s="4">
        <v>45836</v>
      </c>
      <c r="C775" s="1" t="s">
        <v>1984</v>
      </c>
      <c r="D775" s="1" t="s">
        <v>2404</v>
      </c>
      <c r="E775" s="1">
        <v>2</v>
      </c>
      <c r="F775" s="1">
        <v>512.33000000000004</v>
      </c>
      <c r="G775" s="1" t="s">
        <v>2915</v>
      </c>
      <c r="H775" s="1" t="s">
        <v>3069</v>
      </c>
      <c r="I775" s="1" t="s">
        <v>3071</v>
      </c>
      <c r="J775" s="1" t="s">
        <v>3848</v>
      </c>
      <c r="K775" s="1">
        <v>7</v>
      </c>
      <c r="L775" s="1" t="s">
        <v>4283</v>
      </c>
      <c r="M775" s="1" t="s">
        <v>4281</v>
      </c>
      <c r="N775" s="6" t="str">
        <f t="shared" si="25"/>
        <v>Jun</v>
      </c>
      <c r="O775" s="1">
        <v>1024.6600000000001</v>
      </c>
      <c r="T775" s="4"/>
      <c r="U775" s="1" t="str">
        <f t="shared" si="26"/>
        <v>Normal</v>
      </c>
    </row>
    <row r="776" spans="1:21" x14ac:dyDescent="0.25">
      <c r="A776" s="1" t="s">
        <v>788</v>
      </c>
      <c r="B776" s="4">
        <v>45762</v>
      </c>
      <c r="C776" s="1" t="s">
        <v>1985</v>
      </c>
      <c r="D776" s="1" t="s">
        <v>2406</v>
      </c>
      <c r="E776" s="1">
        <v>3</v>
      </c>
      <c r="F776" s="1">
        <v>20.54</v>
      </c>
      <c r="G776" s="1" t="s">
        <v>2916</v>
      </c>
      <c r="H776" s="1" t="s">
        <v>3067</v>
      </c>
      <c r="I776" s="1" t="s">
        <v>3071</v>
      </c>
      <c r="J776" s="1" t="s">
        <v>3849</v>
      </c>
      <c r="K776" s="1">
        <v>3</v>
      </c>
      <c r="L776" s="1" t="s">
        <v>4276</v>
      </c>
      <c r="M776" s="1" t="s">
        <v>4278</v>
      </c>
      <c r="N776" s="6" t="str">
        <f t="shared" si="25"/>
        <v>Apr</v>
      </c>
      <c r="O776" s="1">
        <v>61.62</v>
      </c>
      <c r="T776" s="4"/>
      <c r="U776" s="1" t="str">
        <f t="shared" si="26"/>
        <v>Normal</v>
      </c>
    </row>
    <row r="777" spans="1:21" x14ac:dyDescent="0.25">
      <c r="A777" s="1" t="s">
        <v>789</v>
      </c>
      <c r="B777" s="4">
        <v>44989</v>
      </c>
      <c r="C777" s="1" t="s">
        <v>1986</v>
      </c>
      <c r="D777" s="1" t="s">
        <v>2404</v>
      </c>
      <c r="E777" s="1">
        <v>2</v>
      </c>
      <c r="F777" s="1">
        <v>625.22</v>
      </c>
      <c r="G777" s="1" t="s">
        <v>2431</v>
      </c>
      <c r="H777" s="1" t="s">
        <v>3066</v>
      </c>
      <c r="I777" s="1" t="s">
        <v>3071</v>
      </c>
      <c r="J777" s="1" t="s">
        <v>3850</v>
      </c>
      <c r="K777" s="1">
        <v>5</v>
      </c>
      <c r="L777" s="1" t="s">
        <v>4283</v>
      </c>
      <c r="M777" s="1" t="s">
        <v>4282</v>
      </c>
      <c r="N777" s="6" t="str">
        <f t="shared" si="25"/>
        <v>Mar</v>
      </c>
      <c r="O777" s="1">
        <v>1250.44</v>
      </c>
      <c r="T777" s="4"/>
      <c r="U777" s="1" t="str">
        <f t="shared" si="26"/>
        <v>Normal</v>
      </c>
    </row>
    <row r="778" spans="1:21" x14ac:dyDescent="0.25">
      <c r="A778" s="1" t="s">
        <v>790</v>
      </c>
      <c r="B778" s="4">
        <v>45159</v>
      </c>
      <c r="C778" s="1" t="s">
        <v>1987</v>
      </c>
      <c r="D778" s="1" t="s">
        <v>2405</v>
      </c>
      <c r="E778" s="1">
        <v>1</v>
      </c>
      <c r="F778" s="1">
        <v>21.19</v>
      </c>
      <c r="G778" s="1" t="s">
        <v>2917</v>
      </c>
      <c r="H778" s="1" t="s">
        <v>3069</v>
      </c>
      <c r="I778" s="1" t="s">
        <v>3072</v>
      </c>
      <c r="J778" s="1" t="s">
        <v>3851</v>
      </c>
      <c r="K778" s="1">
        <v>5</v>
      </c>
      <c r="L778" s="1" t="s">
        <v>4277</v>
      </c>
      <c r="M778" s="1" t="s">
        <v>4282</v>
      </c>
      <c r="N778" s="6" t="str">
        <f t="shared" si="25"/>
        <v>Aug</v>
      </c>
      <c r="O778" s="1">
        <v>21.19</v>
      </c>
      <c r="T778" s="4"/>
      <c r="U778" s="1" t="str">
        <f t="shared" si="26"/>
        <v>Normal</v>
      </c>
    </row>
    <row r="779" spans="1:21" x14ac:dyDescent="0.25">
      <c r="A779" s="1" t="s">
        <v>791</v>
      </c>
      <c r="B779" s="4">
        <v>45737</v>
      </c>
      <c r="C779" s="1" t="s">
        <v>1988</v>
      </c>
      <c r="D779" s="1" t="s">
        <v>2406</v>
      </c>
      <c r="E779" s="1">
        <v>5</v>
      </c>
      <c r="F779" s="1">
        <v>64.489999999999995</v>
      </c>
      <c r="G779" s="1" t="s">
        <v>2432</v>
      </c>
      <c r="H779" s="1" t="s">
        <v>3066</v>
      </c>
      <c r="I779" s="1" t="s">
        <v>3071</v>
      </c>
      <c r="J779" s="1" t="s">
        <v>3852</v>
      </c>
      <c r="K779" s="1">
        <v>7</v>
      </c>
      <c r="L779" s="1" t="s">
        <v>4283</v>
      </c>
      <c r="M779" s="1" t="s">
        <v>4281</v>
      </c>
      <c r="N779" s="6" t="str">
        <f t="shared" si="25"/>
        <v>Mar</v>
      </c>
      <c r="O779" s="1">
        <v>322.45</v>
      </c>
      <c r="T779" s="4"/>
      <c r="U779" s="1" t="str">
        <f t="shared" si="26"/>
        <v>Normal</v>
      </c>
    </row>
    <row r="780" spans="1:21" x14ac:dyDescent="0.25">
      <c r="A780" s="1" t="s">
        <v>792</v>
      </c>
      <c r="B780" s="4">
        <v>45044</v>
      </c>
      <c r="C780" s="1" t="s">
        <v>1989</v>
      </c>
      <c r="D780" s="1" t="s">
        <v>2408</v>
      </c>
      <c r="E780" s="1">
        <v>4</v>
      </c>
      <c r="F780" s="1">
        <v>246.85</v>
      </c>
      <c r="G780" s="1" t="s">
        <v>2918</v>
      </c>
      <c r="H780" s="1" t="s">
        <v>3067</v>
      </c>
      <c r="I780" s="1" t="s">
        <v>3070</v>
      </c>
      <c r="J780" s="1" t="s">
        <v>3853</v>
      </c>
      <c r="K780" s="1">
        <v>8</v>
      </c>
      <c r="L780" s="1" t="s">
        <v>4277</v>
      </c>
      <c r="M780" s="1" t="s">
        <v>4282</v>
      </c>
      <c r="N780" s="6" t="str">
        <f t="shared" si="25"/>
        <v>Apr</v>
      </c>
      <c r="O780" s="1">
        <v>987.4</v>
      </c>
      <c r="T780" s="4"/>
      <c r="U780" s="1" t="str">
        <f t="shared" si="26"/>
        <v>Normal</v>
      </c>
    </row>
    <row r="781" spans="1:21" x14ac:dyDescent="0.25">
      <c r="A781" s="1" t="s">
        <v>793</v>
      </c>
      <c r="B781" s="4">
        <v>45261</v>
      </c>
      <c r="C781" s="1" t="s">
        <v>1990</v>
      </c>
      <c r="D781" s="1" t="s">
        <v>2404</v>
      </c>
      <c r="E781" s="1">
        <v>3</v>
      </c>
      <c r="F781" s="1">
        <v>588.74</v>
      </c>
      <c r="G781" s="1" t="s">
        <v>2919</v>
      </c>
      <c r="H781" s="1" t="s">
        <v>3065</v>
      </c>
      <c r="I781" s="1" t="s">
        <v>3074</v>
      </c>
      <c r="J781" s="1" t="s">
        <v>3854</v>
      </c>
      <c r="K781" s="1">
        <v>8</v>
      </c>
      <c r="L781" s="1" t="s">
        <v>4276</v>
      </c>
      <c r="M781" s="1" t="s">
        <v>4280</v>
      </c>
      <c r="N781" s="6" t="str">
        <f t="shared" si="25"/>
        <v>Dec</v>
      </c>
      <c r="O781" s="1">
        <v>1766.22</v>
      </c>
      <c r="T781" s="4"/>
      <c r="U781" s="1" t="str">
        <f t="shared" si="26"/>
        <v>Normal</v>
      </c>
    </row>
    <row r="782" spans="1:21" x14ac:dyDescent="0.25">
      <c r="A782" s="1" t="s">
        <v>794</v>
      </c>
      <c r="B782" s="4">
        <v>45382</v>
      </c>
      <c r="C782" s="1" t="s">
        <v>1991</v>
      </c>
      <c r="D782" s="1" t="s">
        <v>2408</v>
      </c>
      <c r="E782" s="1">
        <v>4</v>
      </c>
      <c r="F782" s="1">
        <v>184.48</v>
      </c>
      <c r="G782" s="1" t="s">
        <v>2755</v>
      </c>
      <c r="H782" s="1" t="s">
        <v>3066</v>
      </c>
      <c r="I782" s="1" t="s">
        <v>3071</v>
      </c>
      <c r="J782" s="1" t="s">
        <v>3855</v>
      </c>
      <c r="K782" s="1">
        <v>4</v>
      </c>
      <c r="L782" s="1" t="s">
        <v>4277</v>
      </c>
      <c r="M782" s="1" t="s">
        <v>4282</v>
      </c>
      <c r="N782" s="6" t="str">
        <f t="shared" si="25"/>
        <v>Mar</v>
      </c>
      <c r="O782" s="1">
        <v>737.92</v>
      </c>
      <c r="T782" s="4"/>
      <c r="U782" s="1" t="str">
        <f t="shared" si="26"/>
        <v>Normal</v>
      </c>
    </row>
    <row r="783" spans="1:21" x14ac:dyDescent="0.25">
      <c r="A783" s="1" t="s">
        <v>795</v>
      </c>
      <c r="B783" s="4">
        <v>45301</v>
      </c>
      <c r="C783" s="1" t="s">
        <v>1992</v>
      </c>
      <c r="D783" s="1" t="s">
        <v>2404</v>
      </c>
      <c r="E783" s="1">
        <v>5</v>
      </c>
      <c r="F783" s="1">
        <v>524.26</v>
      </c>
      <c r="G783" s="1" t="s">
        <v>2415</v>
      </c>
      <c r="H783" s="1" t="s">
        <v>3068</v>
      </c>
      <c r="I783" s="1" t="s">
        <v>3073</v>
      </c>
      <c r="J783" s="1" t="s">
        <v>3856</v>
      </c>
      <c r="K783" s="1">
        <v>5</v>
      </c>
      <c r="L783" s="1" t="s">
        <v>4276</v>
      </c>
      <c r="M783" s="1" t="s">
        <v>4279</v>
      </c>
      <c r="N783" s="6" t="str">
        <f t="shared" si="25"/>
        <v>Jan</v>
      </c>
      <c r="O783" s="1">
        <v>2621.3000000000002</v>
      </c>
      <c r="T783" s="4"/>
      <c r="U783" s="1" t="str">
        <f t="shared" si="26"/>
        <v>Normal</v>
      </c>
    </row>
    <row r="784" spans="1:21" x14ac:dyDescent="0.25">
      <c r="A784" s="1" t="s">
        <v>796</v>
      </c>
      <c r="B784" s="4">
        <v>45515</v>
      </c>
      <c r="C784" s="1" t="s">
        <v>1993</v>
      </c>
      <c r="D784" s="1" t="s">
        <v>2403</v>
      </c>
      <c r="E784" s="1">
        <v>2</v>
      </c>
      <c r="F784" s="1">
        <v>493.63</v>
      </c>
      <c r="G784" s="1" t="s">
        <v>2824</v>
      </c>
      <c r="H784" s="1" t="s">
        <v>3066</v>
      </c>
      <c r="I784" s="1" t="s">
        <v>3072</v>
      </c>
      <c r="J784" s="1" t="s">
        <v>3857</v>
      </c>
      <c r="K784" s="1">
        <v>6</v>
      </c>
      <c r="L784" s="1" t="s">
        <v>4275</v>
      </c>
      <c r="M784" s="1" t="s">
        <v>4279</v>
      </c>
      <c r="N784" s="6" t="str">
        <f t="shared" si="25"/>
        <v>Aug</v>
      </c>
      <c r="O784" s="1">
        <v>987.26</v>
      </c>
      <c r="T784" s="4"/>
      <c r="U784" s="1" t="str">
        <f t="shared" si="26"/>
        <v>Normal</v>
      </c>
    </row>
    <row r="785" spans="1:21" x14ac:dyDescent="0.25">
      <c r="A785" s="1" t="s">
        <v>797</v>
      </c>
      <c r="B785" s="4">
        <v>45803</v>
      </c>
      <c r="C785" s="1" t="s">
        <v>1994</v>
      </c>
      <c r="D785" s="1" t="s">
        <v>2407</v>
      </c>
      <c r="E785" s="1">
        <v>1</v>
      </c>
      <c r="F785" s="1">
        <v>438.34</v>
      </c>
      <c r="G785" s="1" t="s">
        <v>2888</v>
      </c>
      <c r="H785" s="1" t="s">
        <v>3068</v>
      </c>
      <c r="I785" s="1" t="s">
        <v>3072</v>
      </c>
      <c r="J785" s="1" t="s">
        <v>3858</v>
      </c>
      <c r="K785" s="1">
        <v>5</v>
      </c>
      <c r="L785" s="1" t="s">
        <v>4276</v>
      </c>
      <c r="M785" s="1" t="s">
        <v>4281</v>
      </c>
      <c r="N785" s="6" t="str">
        <f t="shared" si="25"/>
        <v>May</v>
      </c>
      <c r="O785" s="1">
        <v>438.34</v>
      </c>
      <c r="T785" s="4"/>
      <c r="U785" s="1" t="str">
        <f t="shared" si="26"/>
        <v>Normal</v>
      </c>
    </row>
    <row r="786" spans="1:21" x14ac:dyDescent="0.25">
      <c r="A786" s="1" t="s">
        <v>798</v>
      </c>
      <c r="B786" s="4">
        <v>45793</v>
      </c>
      <c r="C786" s="1" t="s">
        <v>1995</v>
      </c>
      <c r="D786" s="1" t="s">
        <v>2408</v>
      </c>
      <c r="E786" s="1">
        <v>1</v>
      </c>
      <c r="F786" s="1">
        <v>325.81</v>
      </c>
      <c r="G786" s="1" t="s">
        <v>2459</v>
      </c>
      <c r="H786" s="1" t="s">
        <v>3067</v>
      </c>
      <c r="I786" s="1" t="s">
        <v>3074</v>
      </c>
      <c r="J786" s="1" t="s">
        <v>3859</v>
      </c>
      <c r="K786" s="1">
        <v>1</v>
      </c>
      <c r="L786" s="1" t="s">
        <v>4277</v>
      </c>
      <c r="M786" s="1" t="s">
        <v>4279</v>
      </c>
      <c r="N786" s="6" t="str">
        <f t="shared" si="25"/>
        <v>May</v>
      </c>
      <c r="O786" s="1">
        <v>325.81</v>
      </c>
      <c r="T786" s="4"/>
      <c r="U786" s="1" t="str">
        <f t="shared" si="26"/>
        <v>Normal</v>
      </c>
    </row>
    <row r="787" spans="1:21" x14ac:dyDescent="0.25">
      <c r="A787" s="1" t="s">
        <v>799</v>
      </c>
      <c r="B787" s="4">
        <v>45136</v>
      </c>
      <c r="C787" s="1" t="s">
        <v>1996</v>
      </c>
      <c r="D787" s="1" t="s">
        <v>2406</v>
      </c>
      <c r="E787" s="1">
        <v>1</v>
      </c>
      <c r="F787" s="1">
        <v>176.1</v>
      </c>
      <c r="G787" s="1" t="s">
        <v>2920</v>
      </c>
      <c r="H787" s="1" t="s">
        <v>3067</v>
      </c>
      <c r="I787" s="1" t="s">
        <v>3074</v>
      </c>
      <c r="J787" s="1" t="s">
        <v>3860</v>
      </c>
      <c r="K787" s="1">
        <v>1</v>
      </c>
      <c r="L787" s="1" t="s">
        <v>4275</v>
      </c>
      <c r="M787" s="1" t="s">
        <v>4278</v>
      </c>
      <c r="N787" s="6" t="str">
        <f t="shared" si="25"/>
        <v>Jul</v>
      </c>
      <c r="O787" s="1">
        <v>176.1</v>
      </c>
      <c r="T787" s="4"/>
      <c r="U787" s="1" t="str">
        <f t="shared" si="26"/>
        <v>Normal</v>
      </c>
    </row>
    <row r="788" spans="1:21" x14ac:dyDescent="0.25">
      <c r="A788" s="1" t="s">
        <v>800</v>
      </c>
      <c r="B788" s="4">
        <v>45161</v>
      </c>
      <c r="C788" s="1" t="s">
        <v>1997</v>
      </c>
      <c r="D788" s="1" t="s">
        <v>2406</v>
      </c>
      <c r="E788" s="1">
        <v>5</v>
      </c>
      <c r="F788" s="1">
        <v>45.31</v>
      </c>
      <c r="G788" s="1" t="s">
        <v>2921</v>
      </c>
      <c r="H788" s="1" t="s">
        <v>3066</v>
      </c>
      <c r="I788" s="1" t="s">
        <v>3071</v>
      </c>
      <c r="J788" s="1" t="s">
        <v>3861</v>
      </c>
      <c r="K788" s="1">
        <v>8</v>
      </c>
      <c r="L788" s="1" t="s">
        <v>4283</v>
      </c>
      <c r="M788" s="1" t="s">
        <v>4279</v>
      </c>
      <c r="N788" s="6" t="str">
        <f t="shared" si="25"/>
        <v>Aug</v>
      </c>
      <c r="O788" s="1">
        <v>226.55</v>
      </c>
      <c r="T788" s="4"/>
      <c r="U788" s="1" t="str">
        <f t="shared" si="26"/>
        <v>Normal</v>
      </c>
    </row>
    <row r="789" spans="1:21" x14ac:dyDescent="0.25">
      <c r="A789" s="1" t="s">
        <v>801</v>
      </c>
      <c r="B789" s="4">
        <v>45368</v>
      </c>
      <c r="C789" s="1" t="s">
        <v>1998</v>
      </c>
      <c r="D789" s="1" t="s">
        <v>2409</v>
      </c>
      <c r="E789" s="1">
        <v>4</v>
      </c>
      <c r="F789" s="1">
        <v>221.96</v>
      </c>
      <c r="G789" s="1" t="s">
        <v>2922</v>
      </c>
      <c r="H789" s="1" t="s">
        <v>3069</v>
      </c>
      <c r="I789" s="1" t="s">
        <v>3073</v>
      </c>
      <c r="J789" s="1" t="s">
        <v>3862</v>
      </c>
      <c r="K789" s="1">
        <v>7</v>
      </c>
      <c r="L789" s="1" t="s">
        <v>4283</v>
      </c>
      <c r="M789" s="1" t="s">
        <v>4282</v>
      </c>
      <c r="N789" s="6" t="str">
        <f t="shared" si="25"/>
        <v>Mar</v>
      </c>
      <c r="O789" s="1">
        <v>887.84</v>
      </c>
      <c r="T789" s="4"/>
      <c r="U789" s="1" t="str">
        <f t="shared" si="26"/>
        <v>Normal</v>
      </c>
    </row>
    <row r="790" spans="1:21" x14ac:dyDescent="0.25">
      <c r="A790" s="1" t="s">
        <v>802</v>
      </c>
      <c r="B790" s="4">
        <v>45232</v>
      </c>
      <c r="C790" s="1" t="s">
        <v>1999</v>
      </c>
      <c r="D790" s="1" t="s">
        <v>2406</v>
      </c>
      <c r="E790" s="1">
        <v>2</v>
      </c>
      <c r="F790" s="1">
        <v>601.42999999999995</v>
      </c>
      <c r="G790" s="1" t="s">
        <v>2923</v>
      </c>
      <c r="H790" s="1" t="s">
        <v>3066</v>
      </c>
      <c r="I790" s="1" t="s">
        <v>3074</v>
      </c>
      <c r="J790" s="1" t="s">
        <v>3863</v>
      </c>
      <c r="K790" s="1">
        <v>5</v>
      </c>
      <c r="L790" s="1" t="s">
        <v>4276</v>
      </c>
      <c r="M790" s="1" t="s">
        <v>4278</v>
      </c>
      <c r="N790" s="6" t="str">
        <f t="shared" si="25"/>
        <v>Nov</v>
      </c>
      <c r="O790" s="1">
        <v>1202.8599999999999</v>
      </c>
      <c r="T790" s="4"/>
      <c r="U790" s="1" t="str">
        <f t="shared" si="26"/>
        <v>Normal</v>
      </c>
    </row>
    <row r="791" spans="1:21" x14ac:dyDescent="0.25">
      <c r="A791" s="1" t="s">
        <v>803</v>
      </c>
      <c r="B791" s="4">
        <v>45155</v>
      </c>
      <c r="C791" s="1" t="s">
        <v>2000</v>
      </c>
      <c r="D791" s="1" t="s">
        <v>2405</v>
      </c>
      <c r="E791" s="1">
        <v>5</v>
      </c>
      <c r="F791" s="1">
        <v>691.28</v>
      </c>
      <c r="G791" s="1" t="s">
        <v>2924</v>
      </c>
      <c r="H791" s="1" t="s">
        <v>3066</v>
      </c>
      <c r="I791" s="1" t="s">
        <v>3073</v>
      </c>
      <c r="J791" s="1" t="s">
        <v>3864</v>
      </c>
      <c r="K791" s="1">
        <v>10</v>
      </c>
      <c r="L791" s="1" t="s">
        <v>4275</v>
      </c>
      <c r="M791" s="1" t="s">
        <v>4280</v>
      </c>
      <c r="N791" s="6" t="str">
        <f t="shared" si="25"/>
        <v>Aug</v>
      </c>
      <c r="O791" s="1">
        <v>3456.4</v>
      </c>
      <c r="T791" s="4"/>
      <c r="U791" s="1" t="str">
        <f t="shared" si="26"/>
        <v>Outlier</v>
      </c>
    </row>
    <row r="792" spans="1:21" x14ac:dyDescent="0.25">
      <c r="A792" s="1" t="s">
        <v>804</v>
      </c>
      <c r="B792" s="4">
        <v>45549</v>
      </c>
      <c r="C792" s="1" t="s">
        <v>2001</v>
      </c>
      <c r="D792" s="1" t="s">
        <v>2408</v>
      </c>
      <c r="E792" s="1">
        <v>4</v>
      </c>
      <c r="F792" s="1">
        <v>417.89</v>
      </c>
      <c r="G792" s="1" t="s">
        <v>2925</v>
      </c>
      <c r="H792" s="1" t="s">
        <v>3068</v>
      </c>
      <c r="I792" s="1" t="s">
        <v>3074</v>
      </c>
      <c r="J792" s="1" t="s">
        <v>3865</v>
      </c>
      <c r="K792" s="1">
        <v>4</v>
      </c>
      <c r="L792" s="1" t="s">
        <v>4283</v>
      </c>
      <c r="M792" s="1" t="s">
        <v>4282</v>
      </c>
      <c r="N792" s="6" t="str">
        <f t="shared" si="25"/>
        <v>Sep</v>
      </c>
      <c r="O792" s="1">
        <v>1671.56</v>
      </c>
      <c r="T792" s="4"/>
      <c r="U792" s="1" t="str">
        <f t="shared" si="26"/>
        <v>Normal</v>
      </c>
    </row>
    <row r="793" spans="1:21" x14ac:dyDescent="0.25">
      <c r="A793" s="1" t="s">
        <v>805</v>
      </c>
      <c r="B793" s="4">
        <v>45304</v>
      </c>
      <c r="C793" s="1" t="s">
        <v>2002</v>
      </c>
      <c r="D793" s="1" t="s">
        <v>2406</v>
      </c>
      <c r="E793" s="1">
        <v>4</v>
      </c>
      <c r="F793" s="1">
        <v>409.28</v>
      </c>
      <c r="G793" s="1" t="s">
        <v>2434</v>
      </c>
      <c r="H793" s="1" t="s">
        <v>3069</v>
      </c>
      <c r="I793" s="1" t="s">
        <v>3074</v>
      </c>
      <c r="J793" s="1" t="s">
        <v>3866</v>
      </c>
      <c r="K793" s="1">
        <v>8</v>
      </c>
      <c r="L793" s="1" t="s">
        <v>4283</v>
      </c>
      <c r="M793" s="1" t="s">
        <v>4280</v>
      </c>
      <c r="N793" s="6" t="str">
        <f t="shared" si="25"/>
        <v>Jan</v>
      </c>
      <c r="O793" s="1">
        <v>1637.12</v>
      </c>
      <c r="T793" s="4"/>
      <c r="U793" s="1" t="str">
        <f t="shared" si="26"/>
        <v>Normal</v>
      </c>
    </row>
    <row r="794" spans="1:21" x14ac:dyDescent="0.25">
      <c r="A794" s="1" t="s">
        <v>806</v>
      </c>
      <c r="B794" s="4">
        <v>45093</v>
      </c>
      <c r="C794" s="1" t="s">
        <v>2003</v>
      </c>
      <c r="D794" s="1" t="s">
        <v>2409</v>
      </c>
      <c r="E794" s="1">
        <v>2</v>
      </c>
      <c r="F794" s="1">
        <v>356.35</v>
      </c>
      <c r="G794" s="1" t="s">
        <v>2926</v>
      </c>
      <c r="H794" s="1" t="s">
        <v>3065</v>
      </c>
      <c r="I794" s="1" t="s">
        <v>3072</v>
      </c>
      <c r="J794" s="1" t="s">
        <v>3867</v>
      </c>
      <c r="K794" s="1">
        <v>6</v>
      </c>
      <c r="L794" s="1" t="s">
        <v>4277</v>
      </c>
      <c r="M794" s="1" t="s">
        <v>4281</v>
      </c>
      <c r="N794" s="6" t="str">
        <f t="shared" si="25"/>
        <v>Jun</v>
      </c>
      <c r="O794" s="1">
        <v>712.7</v>
      </c>
      <c r="T794" s="4"/>
      <c r="U794" s="1" t="str">
        <f t="shared" si="26"/>
        <v>Normal</v>
      </c>
    </row>
    <row r="795" spans="1:21" x14ac:dyDescent="0.25">
      <c r="A795" s="1" t="s">
        <v>807</v>
      </c>
      <c r="B795" s="4">
        <v>45397</v>
      </c>
      <c r="C795" s="1" t="s">
        <v>2004</v>
      </c>
      <c r="D795" s="1" t="s">
        <v>2406</v>
      </c>
      <c r="E795" s="1">
        <v>5</v>
      </c>
      <c r="F795" s="1">
        <v>170.22</v>
      </c>
      <c r="G795" s="1" t="s">
        <v>2745</v>
      </c>
      <c r="H795" s="1" t="s">
        <v>3065</v>
      </c>
      <c r="I795" s="1" t="s">
        <v>3073</v>
      </c>
      <c r="J795" s="1" t="s">
        <v>3868</v>
      </c>
      <c r="K795" s="1">
        <v>8</v>
      </c>
      <c r="L795" s="1" t="s">
        <v>4283</v>
      </c>
      <c r="M795" s="1" t="s">
        <v>4279</v>
      </c>
      <c r="N795" s="6" t="str">
        <f t="shared" si="25"/>
        <v>Apr</v>
      </c>
      <c r="O795" s="1">
        <v>851.1</v>
      </c>
      <c r="T795" s="4"/>
      <c r="U795" s="1" t="str">
        <f t="shared" si="26"/>
        <v>Normal</v>
      </c>
    </row>
    <row r="796" spans="1:21" x14ac:dyDescent="0.25">
      <c r="A796" s="1" t="s">
        <v>808</v>
      </c>
      <c r="B796" s="4">
        <v>44994</v>
      </c>
      <c r="C796" s="1" t="s">
        <v>2005</v>
      </c>
      <c r="D796" s="1" t="s">
        <v>2407</v>
      </c>
      <c r="E796" s="1">
        <v>4</v>
      </c>
      <c r="F796" s="1">
        <v>384.85</v>
      </c>
      <c r="G796" s="1" t="s">
        <v>2927</v>
      </c>
      <c r="H796" s="1" t="s">
        <v>3066</v>
      </c>
      <c r="I796" s="1" t="s">
        <v>3073</v>
      </c>
      <c r="J796" s="1" t="s">
        <v>3869</v>
      </c>
      <c r="K796" s="1">
        <v>9</v>
      </c>
      <c r="L796" s="1" t="s">
        <v>4276</v>
      </c>
      <c r="M796" s="1" t="s">
        <v>4278</v>
      </c>
      <c r="N796" s="6" t="str">
        <f t="shared" si="25"/>
        <v>Mar</v>
      </c>
      <c r="O796" s="1">
        <v>1539.4</v>
      </c>
      <c r="T796" s="4"/>
      <c r="U796" s="1" t="str">
        <f t="shared" si="26"/>
        <v>Normal</v>
      </c>
    </row>
    <row r="797" spans="1:21" x14ac:dyDescent="0.25">
      <c r="A797" s="1" t="s">
        <v>809</v>
      </c>
      <c r="B797" s="4">
        <v>45616</v>
      </c>
      <c r="C797" s="1" t="s">
        <v>2006</v>
      </c>
      <c r="D797" s="1" t="s">
        <v>2408</v>
      </c>
      <c r="E797" s="1">
        <v>4</v>
      </c>
      <c r="F797" s="1">
        <v>115.77</v>
      </c>
      <c r="G797" s="1" t="s">
        <v>2928</v>
      </c>
      <c r="H797" s="1" t="s">
        <v>3066</v>
      </c>
      <c r="I797" s="1" t="s">
        <v>3074</v>
      </c>
      <c r="J797" s="1" t="s">
        <v>3870</v>
      </c>
      <c r="K797" s="1">
        <v>7</v>
      </c>
      <c r="L797" s="1" t="s">
        <v>4275</v>
      </c>
      <c r="M797" s="1" t="s">
        <v>4278</v>
      </c>
      <c r="N797" s="6" t="str">
        <f t="shared" si="25"/>
        <v>Nov</v>
      </c>
      <c r="O797" s="1">
        <v>463.08</v>
      </c>
      <c r="T797" s="4"/>
      <c r="U797" s="1" t="str">
        <f t="shared" si="26"/>
        <v>Normal</v>
      </c>
    </row>
    <row r="798" spans="1:21" x14ac:dyDescent="0.25">
      <c r="A798" s="1" t="s">
        <v>810</v>
      </c>
      <c r="B798" s="4">
        <v>45776</v>
      </c>
      <c r="C798" s="1" t="s">
        <v>2007</v>
      </c>
      <c r="D798" s="1" t="s">
        <v>2404</v>
      </c>
      <c r="E798" s="1">
        <v>3</v>
      </c>
      <c r="F798" s="1">
        <v>579.54999999999995</v>
      </c>
      <c r="G798" s="1" t="s">
        <v>2599</v>
      </c>
      <c r="H798" s="1" t="s">
        <v>3068</v>
      </c>
      <c r="I798" s="1" t="s">
        <v>3072</v>
      </c>
      <c r="J798" s="1" t="s">
        <v>3871</v>
      </c>
      <c r="K798" s="1">
        <v>8</v>
      </c>
      <c r="L798" s="1" t="s">
        <v>4277</v>
      </c>
      <c r="M798" s="1" t="s">
        <v>4281</v>
      </c>
      <c r="N798" s="6" t="str">
        <f t="shared" si="25"/>
        <v>Apr</v>
      </c>
      <c r="O798" s="1">
        <v>1738.65</v>
      </c>
      <c r="T798" s="4"/>
      <c r="U798" s="1" t="str">
        <f t="shared" si="26"/>
        <v>Normal</v>
      </c>
    </row>
    <row r="799" spans="1:21" x14ac:dyDescent="0.25">
      <c r="A799" s="1" t="s">
        <v>811</v>
      </c>
      <c r="B799" s="4">
        <v>44984</v>
      </c>
      <c r="C799" s="1" t="s">
        <v>2008</v>
      </c>
      <c r="D799" s="1" t="s">
        <v>2408</v>
      </c>
      <c r="E799" s="1">
        <v>2</v>
      </c>
      <c r="F799" s="1">
        <v>438.76</v>
      </c>
      <c r="G799" s="1" t="s">
        <v>2929</v>
      </c>
      <c r="H799" s="1" t="s">
        <v>3065</v>
      </c>
      <c r="I799" s="1" t="s">
        <v>3072</v>
      </c>
      <c r="J799" s="1" t="s">
        <v>3872</v>
      </c>
      <c r="K799" s="1">
        <v>2</v>
      </c>
      <c r="L799" s="1" t="s">
        <v>4283</v>
      </c>
      <c r="M799" s="1" t="s">
        <v>4281</v>
      </c>
      <c r="N799" s="6" t="str">
        <f t="shared" si="25"/>
        <v>Feb</v>
      </c>
      <c r="O799" s="1">
        <v>877.52</v>
      </c>
      <c r="T799" s="4"/>
      <c r="U799" s="1" t="str">
        <f t="shared" si="26"/>
        <v>Normal</v>
      </c>
    </row>
    <row r="800" spans="1:21" x14ac:dyDescent="0.25">
      <c r="A800" s="1" t="s">
        <v>812</v>
      </c>
      <c r="B800" s="4">
        <v>45796</v>
      </c>
      <c r="C800" s="1" t="s">
        <v>2009</v>
      </c>
      <c r="D800" s="1" t="s">
        <v>2404</v>
      </c>
      <c r="E800" s="1">
        <v>5</v>
      </c>
      <c r="F800" s="1">
        <v>488.35</v>
      </c>
      <c r="G800" s="1" t="s">
        <v>2672</v>
      </c>
      <c r="H800" s="1" t="s">
        <v>3065</v>
      </c>
      <c r="I800" s="1" t="s">
        <v>3072</v>
      </c>
      <c r="J800" s="1" t="s">
        <v>3873</v>
      </c>
      <c r="K800" s="1">
        <v>9</v>
      </c>
      <c r="L800" s="1" t="s">
        <v>4276</v>
      </c>
      <c r="M800" s="1" t="s">
        <v>4280</v>
      </c>
      <c r="N800" s="6" t="str">
        <f t="shared" si="25"/>
        <v>May</v>
      </c>
      <c r="O800" s="1">
        <v>2441.75</v>
      </c>
      <c r="T800" s="4"/>
      <c r="U800" s="1" t="str">
        <f t="shared" si="26"/>
        <v>Normal</v>
      </c>
    </row>
    <row r="801" spans="1:21" x14ac:dyDescent="0.25">
      <c r="A801" s="1" t="s">
        <v>813</v>
      </c>
      <c r="B801" s="4">
        <v>45032</v>
      </c>
      <c r="C801" s="1" t="s">
        <v>2010</v>
      </c>
      <c r="D801" s="1" t="s">
        <v>2408</v>
      </c>
      <c r="E801" s="1">
        <v>4</v>
      </c>
      <c r="F801" s="1">
        <v>328.56</v>
      </c>
      <c r="G801" s="1" t="s">
        <v>2638</v>
      </c>
      <c r="H801" s="1" t="s">
        <v>3065</v>
      </c>
      <c r="I801" s="1" t="s">
        <v>3072</v>
      </c>
      <c r="J801" s="1" t="s">
        <v>3874</v>
      </c>
      <c r="K801" s="1">
        <v>4</v>
      </c>
      <c r="L801" s="1" t="s">
        <v>4276</v>
      </c>
      <c r="M801" s="1" t="s">
        <v>4280</v>
      </c>
      <c r="N801" s="6" t="str">
        <f t="shared" si="25"/>
        <v>Apr</v>
      </c>
      <c r="O801" s="1">
        <v>1314.24</v>
      </c>
      <c r="T801" s="4"/>
      <c r="U801" s="1" t="str">
        <f t="shared" si="26"/>
        <v>Normal</v>
      </c>
    </row>
    <row r="802" spans="1:21" x14ac:dyDescent="0.25">
      <c r="A802" s="1" t="s">
        <v>814</v>
      </c>
      <c r="B802" s="4">
        <v>45744</v>
      </c>
      <c r="C802" s="1" t="s">
        <v>2011</v>
      </c>
      <c r="D802" s="1" t="s">
        <v>2405</v>
      </c>
      <c r="E802" s="1">
        <v>1</v>
      </c>
      <c r="F802" s="1">
        <v>68.39</v>
      </c>
      <c r="G802" s="1" t="s">
        <v>2930</v>
      </c>
      <c r="H802" s="1" t="s">
        <v>3066</v>
      </c>
      <c r="I802" s="1" t="s">
        <v>3072</v>
      </c>
      <c r="J802" s="1" t="s">
        <v>3875</v>
      </c>
      <c r="K802" s="1">
        <v>3</v>
      </c>
      <c r="L802" s="1" t="s">
        <v>4277</v>
      </c>
      <c r="M802" s="1" t="s">
        <v>4281</v>
      </c>
      <c r="N802" s="6" t="str">
        <f t="shared" si="25"/>
        <v>Mar</v>
      </c>
      <c r="O802" s="1">
        <v>68.39</v>
      </c>
      <c r="T802" s="4"/>
      <c r="U802" s="1" t="str">
        <f t="shared" si="26"/>
        <v>Normal</v>
      </c>
    </row>
    <row r="803" spans="1:21" x14ac:dyDescent="0.25">
      <c r="A803" s="1" t="s">
        <v>815</v>
      </c>
      <c r="B803" s="4">
        <v>45049</v>
      </c>
      <c r="C803" s="1" t="s">
        <v>1241</v>
      </c>
      <c r="D803" s="1" t="s">
        <v>2407</v>
      </c>
      <c r="E803" s="1">
        <v>4</v>
      </c>
      <c r="F803" s="1">
        <v>595.62</v>
      </c>
      <c r="G803" s="1" t="s">
        <v>2931</v>
      </c>
      <c r="H803" s="1" t="s">
        <v>3065</v>
      </c>
      <c r="I803" s="1" t="s">
        <v>3074</v>
      </c>
      <c r="J803" s="1" t="s">
        <v>3876</v>
      </c>
      <c r="K803" s="1">
        <v>8</v>
      </c>
      <c r="L803" s="1" t="s">
        <v>4276</v>
      </c>
      <c r="M803" s="1" t="s">
        <v>4281</v>
      </c>
      <c r="N803" s="6" t="str">
        <f t="shared" si="25"/>
        <v>May</v>
      </c>
      <c r="O803" s="1">
        <v>2382.48</v>
      </c>
      <c r="T803" s="4"/>
      <c r="U803" s="1" t="str">
        <f t="shared" si="26"/>
        <v>Normal</v>
      </c>
    </row>
    <row r="804" spans="1:21" x14ac:dyDescent="0.25">
      <c r="A804" s="1" t="s">
        <v>816</v>
      </c>
      <c r="B804" s="4">
        <v>45339</v>
      </c>
      <c r="C804" s="1" t="s">
        <v>2012</v>
      </c>
      <c r="D804" s="1" t="s">
        <v>2406</v>
      </c>
      <c r="E804" s="1">
        <v>5</v>
      </c>
      <c r="F804" s="1">
        <v>644.64</v>
      </c>
      <c r="G804" s="1" t="s">
        <v>2932</v>
      </c>
      <c r="H804" s="1" t="s">
        <v>3068</v>
      </c>
      <c r="I804" s="1" t="s">
        <v>3071</v>
      </c>
      <c r="J804" s="1" t="s">
        <v>3877</v>
      </c>
      <c r="K804" s="1">
        <v>6</v>
      </c>
      <c r="L804" s="1" t="s">
        <v>4276</v>
      </c>
      <c r="M804" s="1" t="s">
        <v>4280</v>
      </c>
      <c r="N804" s="6" t="str">
        <f t="shared" si="25"/>
        <v>Feb</v>
      </c>
      <c r="O804" s="1">
        <v>3223.2</v>
      </c>
      <c r="T804" s="4"/>
      <c r="U804" s="1" t="str">
        <f t="shared" si="26"/>
        <v>Normal</v>
      </c>
    </row>
    <row r="805" spans="1:21" x14ac:dyDescent="0.25">
      <c r="A805" s="1" t="s">
        <v>817</v>
      </c>
      <c r="B805" s="4">
        <v>45158</v>
      </c>
      <c r="C805" s="1" t="s">
        <v>2013</v>
      </c>
      <c r="D805" s="1" t="s">
        <v>2403</v>
      </c>
      <c r="E805" s="1">
        <v>5</v>
      </c>
      <c r="F805" s="1">
        <v>397.81</v>
      </c>
      <c r="G805" s="1" t="s">
        <v>2454</v>
      </c>
      <c r="H805" s="1" t="s">
        <v>3065</v>
      </c>
      <c r="I805" s="1" t="s">
        <v>3072</v>
      </c>
      <c r="J805" s="1" t="s">
        <v>3878</v>
      </c>
      <c r="K805" s="1">
        <v>5</v>
      </c>
      <c r="L805" s="1" t="s">
        <v>4275</v>
      </c>
      <c r="M805" s="1" t="s">
        <v>4279</v>
      </c>
      <c r="N805" s="6" t="str">
        <f t="shared" si="25"/>
        <v>Aug</v>
      </c>
      <c r="O805" s="1">
        <v>1989.05</v>
      </c>
      <c r="T805" s="4"/>
      <c r="U805" s="1" t="str">
        <f t="shared" si="26"/>
        <v>Normal</v>
      </c>
    </row>
    <row r="806" spans="1:21" x14ac:dyDescent="0.25">
      <c r="A806" s="1" t="s">
        <v>818</v>
      </c>
      <c r="B806" s="4">
        <v>45292</v>
      </c>
      <c r="C806" s="1" t="s">
        <v>2014</v>
      </c>
      <c r="D806" s="1" t="s">
        <v>2406</v>
      </c>
      <c r="E806" s="1">
        <v>3</v>
      </c>
      <c r="F806" s="1">
        <v>236.5</v>
      </c>
      <c r="G806" s="1" t="s">
        <v>2933</v>
      </c>
      <c r="H806" s="1" t="s">
        <v>3066</v>
      </c>
      <c r="I806" s="1" t="s">
        <v>3073</v>
      </c>
      <c r="J806" s="1" t="s">
        <v>3879</v>
      </c>
      <c r="K806" s="1">
        <v>8</v>
      </c>
      <c r="L806" s="1" t="s">
        <v>4276</v>
      </c>
      <c r="M806" s="1" t="s">
        <v>4280</v>
      </c>
      <c r="N806" s="6" t="str">
        <f t="shared" si="25"/>
        <v>Jan</v>
      </c>
      <c r="O806" s="1">
        <v>709.5</v>
      </c>
      <c r="T806" s="4"/>
      <c r="U806" s="1" t="str">
        <f t="shared" si="26"/>
        <v>Normal</v>
      </c>
    </row>
    <row r="807" spans="1:21" x14ac:dyDescent="0.25">
      <c r="A807" s="1" t="s">
        <v>819</v>
      </c>
      <c r="B807" s="4">
        <v>45580</v>
      </c>
      <c r="C807" s="1" t="s">
        <v>2015</v>
      </c>
      <c r="D807" s="1" t="s">
        <v>2408</v>
      </c>
      <c r="E807" s="1">
        <v>5</v>
      </c>
      <c r="F807" s="1">
        <v>472.01</v>
      </c>
      <c r="G807" s="1" t="s">
        <v>2934</v>
      </c>
      <c r="H807" s="1" t="s">
        <v>3068</v>
      </c>
      <c r="I807" s="1" t="s">
        <v>3071</v>
      </c>
      <c r="J807" s="1" t="s">
        <v>3880</v>
      </c>
      <c r="K807" s="1">
        <v>10</v>
      </c>
      <c r="L807" s="1" t="s">
        <v>4275</v>
      </c>
      <c r="M807" s="1" t="s">
        <v>4280</v>
      </c>
      <c r="N807" s="6" t="str">
        <f t="shared" si="25"/>
        <v>Oct</v>
      </c>
      <c r="O807" s="1">
        <v>2360.0500000000002</v>
      </c>
      <c r="T807" s="4"/>
      <c r="U807" s="1" t="str">
        <f t="shared" si="26"/>
        <v>Normal</v>
      </c>
    </row>
    <row r="808" spans="1:21" x14ac:dyDescent="0.25">
      <c r="A808" s="1" t="s">
        <v>820</v>
      </c>
      <c r="B808" s="4">
        <v>45170</v>
      </c>
      <c r="C808" s="1" t="s">
        <v>2016</v>
      </c>
      <c r="D808" s="1" t="s">
        <v>2406</v>
      </c>
      <c r="E808" s="1">
        <v>5</v>
      </c>
      <c r="F808" s="1">
        <v>253.75</v>
      </c>
      <c r="G808" s="1" t="s">
        <v>2650</v>
      </c>
      <c r="H808" s="1" t="s">
        <v>3066</v>
      </c>
      <c r="I808" s="1" t="s">
        <v>3074</v>
      </c>
      <c r="J808" s="1" t="s">
        <v>3881</v>
      </c>
      <c r="K808" s="1">
        <v>9</v>
      </c>
      <c r="L808" s="1" t="s">
        <v>4277</v>
      </c>
      <c r="M808" s="1" t="s">
        <v>4278</v>
      </c>
      <c r="N808" s="6" t="str">
        <f t="shared" si="25"/>
        <v>Sep</v>
      </c>
      <c r="O808" s="1">
        <v>1268.75</v>
      </c>
      <c r="T808" s="4"/>
      <c r="U808" s="1" t="str">
        <f t="shared" si="26"/>
        <v>Normal</v>
      </c>
    </row>
    <row r="809" spans="1:21" x14ac:dyDescent="0.25">
      <c r="A809" s="1" t="s">
        <v>821</v>
      </c>
      <c r="B809" s="4">
        <v>45606</v>
      </c>
      <c r="C809" s="1" t="s">
        <v>2017</v>
      </c>
      <c r="D809" s="1" t="s">
        <v>2403</v>
      </c>
      <c r="E809" s="1">
        <v>3</v>
      </c>
      <c r="F809" s="1">
        <v>676.21</v>
      </c>
      <c r="G809" s="1" t="s">
        <v>2935</v>
      </c>
      <c r="H809" s="1" t="s">
        <v>3066</v>
      </c>
      <c r="I809" s="1" t="s">
        <v>3073</v>
      </c>
      <c r="J809" s="1" t="s">
        <v>3882</v>
      </c>
      <c r="K809" s="1">
        <v>5</v>
      </c>
      <c r="L809" s="1" t="s">
        <v>4275</v>
      </c>
      <c r="M809" s="1" t="s">
        <v>4282</v>
      </c>
      <c r="N809" s="6" t="str">
        <f t="shared" si="25"/>
        <v>Nov</v>
      </c>
      <c r="O809" s="1">
        <v>2028.63</v>
      </c>
      <c r="T809" s="4"/>
      <c r="U809" s="1" t="str">
        <f t="shared" si="26"/>
        <v>Normal</v>
      </c>
    </row>
    <row r="810" spans="1:21" x14ac:dyDescent="0.25">
      <c r="A810" s="1" t="s">
        <v>822</v>
      </c>
      <c r="B810" s="4">
        <v>45335</v>
      </c>
      <c r="C810" s="1" t="s">
        <v>2018</v>
      </c>
      <c r="D810" s="1" t="s">
        <v>2409</v>
      </c>
      <c r="E810" s="1">
        <v>3</v>
      </c>
      <c r="F810" s="1">
        <v>134.05000000000001</v>
      </c>
      <c r="G810" s="1" t="s">
        <v>2936</v>
      </c>
      <c r="H810" s="1" t="s">
        <v>3067</v>
      </c>
      <c r="I810" s="1" t="s">
        <v>3070</v>
      </c>
      <c r="J810" s="1" t="s">
        <v>3883</v>
      </c>
      <c r="K810" s="1">
        <v>3</v>
      </c>
      <c r="L810" s="1" t="s">
        <v>4283</v>
      </c>
      <c r="M810" s="1" t="s">
        <v>4282</v>
      </c>
      <c r="N810" s="6" t="str">
        <f t="shared" si="25"/>
        <v>Feb</v>
      </c>
      <c r="O810" s="1">
        <v>402.15</v>
      </c>
      <c r="T810" s="4"/>
      <c r="U810" s="1" t="str">
        <f t="shared" si="26"/>
        <v>Normal</v>
      </c>
    </row>
    <row r="811" spans="1:21" x14ac:dyDescent="0.25">
      <c r="A811" s="1" t="s">
        <v>823</v>
      </c>
      <c r="B811" s="4">
        <v>45391</v>
      </c>
      <c r="C811" s="1" t="s">
        <v>2019</v>
      </c>
      <c r="D811" s="1" t="s">
        <v>2409</v>
      </c>
      <c r="E811" s="1">
        <v>5</v>
      </c>
      <c r="F811" s="1">
        <v>217.43</v>
      </c>
      <c r="G811" s="1" t="s">
        <v>2470</v>
      </c>
      <c r="H811" s="1" t="s">
        <v>3065</v>
      </c>
      <c r="I811" s="1" t="s">
        <v>3070</v>
      </c>
      <c r="J811" s="1" t="s">
        <v>3884</v>
      </c>
      <c r="K811" s="1">
        <v>10</v>
      </c>
      <c r="L811" s="1" t="s">
        <v>4275</v>
      </c>
      <c r="M811" s="1" t="s">
        <v>4278</v>
      </c>
      <c r="N811" s="6" t="str">
        <f t="shared" si="25"/>
        <v>Apr</v>
      </c>
      <c r="O811" s="1">
        <v>1087.1500000000001</v>
      </c>
      <c r="T811" s="4"/>
      <c r="U811" s="1" t="str">
        <f t="shared" si="26"/>
        <v>Normal</v>
      </c>
    </row>
    <row r="812" spans="1:21" x14ac:dyDescent="0.25">
      <c r="A812" s="1" t="s">
        <v>824</v>
      </c>
      <c r="B812" s="4">
        <v>45077</v>
      </c>
      <c r="C812" s="1" t="s">
        <v>2020</v>
      </c>
      <c r="D812" s="1" t="s">
        <v>2405</v>
      </c>
      <c r="E812" s="1">
        <v>1</v>
      </c>
      <c r="F812" s="1">
        <v>553.55999999999995</v>
      </c>
      <c r="G812" s="1" t="s">
        <v>2937</v>
      </c>
      <c r="H812" s="1" t="s">
        <v>3067</v>
      </c>
      <c r="I812" s="1" t="s">
        <v>3071</v>
      </c>
      <c r="J812" s="1" t="s">
        <v>3885</v>
      </c>
      <c r="K812" s="1">
        <v>5</v>
      </c>
      <c r="L812" s="1" t="s">
        <v>4283</v>
      </c>
      <c r="M812" s="1" t="s">
        <v>4279</v>
      </c>
      <c r="N812" s="6" t="str">
        <f t="shared" si="25"/>
        <v>May</v>
      </c>
      <c r="O812" s="1">
        <v>553.55999999999995</v>
      </c>
      <c r="T812" s="4"/>
      <c r="U812" s="1" t="str">
        <f t="shared" si="26"/>
        <v>Normal</v>
      </c>
    </row>
    <row r="813" spans="1:21" x14ac:dyDescent="0.25">
      <c r="A813" s="1" t="s">
        <v>825</v>
      </c>
      <c r="B813" s="4">
        <v>45235</v>
      </c>
      <c r="C813" s="1" t="s">
        <v>2021</v>
      </c>
      <c r="D813" s="1" t="s">
        <v>2408</v>
      </c>
      <c r="E813" s="1">
        <v>2</v>
      </c>
      <c r="F813" s="1">
        <v>28.55</v>
      </c>
      <c r="G813" s="1" t="s">
        <v>2907</v>
      </c>
      <c r="H813" s="1" t="s">
        <v>3068</v>
      </c>
      <c r="I813" s="1" t="s">
        <v>3070</v>
      </c>
      <c r="J813" s="1" t="s">
        <v>3886</v>
      </c>
      <c r="K813" s="1">
        <v>7</v>
      </c>
      <c r="L813" s="1" t="s">
        <v>4275</v>
      </c>
      <c r="M813" s="1" t="s">
        <v>4280</v>
      </c>
      <c r="N813" s="6" t="str">
        <f t="shared" si="25"/>
        <v>Nov</v>
      </c>
      <c r="O813" s="1">
        <v>57.1</v>
      </c>
      <c r="T813" s="4"/>
      <c r="U813" s="1" t="str">
        <f t="shared" si="26"/>
        <v>Normal</v>
      </c>
    </row>
    <row r="814" spans="1:21" x14ac:dyDescent="0.25">
      <c r="A814" s="1" t="s">
        <v>826</v>
      </c>
      <c r="B814" s="4">
        <v>45317</v>
      </c>
      <c r="C814" s="1" t="s">
        <v>2022</v>
      </c>
      <c r="D814" s="1" t="s">
        <v>2404</v>
      </c>
      <c r="E814" s="1">
        <v>2</v>
      </c>
      <c r="F814" s="1">
        <v>255.26</v>
      </c>
      <c r="G814" s="1" t="s">
        <v>2638</v>
      </c>
      <c r="H814" s="1" t="s">
        <v>3067</v>
      </c>
      <c r="I814" s="1" t="s">
        <v>3071</v>
      </c>
      <c r="J814" s="1" t="s">
        <v>3887</v>
      </c>
      <c r="K814" s="1">
        <v>6</v>
      </c>
      <c r="L814" s="1" t="s">
        <v>4276</v>
      </c>
      <c r="M814" s="1" t="s">
        <v>4282</v>
      </c>
      <c r="N814" s="6" t="str">
        <f t="shared" si="25"/>
        <v>Jan</v>
      </c>
      <c r="O814" s="1">
        <v>510.52</v>
      </c>
      <c r="T814" s="4"/>
      <c r="U814" s="1" t="str">
        <f t="shared" si="26"/>
        <v>Normal</v>
      </c>
    </row>
    <row r="815" spans="1:21" x14ac:dyDescent="0.25">
      <c r="A815" s="1" t="s">
        <v>827</v>
      </c>
      <c r="B815" s="4">
        <v>45731</v>
      </c>
      <c r="C815" s="1" t="s">
        <v>2023</v>
      </c>
      <c r="D815" s="1" t="s">
        <v>2408</v>
      </c>
      <c r="E815" s="1">
        <v>5</v>
      </c>
      <c r="F815" s="1">
        <v>292.54000000000002</v>
      </c>
      <c r="G815" s="1" t="s">
        <v>2649</v>
      </c>
      <c r="H815" s="1" t="s">
        <v>3065</v>
      </c>
      <c r="I815" s="1" t="s">
        <v>3071</v>
      </c>
      <c r="J815" s="1" t="s">
        <v>3888</v>
      </c>
      <c r="K815" s="1">
        <v>8</v>
      </c>
      <c r="L815" s="1" t="s">
        <v>4276</v>
      </c>
      <c r="M815" s="1" t="s">
        <v>4280</v>
      </c>
      <c r="N815" s="6" t="str">
        <f t="shared" si="25"/>
        <v>Mar</v>
      </c>
      <c r="O815" s="1">
        <v>1462.7</v>
      </c>
      <c r="T815" s="4"/>
      <c r="U815" s="1" t="str">
        <f t="shared" si="26"/>
        <v>Normal</v>
      </c>
    </row>
    <row r="816" spans="1:21" x14ac:dyDescent="0.25">
      <c r="A816" s="1" t="s">
        <v>828</v>
      </c>
      <c r="B816" s="4">
        <v>45637</v>
      </c>
      <c r="C816" s="1" t="s">
        <v>2024</v>
      </c>
      <c r="D816" s="1" t="s">
        <v>2406</v>
      </c>
      <c r="E816" s="1">
        <v>4</v>
      </c>
      <c r="F816" s="1">
        <v>147.51</v>
      </c>
      <c r="G816" s="1" t="s">
        <v>2938</v>
      </c>
      <c r="H816" s="1" t="s">
        <v>3065</v>
      </c>
      <c r="I816" s="1" t="s">
        <v>3074</v>
      </c>
      <c r="J816" s="1" t="s">
        <v>3889</v>
      </c>
      <c r="K816" s="1">
        <v>4</v>
      </c>
      <c r="L816" s="1" t="s">
        <v>4277</v>
      </c>
      <c r="M816" s="1" t="s">
        <v>4278</v>
      </c>
      <c r="N816" s="6" t="str">
        <f t="shared" si="25"/>
        <v>Dec</v>
      </c>
      <c r="O816" s="1">
        <v>590.04</v>
      </c>
      <c r="T816" s="4"/>
      <c r="U816" s="1" t="str">
        <f t="shared" si="26"/>
        <v>Normal</v>
      </c>
    </row>
    <row r="817" spans="1:21" x14ac:dyDescent="0.25">
      <c r="A817" s="1" t="s">
        <v>829</v>
      </c>
      <c r="B817" s="4">
        <v>45508</v>
      </c>
      <c r="C817" s="1" t="s">
        <v>2025</v>
      </c>
      <c r="D817" s="1" t="s">
        <v>2407</v>
      </c>
      <c r="E817" s="1">
        <v>3</v>
      </c>
      <c r="F817" s="1">
        <v>569.84</v>
      </c>
      <c r="G817" s="1" t="s">
        <v>2939</v>
      </c>
      <c r="H817" s="1" t="s">
        <v>3068</v>
      </c>
      <c r="I817" s="1" t="s">
        <v>3071</v>
      </c>
      <c r="J817" s="1" t="s">
        <v>3890</v>
      </c>
      <c r="K817" s="1">
        <v>8</v>
      </c>
      <c r="L817" s="1" t="s">
        <v>4277</v>
      </c>
      <c r="M817" s="1" t="s">
        <v>4278</v>
      </c>
      <c r="N817" s="6" t="str">
        <f t="shared" si="25"/>
        <v>Aug</v>
      </c>
      <c r="O817" s="1">
        <v>1709.52</v>
      </c>
      <c r="T817" s="4"/>
      <c r="U817" s="1" t="str">
        <f t="shared" si="26"/>
        <v>Normal</v>
      </c>
    </row>
    <row r="818" spans="1:21" x14ac:dyDescent="0.25">
      <c r="A818" s="1" t="s">
        <v>830</v>
      </c>
      <c r="B818" s="4">
        <v>45343</v>
      </c>
      <c r="C818" s="1" t="s">
        <v>2026</v>
      </c>
      <c r="D818" s="1" t="s">
        <v>2405</v>
      </c>
      <c r="E818" s="1">
        <v>5</v>
      </c>
      <c r="F818" s="1">
        <v>574.79</v>
      </c>
      <c r="G818" s="1" t="s">
        <v>2601</v>
      </c>
      <c r="H818" s="1" t="s">
        <v>3067</v>
      </c>
      <c r="I818" s="1" t="s">
        <v>3074</v>
      </c>
      <c r="J818" s="1" t="s">
        <v>3891</v>
      </c>
      <c r="K818" s="1">
        <v>8</v>
      </c>
      <c r="L818" s="1" t="s">
        <v>4277</v>
      </c>
      <c r="M818" s="1" t="s">
        <v>4279</v>
      </c>
      <c r="N818" s="6" t="str">
        <f t="shared" si="25"/>
        <v>Feb</v>
      </c>
      <c r="O818" s="1">
        <v>2873.95</v>
      </c>
      <c r="T818" s="4"/>
      <c r="U818" s="1" t="str">
        <f t="shared" si="26"/>
        <v>Normal</v>
      </c>
    </row>
    <row r="819" spans="1:21" x14ac:dyDescent="0.25">
      <c r="A819" s="1" t="s">
        <v>831</v>
      </c>
      <c r="B819" s="4">
        <v>45204</v>
      </c>
      <c r="C819" s="1" t="s">
        <v>2027</v>
      </c>
      <c r="D819" s="1" t="s">
        <v>2406</v>
      </c>
      <c r="E819" s="1">
        <v>4</v>
      </c>
      <c r="F819" s="1">
        <v>598.19000000000005</v>
      </c>
      <c r="G819" s="1" t="s">
        <v>2940</v>
      </c>
      <c r="H819" s="1" t="s">
        <v>3067</v>
      </c>
      <c r="I819" s="1" t="s">
        <v>3073</v>
      </c>
      <c r="J819" s="1" t="s">
        <v>3892</v>
      </c>
      <c r="K819" s="1">
        <v>7</v>
      </c>
      <c r="L819" s="1" t="s">
        <v>4277</v>
      </c>
      <c r="M819" s="1" t="s">
        <v>4280</v>
      </c>
      <c r="N819" s="6" t="str">
        <f t="shared" si="25"/>
        <v>Oct</v>
      </c>
      <c r="O819" s="1">
        <v>2392.7600000000002</v>
      </c>
      <c r="T819" s="4"/>
      <c r="U819" s="1" t="str">
        <f t="shared" si="26"/>
        <v>Normal</v>
      </c>
    </row>
    <row r="820" spans="1:21" x14ac:dyDescent="0.25">
      <c r="A820" s="1" t="s">
        <v>832</v>
      </c>
      <c r="B820" s="4">
        <v>44987</v>
      </c>
      <c r="C820" s="1" t="s">
        <v>2028</v>
      </c>
      <c r="D820" s="1" t="s">
        <v>2404</v>
      </c>
      <c r="E820" s="1">
        <v>4</v>
      </c>
      <c r="F820" s="1">
        <v>390.84</v>
      </c>
      <c r="G820" s="1" t="s">
        <v>2868</v>
      </c>
      <c r="H820" s="1" t="s">
        <v>3067</v>
      </c>
      <c r="I820" s="1" t="s">
        <v>3071</v>
      </c>
      <c r="J820" s="1" t="s">
        <v>3893</v>
      </c>
      <c r="K820" s="1">
        <v>9</v>
      </c>
      <c r="L820" s="1" t="s">
        <v>4277</v>
      </c>
      <c r="M820" s="1" t="s">
        <v>4279</v>
      </c>
      <c r="N820" s="6" t="str">
        <f t="shared" si="25"/>
        <v>Mar</v>
      </c>
      <c r="O820" s="1">
        <v>1563.36</v>
      </c>
      <c r="T820" s="4"/>
      <c r="U820" s="1" t="str">
        <f t="shared" si="26"/>
        <v>Normal</v>
      </c>
    </row>
    <row r="821" spans="1:21" x14ac:dyDescent="0.25">
      <c r="A821" s="1" t="s">
        <v>833</v>
      </c>
      <c r="B821" s="4">
        <v>45563</v>
      </c>
      <c r="C821" s="1" t="s">
        <v>2029</v>
      </c>
      <c r="D821" s="1" t="s">
        <v>2404</v>
      </c>
      <c r="E821" s="1">
        <v>2</v>
      </c>
      <c r="F821" s="1">
        <v>398.45</v>
      </c>
      <c r="G821" s="1" t="s">
        <v>2941</v>
      </c>
      <c r="H821" s="1" t="s">
        <v>3065</v>
      </c>
      <c r="I821" s="1" t="s">
        <v>3071</v>
      </c>
      <c r="J821" s="1" t="s">
        <v>3894</v>
      </c>
      <c r="K821" s="1">
        <v>7</v>
      </c>
      <c r="L821" s="1" t="s">
        <v>4275</v>
      </c>
      <c r="M821" s="1" t="s">
        <v>4282</v>
      </c>
      <c r="N821" s="6" t="str">
        <f t="shared" si="25"/>
        <v>Sep</v>
      </c>
      <c r="O821" s="1">
        <v>796.9</v>
      </c>
      <c r="T821" s="4"/>
      <c r="U821" s="1" t="str">
        <f t="shared" si="26"/>
        <v>Normal</v>
      </c>
    </row>
    <row r="822" spans="1:21" x14ac:dyDescent="0.25">
      <c r="A822" s="1" t="s">
        <v>834</v>
      </c>
      <c r="B822" s="4">
        <v>45073</v>
      </c>
      <c r="C822" s="1" t="s">
        <v>2030</v>
      </c>
      <c r="D822" s="1" t="s">
        <v>2404</v>
      </c>
      <c r="E822" s="1">
        <v>5</v>
      </c>
      <c r="F822" s="1">
        <v>623.80999999999995</v>
      </c>
      <c r="G822" s="1" t="s">
        <v>2706</v>
      </c>
      <c r="H822" s="1" t="s">
        <v>3069</v>
      </c>
      <c r="I822" s="1" t="s">
        <v>3072</v>
      </c>
      <c r="J822" s="1" t="s">
        <v>3895</v>
      </c>
      <c r="K822" s="1">
        <v>6</v>
      </c>
      <c r="L822" s="1" t="s">
        <v>4276</v>
      </c>
      <c r="M822" s="1" t="s">
        <v>4280</v>
      </c>
      <c r="N822" s="6" t="str">
        <f t="shared" si="25"/>
        <v>May</v>
      </c>
      <c r="O822" s="1">
        <v>3119.05</v>
      </c>
      <c r="T822" s="4"/>
      <c r="U822" s="1" t="str">
        <f t="shared" si="26"/>
        <v>Normal</v>
      </c>
    </row>
    <row r="823" spans="1:21" x14ac:dyDescent="0.25">
      <c r="A823" s="1" t="s">
        <v>835</v>
      </c>
      <c r="B823" s="4">
        <v>45640</v>
      </c>
      <c r="C823" s="1" t="s">
        <v>2031</v>
      </c>
      <c r="D823" s="1" t="s">
        <v>2408</v>
      </c>
      <c r="E823" s="1">
        <v>4</v>
      </c>
      <c r="F823" s="1">
        <v>174.49</v>
      </c>
      <c r="G823" s="1" t="s">
        <v>2698</v>
      </c>
      <c r="H823" s="1" t="s">
        <v>3067</v>
      </c>
      <c r="I823" s="1" t="s">
        <v>3073</v>
      </c>
      <c r="J823" s="1" t="s">
        <v>3896</v>
      </c>
      <c r="K823" s="1">
        <v>5</v>
      </c>
      <c r="L823" s="1" t="s">
        <v>4275</v>
      </c>
      <c r="M823" s="1" t="s">
        <v>4281</v>
      </c>
      <c r="N823" s="6" t="str">
        <f t="shared" si="25"/>
        <v>Dec</v>
      </c>
      <c r="O823" s="1">
        <v>697.96</v>
      </c>
      <c r="T823" s="4"/>
      <c r="U823" s="1" t="str">
        <f t="shared" si="26"/>
        <v>Normal</v>
      </c>
    </row>
    <row r="824" spans="1:21" x14ac:dyDescent="0.25">
      <c r="A824" s="1" t="s">
        <v>836</v>
      </c>
      <c r="B824" s="4">
        <v>45731</v>
      </c>
      <c r="C824" s="1" t="s">
        <v>2032</v>
      </c>
      <c r="D824" s="1" t="s">
        <v>2404</v>
      </c>
      <c r="E824" s="1">
        <v>1</v>
      </c>
      <c r="F824" s="1">
        <v>479.56</v>
      </c>
      <c r="G824" s="1" t="s">
        <v>2476</v>
      </c>
      <c r="H824" s="1" t="s">
        <v>3068</v>
      </c>
      <c r="I824" s="1" t="s">
        <v>3072</v>
      </c>
      <c r="J824" s="1" t="s">
        <v>3897</v>
      </c>
      <c r="K824" s="1">
        <v>1</v>
      </c>
      <c r="L824" s="1" t="s">
        <v>4275</v>
      </c>
      <c r="M824" s="1" t="s">
        <v>4282</v>
      </c>
      <c r="N824" s="6" t="str">
        <f t="shared" si="25"/>
        <v>Mar</v>
      </c>
      <c r="O824" s="1">
        <v>479.56</v>
      </c>
      <c r="T824" s="4"/>
      <c r="U824" s="1" t="str">
        <f t="shared" si="26"/>
        <v>Normal</v>
      </c>
    </row>
    <row r="825" spans="1:21" x14ac:dyDescent="0.25">
      <c r="A825" s="1" t="s">
        <v>837</v>
      </c>
      <c r="B825" s="4">
        <v>45572</v>
      </c>
      <c r="C825" s="1" t="s">
        <v>2033</v>
      </c>
      <c r="D825" s="1" t="s">
        <v>2408</v>
      </c>
      <c r="E825" s="1">
        <v>4</v>
      </c>
      <c r="F825" s="1">
        <v>653.13</v>
      </c>
      <c r="G825" s="1" t="s">
        <v>2942</v>
      </c>
      <c r="H825" s="1" t="s">
        <v>3067</v>
      </c>
      <c r="I825" s="1" t="s">
        <v>3070</v>
      </c>
      <c r="J825" s="1" t="s">
        <v>3898</v>
      </c>
      <c r="K825" s="1">
        <v>8</v>
      </c>
      <c r="L825" s="1" t="s">
        <v>4277</v>
      </c>
      <c r="M825" s="1" t="s">
        <v>4278</v>
      </c>
      <c r="N825" s="6" t="str">
        <f t="shared" si="25"/>
        <v>Oct</v>
      </c>
      <c r="O825" s="1">
        <v>2612.52</v>
      </c>
      <c r="T825" s="4"/>
      <c r="U825" s="1" t="str">
        <f t="shared" si="26"/>
        <v>Normal</v>
      </c>
    </row>
    <row r="826" spans="1:21" x14ac:dyDescent="0.25">
      <c r="A826" s="1" t="s">
        <v>838</v>
      </c>
      <c r="B826" s="4">
        <v>45167</v>
      </c>
      <c r="C826" s="1" t="s">
        <v>2034</v>
      </c>
      <c r="D826" s="1" t="s">
        <v>2403</v>
      </c>
      <c r="E826" s="1">
        <v>3</v>
      </c>
      <c r="F826" s="1">
        <v>481.1</v>
      </c>
      <c r="G826" s="1" t="s">
        <v>2943</v>
      </c>
      <c r="H826" s="1" t="s">
        <v>3067</v>
      </c>
      <c r="I826" s="1" t="s">
        <v>3072</v>
      </c>
      <c r="J826" s="1" t="s">
        <v>3899</v>
      </c>
      <c r="K826" s="1">
        <v>3</v>
      </c>
      <c r="L826" s="1" t="s">
        <v>4276</v>
      </c>
      <c r="M826" s="1" t="s">
        <v>4281</v>
      </c>
      <c r="N826" s="6" t="str">
        <f t="shared" si="25"/>
        <v>Aug</v>
      </c>
      <c r="O826" s="1">
        <v>1443.3</v>
      </c>
      <c r="T826" s="4"/>
      <c r="U826" s="1" t="str">
        <f t="shared" si="26"/>
        <v>Normal</v>
      </c>
    </row>
    <row r="827" spans="1:21" x14ac:dyDescent="0.25">
      <c r="A827" s="1" t="s">
        <v>839</v>
      </c>
      <c r="B827" s="4">
        <v>45742</v>
      </c>
      <c r="C827" s="1" t="s">
        <v>2035</v>
      </c>
      <c r="D827" s="1" t="s">
        <v>2409</v>
      </c>
      <c r="E827" s="1">
        <v>5</v>
      </c>
      <c r="F827" s="1">
        <v>271.69</v>
      </c>
      <c r="G827" s="1" t="s">
        <v>2944</v>
      </c>
      <c r="H827" s="1" t="s">
        <v>3066</v>
      </c>
      <c r="I827" s="1" t="s">
        <v>3072</v>
      </c>
      <c r="J827" s="1" t="s">
        <v>3900</v>
      </c>
      <c r="K827" s="1">
        <v>7</v>
      </c>
      <c r="L827" s="1" t="s">
        <v>4276</v>
      </c>
      <c r="M827" s="1" t="s">
        <v>4278</v>
      </c>
      <c r="N827" s="6" t="str">
        <f t="shared" si="25"/>
        <v>Mar</v>
      </c>
      <c r="O827" s="1">
        <v>1358.45</v>
      </c>
      <c r="T827" s="4"/>
      <c r="U827" s="1" t="str">
        <f t="shared" si="26"/>
        <v>Normal</v>
      </c>
    </row>
    <row r="828" spans="1:21" x14ac:dyDescent="0.25">
      <c r="A828" s="1" t="s">
        <v>840</v>
      </c>
      <c r="B828" s="4">
        <v>45724</v>
      </c>
      <c r="C828" s="1" t="s">
        <v>2036</v>
      </c>
      <c r="D828" s="1" t="s">
        <v>2407</v>
      </c>
      <c r="E828" s="1">
        <v>3</v>
      </c>
      <c r="F828" s="1">
        <v>463.81</v>
      </c>
      <c r="G828" s="1" t="s">
        <v>2570</v>
      </c>
      <c r="H828" s="1" t="s">
        <v>3066</v>
      </c>
      <c r="I828" s="1" t="s">
        <v>3072</v>
      </c>
      <c r="J828" s="1" t="s">
        <v>3901</v>
      </c>
      <c r="K828" s="1">
        <v>8</v>
      </c>
      <c r="L828" s="1" t="s">
        <v>4277</v>
      </c>
      <c r="M828" s="1" t="s">
        <v>4280</v>
      </c>
      <c r="N828" s="6" t="str">
        <f t="shared" si="25"/>
        <v>Mar</v>
      </c>
      <c r="O828" s="1">
        <v>1391.43</v>
      </c>
      <c r="T828" s="4"/>
      <c r="U828" s="1" t="str">
        <f t="shared" si="26"/>
        <v>Normal</v>
      </c>
    </row>
    <row r="829" spans="1:21" x14ac:dyDescent="0.25">
      <c r="A829" s="1" t="s">
        <v>841</v>
      </c>
      <c r="B829" s="4">
        <v>45071</v>
      </c>
      <c r="C829" s="1" t="s">
        <v>2037</v>
      </c>
      <c r="D829" s="1" t="s">
        <v>2405</v>
      </c>
      <c r="E829" s="1">
        <v>2</v>
      </c>
      <c r="F829" s="1">
        <v>639.88</v>
      </c>
      <c r="G829" s="1" t="s">
        <v>2597</v>
      </c>
      <c r="H829" s="1" t="s">
        <v>3069</v>
      </c>
      <c r="I829" s="1" t="s">
        <v>3073</v>
      </c>
      <c r="J829" s="1" t="s">
        <v>3902</v>
      </c>
      <c r="K829" s="1">
        <v>5</v>
      </c>
      <c r="L829" s="1" t="s">
        <v>4277</v>
      </c>
      <c r="M829" s="1" t="s">
        <v>4278</v>
      </c>
      <c r="N829" s="6" t="str">
        <f t="shared" si="25"/>
        <v>May</v>
      </c>
      <c r="O829" s="1">
        <v>1279.76</v>
      </c>
      <c r="T829" s="4"/>
      <c r="U829" s="1" t="str">
        <f t="shared" si="26"/>
        <v>Normal</v>
      </c>
    </row>
    <row r="830" spans="1:21" x14ac:dyDescent="0.25">
      <c r="A830" s="1" t="s">
        <v>842</v>
      </c>
      <c r="B830" s="4">
        <v>45497</v>
      </c>
      <c r="C830" s="1" t="s">
        <v>2038</v>
      </c>
      <c r="D830" s="1" t="s">
        <v>2406</v>
      </c>
      <c r="E830" s="1">
        <v>4</v>
      </c>
      <c r="F830" s="1">
        <v>404.58</v>
      </c>
      <c r="G830" s="1" t="s">
        <v>2945</v>
      </c>
      <c r="H830" s="1" t="s">
        <v>3069</v>
      </c>
      <c r="I830" s="1" t="s">
        <v>3070</v>
      </c>
      <c r="J830" s="1" t="s">
        <v>3903</v>
      </c>
      <c r="K830" s="1">
        <v>5</v>
      </c>
      <c r="L830" s="1" t="s">
        <v>4276</v>
      </c>
      <c r="M830" s="1" t="s">
        <v>4278</v>
      </c>
      <c r="N830" s="6" t="str">
        <f t="shared" si="25"/>
        <v>Jul</v>
      </c>
      <c r="O830" s="1">
        <v>1618.32</v>
      </c>
      <c r="T830" s="4"/>
      <c r="U830" s="1" t="str">
        <f t="shared" si="26"/>
        <v>Normal</v>
      </c>
    </row>
    <row r="831" spans="1:21" x14ac:dyDescent="0.25">
      <c r="A831" s="1" t="s">
        <v>843</v>
      </c>
      <c r="B831" s="4">
        <v>44962</v>
      </c>
      <c r="C831" s="1" t="s">
        <v>2039</v>
      </c>
      <c r="D831" s="1" t="s">
        <v>2403</v>
      </c>
      <c r="E831" s="1">
        <v>1</v>
      </c>
      <c r="F831" s="1">
        <v>76.930000000000007</v>
      </c>
      <c r="G831" s="1" t="s">
        <v>2946</v>
      </c>
      <c r="H831" s="1" t="s">
        <v>3065</v>
      </c>
      <c r="I831" s="1" t="s">
        <v>3073</v>
      </c>
      <c r="J831" s="1" t="s">
        <v>3904</v>
      </c>
      <c r="K831" s="1">
        <v>6</v>
      </c>
      <c r="L831" s="1" t="s">
        <v>4277</v>
      </c>
      <c r="M831" s="1" t="s">
        <v>4278</v>
      </c>
      <c r="N831" s="6" t="str">
        <f t="shared" si="25"/>
        <v>Feb</v>
      </c>
      <c r="O831" s="1">
        <v>76.930000000000007</v>
      </c>
      <c r="T831" s="4"/>
      <c r="U831" s="1" t="str">
        <f t="shared" si="26"/>
        <v>Normal</v>
      </c>
    </row>
    <row r="832" spans="1:21" x14ac:dyDescent="0.25">
      <c r="A832" s="1" t="s">
        <v>844</v>
      </c>
      <c r="B832" s="4">
        <v>45637</v>
      </c>
      <c r="C832" s="1" t="s">
        <v>2040</v>
      </c>
      <c r="D832" s="1" t="s">
        <v>2405</v>
      </c>
      <c r="E832" s="1">
        <v>4</v>
      </c>
      <c r="F832" s="1">
        <v>190.64</v>
      </c>
      <c r="G832" s="1" t="s">
        <v>2947</v>
      </c>
      <c r="H832" s="1" t="s">
        <v>3069</v>
      </c>
      <c r="I832" s="1" t="s">
        <v>3073</v>
      </c>
      <c r="J832" s="1" t="s">
        <v>3905</v>
      </c>
      <c r="K832" s="1">
        <v>5</v>
      </c>
      <c r="L832" s="1" t="s">
        <v>4275</v>
      </c>
      <c r="M832" s="1" t="s">
        <v>4280</v>
      </c>
      <c r="N832" s="6" t="str">
        <f t="shared" si="25"/>
        <v>Dec</v>
      </c>
      <c r="O832" s="1">
        <v>762.56</v>
      </c>
      <c r="T832" s="4"/>
      <c r="U832" s="1" t="str">
        <f t="shared" si="26"/>
        <v>Normal</v>
      </c>
    </row>
    <row r="833" spans="1:21" x14ac:dyDescent="0.25">
      <c r="A833" s="1" t="s">
        <v>845</v>
      </c>
      <c r="B833" s="4">
        <v>45278</v>
      </c>
      <c r="C833" s="1" t="s">
        <v>2041</v>
      </c>
      <c r="D833" s="1" t="s">
        <v>2407</v>
      </c>
      <c r="E833" s="1">
        <v>2</v>
      </c>
      <c r="F833" s="1">
        <v>88.73</v>
      </c>
      <c r="G833" s="1" t="s">
        <v>2851</v>
      </c>
      <c r="H833" s="1" t="s">
        <v>3066</v>
      </c>
      <c r="I833" s="1" t="s">
        <v>3074</v>
      </c>
      <c r="J833" s="1" t="s">
        <v>3906</v>
      </c>
      <c r="K833" s="1">
        <v>5</v>
      </c>
      <c r="L833" s="1" t="s">
        <v>4283</v>
      </c>
      <c r="M833" s="1" t="s">
        <v>4282</v>
      </c>
      <c r="N833" s="6" t="str">
        <f t="shared" si="25"/>
        <v>Dec</v>
      </c>
      <c r="O833" s="1">
        <v>177.46</v>
      </c>
      <c r="T833" s="4"/>
      <c r="U833" s="1" t="str">
        <f t="shared" si="26"/>
        <v>Normal</v>
      </c>
    </row>
    <row r="834" spans="1:21" x14ac:dyDescent="0.25">
      <c r="A834" s="1" t="s">
        <v>846</v>
      </c>
      <c r="B834" s="4">
        <v>45363</v>
      </c>
      <c r="C834" s="1" t="s">
        <v>2042</v>
      </c>
      <c r="D834" s="1" t="s">
        <v>2406</v>
      </c>
      <c r="E834" s="1">
        <v>5</v>
      </c>
      <c r="F834" s="1">
        <v>485.71</v>
      </c>
      <c r="G834" s="1" t="s">
        <v>2423</v>
      </c>
      <c r="H834" s="1" t="s">
        <v>3066</v>
      </c>
      <c r="I834" s="1" t="s">
        <v>3074</v>
      </c>
      <c r="J834" s="1" t="s">
        <v>3907</v>
      </c>
      <c r="K834" s="1">
        <v>10</v>
      </c>
      <c r="L834" s="1" t="s">
        <v>4275</v>
      </c>
      <c r="M834" s="1" t="s">
        <v>4279</v>
      </c>
      <c r="N834" s="6" t="str">
        <f t="shared" ref="N834:N897" si="27">TEXT(B834,"MMM")</f>
        <v>Mar</v>
      </c>
      <c r="O834" s="1">
        <v>2428.5500000000002</v>
      </c>
      <c r="T834" s="4"/>
      <c r="U834" s="1" t="str">
        <f t="shared" si="26"/>
        <v>Normal</v>
      </c>
    </row>
    <row r="835" spans="1:21" x14ac:dyDescent="0.25">
      <c r="A835" s="1" t="s">
        <v>847</v>
      </c>
      <c r="B835" s="4">
        <v>45730</v>
      </c>
      <c r="C835" s="1" t="s">
        <v>2043</v>
      </c>
      <c r="D835" s="1" t="s">
        <v>2404</v>
      </c>
      <c r="E835" s="1">
        <v>5</v>
      </c>
      <c r="F835" s="1">
        <v>78.290000000000006</v>
      </c>
      <c r="G835" s="1" t="s">
        <v>2948</v>
      </c>
      <c r="H835" s="1" t="s">
        <v>3067</v>
      </c>
      <c r="I835" s="1" t="s">
        <v>3070</v>
      </c>
      <c r="J835" s="1" t="s">
        <v>3908</v>
      </c>
      <c r="K835" s="1">
        <v>5</v>
      </c>
      <c r="L835" s="1" t="s">
        <v>4277</v>
      </c>
      <c r="M835" s="1" t="s">
        <v>4279</v>
      </c>
      <c r="N835" s="6" t="str">
        <f t="shared" si="27"/>
        <v>Mar</v>
      </c>
      <c r="O835" s="1">
        <v>391.45</v>
      </c>
      <c r="T835" s="4"/>
      <c r="U835" s="1" t="str">
        <f t="shared" ref="U835:U898" si="28">IF(O835&gt;$S$2,"Outlier","Normal")</f>
        <v>Normal</v>
      </c>
    </row>
    <row r="836" spans="1:21" x14ac:dyDescent="0.25">
      <c r="A836" s="1" t="s">
        <v>848</v>
      </c>
      <c r="B836" s="4">
        <v>45393</v>
      </c>
      <c r="C836" s="1" t="s">
        <v>2044</v>
      </c>
      <c r="D836" s="1" t="s">
        <v>2407</v>
      </c>
      <c r="E836" s="1">
        <v>5</v>
      </c>
      <c r="F836" s="1">
        <v>22.14</v>
      </c>
      <c r="G836" s="1" t="s">
        <v>2616</v>
      </c>
      <c r="H836" s="1" t="s">
        <v>3069</v>
      </c>
      <c r="I836" s="1" t="s">
        <v>3072</v>
      </c>
      <c r="J836" s="1" t="s">
        <v>3909</v>
      </c>
      <c r="K836" s="1">
        <v>10</v>
      </c>
      <c r="L836" s="1" t="s">
        <v>4283</v>
      </c>
      <c r="M836" s="1" t="s">
        <v>4278</v>
      </c>
      <c r="N836" s="6" t="str">
        <f t="shared" si="27"/>
        <v>Apr</v>
      </c>
      <c r="O836" s="1">
        <v>110.7</v>
      </c>
      <c r="T836" s="4"/>
      <c r="U836" s="1" t="str">
        <f t="shared" si="28"/>
        <v>Normal</v>
      </c>
    </row>
    <row r="837" spans="1:21" x14ac:dyDescent="0.25">
      <c r="A837" s="1" t="s">
        <v>849</v>
      </c>
      <c r="B837" s="4">
        <v>45377</v>
      </c>
      <c r="C837" s="1" t="s">
        <v>2045</v>
      </c>
      <c r="D837" s="1" t="s">
        <v>2409</v>
      </c>
      <c r="E837" s="1">
        <v>1</v>
      </c>
      <c r="F837" s="1">
        <v>679.65</v>
      </c>
      <c r="G837" s="1" t="s">
        <v>2949</v>
      </c>
      <c r="H837" s="1" t="s">
        <v>3065</v>
      </c>
      <c r="I837" s="1" t="s">
        <v>3070</v>
      </c>
      <c r="J837" s="1" t="s">
        <v>3910</v>
      </c>
      <c r="K837" s="1">
        <v>6</v>
      </c>
      <c r="L837" s="1" t="s">
        <v>4276</v>
      </c>
      <c r="M837" s="1" t="s">
        <v>4282</v>
      </c>
      <c r="N837" s="6" t="str">
        <f t="shared" si="27"/>
        <v>Mar</v>
      </c>
      <c r="O837" s="1">
        <v>679.65</v>
      </c>
      <c r="T837" s="4"/>
      <c r="U837" s="1" t="str">
        <f t="shared" si="28"/>
        <v>Normal</v>
      </c>
    </row>
    <row r="838" spans="1:21" x14ac:dyDescent="0.25">
      <c r="A838" s="1" t="s">
        <v>850</v>
      </c>
      <c r="B838" s="4">
        <v>44959</v>
      </c>
      <c r="C838" s="1" t="s">
        <v>2046</v>
      </c>
      <c r="D838" s="1" t="s">
        <v>2404</v>
      </c>
      <c r="E838" s="1">
        <v>1</v>
      </c>
      <c r="F838" s="1">
        <v>178.44</v>
      </c>
      <c r="G838" s="1" t="s">
        <v>2860</v>
      </c>
      <c r="H838" s="1" t="s">
        <v>3067</v>
      </c>
      <c r="I838" s="1" t="s">
        <v>3071</v>
      </c>
      <c r="J838" s="1" t="s">
        <v>3911</v>
      </c>
      <c r="K838" s="1">
        <v>2</v>
      </c>
      <c r="L838" s="1" t="s">
        <v>4276</v>
      </c>
      <c r="M838" s="1" t="s">
        <v>4282</v>
      </c>
      <c r="N838" s="6" t="str">
        <f t="shared" si="27"/>
        <v>Feb</v>
      </c>
      <c r="O838" s="1">
        <v>178.44</v>
      </c>
      <c r="T838" s="4"/>
      <c r="U838" s="1" t="str">
        <f t="shared" si="28"/>
        <v>Normal</v>
      </c>
    </row>
    <row r="839" spans="1:21" x14ac:dyDescent="0.25">
      <c r="A839" s="1" t="s">
        <v>851</v>
      </c>
      <c r="B839" s="4">
        <v>45822</v>
      </c>
      <c r="C839" s="1" t="s">
        <v>2047</v>
      </c>
      <c r="D839" s="1" t="s">
        <v>2406</v>
      </c>
      <c r="E839" s="1">
        <v>5</v>
      </c>
      <c r="F839" s="1">
        <v>655.55</v>
      </c>
      <c r="G839" s="1" t="s">
        <v>2839</v>
      </c>
      <c r="H839" s="1" t="s">
        <v>3066</v>
      </c>
      <c r="I839" s="1" t="s">
        <v>3073</v>
      </c>
      <c r="J839" s="1" t="s">
        <v>3912</v>
      </c>
      <c r="K839" s="1">
        <v>5</v>
      </c>
      <c r="L839" s="1" t="s">
        <v>4283</v>
      </c>
      <c r="M839" s="1" t="s">
        <v>4280</v>
      </c>
      <c r="N839" s="6" t="str">
        <f t="shared" si="27"/>
        <v>Jun</v>
      </c>
      <c r="O839" s="1">
        <v>3277.75</v>
      </c>
      <c r="T839" s="4"/>
      <c r="U839" s="1" t="str">
        <f t="shared" si="28"/>
        <v>Normal</v>
      </c>
    </row>
    <row r="840" spans="1:21" x14ac:dyDescent="0.25">
      <c r="A840" s="1" t="s">
        <v>852</v>
      </c>
      <c r="B840" s="4">
        <v>45393</v>
      </c>
      <c r="C840" s="1" t="s">
        <v>2048</v>
      </c>
      <c r="D840" s="1" t="s">
        <v>2409</v>
      </c>
      <c r="E840" s="1">
        <v>4</v>
      </c>
      <c r="F840" s="1">
        <v>577.08000000000004</v>
      </c>
      <c r="G840" s="1" t="s">
        <v>2475</v>
      </c>
      <c r="H840" s="1" t="s">
        <v>3066</v>
      </c>
      <c r="I840" s="1" t="s">
        <v>3074</v>
      </c>
      <c r="J840" s="1" t="s">
        <v>3913</v>
      </c>
      <c r="K840" s="1">
        <v>8</v>
      </c>
      <c r="L840" s="1" t="s">
        <v>4283</v>
      </c>
      <c r="M840" s="1" t="s">
        <v>4281</v>
      </c>
      <c r="N840" s="6" t="str">
        <f t="shared" si="27"/>
        <v>Apr</v>
      </c>
      <c r="O840" s="1">
        <v>2308.3200000000002</v>
      </c>
      <c r="T840" s="4"/>
      <c r="U840" s="1" t="str">
        <f t="shared" si="28"/>
        <v>Normal</v>
      </c>
    </row>
    <row r="841" spans="1:21" x14ac:dyDescent="0.25">
      <c r="A841" s="1" t="s">
        <v>853</v>
      </c>
      <c r="B841" s="4">
        <v>45162</v>
      </c>
      <c r="C841" s="1" t="s">
        <v>2049</v>
      </c>
      <c r="D841" s="1" t="s">
        <v>2406</v>
      </c>
      <c r="E841" s="1">
        <v>3</v>
      </c>
      <c r="F841" s="1">
        <v>197.97</v>
      </c>
      <c r="G841" s="1" t="s">
        <v>2902</v>
      </c>
      <c r="H841" s="1" t="s">
        <v>3066</v>
      </c>
      <c r="I841" s="1" t="s">
        <v>3071</v>
      </c>
      <c r="J841" s="1" t="s">
        <v>3914</v>
      </c>
      <c r="K841" s="1">
        <v>5</v>
      </c>
      <c r="L841" s="1" t="s">
        <v>4283</v>
      </c>
      <c r="M841" s="1" t="s">
        <v>4282</v>
      </c>
      <c r="N841" s="6" t="str">
        <f t="shared" si="27"/>
        <v>Aug</v>
      </c>
      <c r="O841" s="1">
        <v>593.91</v>
      </c>
      <c r="T841" s="4"/>
      <c r="U841" s="1" t="str">
        <f t="shared" si="28"/>
        <v>Normal</v>
      </c>
    </row>
    <row r="842" spans="1:21" x14ac:dyDescent="0.25">
      <c r="A842" s="1" t="s">
        <v>854</v>
      </c>
      <c r="B842" s="4">
        <v>45305</v>
      </c>
      <c r="C842" s="1" t="s">
        <v>2050</v>
      </c>
      <c r="D842" s="1" t="s">
        <v>2406</v>
      </c>
      <c r="E842" s="1">
        <v>3</v>
      </c>
      <c r="F842" s="1">
        <v>411.95</v>
      </c>
      <c r="G842" s="1" t="s">
        <v>2774</v>
      </c>
      <c r="H842" s="1" t="s">
        <v>3067</v>
      </c>
      <c r="I842" s="1" t="s">
        <v>3073</v>
      </c>
      <c r="J842" s="1" t="s">
        <v>3915</v>
      </c>
      <c r="K842" s="1">
        <v>7</v>
      </c>
      <c r="L842" s="1" t="s">
        <v>4276</v>
      </c>
      <c r="M842" s="1" t="s">
        <v>4279</v>
      </c>
      <c r="N842" s="6" t="str">
        <f t="shared" si="27"/>
        <v>Jan</v>
      </c>
      <c r="O842" s="1">
        <v>1235.8499999999999</v>
      </c>
      <c r="T842" s="4"/>
      <c r="U842" s="1" t="str">
        <f t="shared" si="28"/>
        <v>Normal</v>
      </c>
    </row>
    <row r="843" spans="1:21" x14ac:dyDescent="0.25">
      <c r="A843" s="1" t="s">
        <v>855</v>
      </c>
      <c r="B843" s="4">
        <v>45554</v>
      </c>
      <c r="C843" s="1" t="s">
        <v>2051</v>
      </c>
      <c r="D843" s="1" t="s">
        <v>2407</v>
      </c>
      <c r="E843" s="1">
        <v>2</v>
      </c>
      <c r="F843" s="1">
        <v>443.22</v>
      </c>
      <c r="G843" s="1" t="s">
        <v>2950</v>
      </c>
      <c r="H843" s="1" t="s">
        <v>3067</v>
      </c>
      <c r="I843" s="1" t="s">
        <v>3073</v>
      </c>
      <c r="J843" s="1" t="s">
        <v>3916</v>
      </c>
      <c r="K843" s="1">
        <v>5</v>
      </c>
      <c r="L843" s="1" t="s">
        <v>4283</v>
      </c>
      <c r="M843" s="1" t="s">
        <v>4281</v>
      </c>
      <c r="N843" s="6" t="str">
        <f t="shared" si="27"/>
        <v>Sep</v>
      </c>
      <c r="O843" s="1">
        <v>886.44</v>
      </c>
      <c r="T843" s="4"/>
      <c r="U843" s="1" t="str">
        <f t="shared" si="28"/>
        <v>Normal</v>
      </c>
    </row>
    <row r="844" spans="1:21" x14ac:dyDescent="0.25">
      <c r="A844" s="1" t="s">
        <v>856</v>
      </c>
      <c r="B844" s="4">
        <v>45784</v>
      </c>
      <c r="C844" s="1" t="s">
        <v>2052</v>
      </c>
      <c r="D844" s="1" t="s">
        <v>2408</v>
      </c>
      <c r="E844" s="1">
        <v>3</v>
      </c>
      <c r="F844" s="1">
        <v>364.14</v>
      </c>
      <c r="G844" s="1" t="s">
        <v>2877</v>
      </c>
      <c r="H844" s="1" t="s">
        <v>3066</v>
      </c>
      <c r="I844" s="1" t="s">
        <v>3074</v>
      </c>
      <c r="J844" s="1" t="s">
        <v>3917</v>
      </c>
      <c r="K844" s="1">
        <v>7</v>
      </c>
      <c r="L844" s="1" t="s">
        <v>4277</v>
      </c>
      <c r="M844" s="1" t="s">
        <v>4279</v>
      </c>
      <c r="N844" s="6" t="str">
        <f t="shared" si="27"/>
        <v>May</v>
      </c>
      <c r="O844" s="1">
        <v>1092.42</v>
      </c>
      <c r="T844" s="4"/>
      <c r="U844" s="1" t="str">
        <f t="shared" si="28"/>
        <v>Normal</v>
      </c>
    </row>
    <row r="845" spans="1:21" x14ac:dyDescent="0.25">
      <c r="A845" s="1" t="s">
        <v>857</v>
      </c>
      <c r="B845" s="4">
        <v>45790</v>
      </c>
      <c r="C845" s="1" t="s">
        <v>2053</v>
      </c>
      <c r="D845" s="1" t="s">
        <v>2409</v>
      </c>
      <c r="E845" s="1">
        <v>3</v>
      </c>
      <c r="F845" s="1">
        <v>430.06</v>
      </c>
      <c r="G845" s="1" t="s">
        <v>2951</v>
      </c>
      <c r="H845" s="1" t="s">
        <v>3068</v>
      </c>
      <c r="I845" s="1" t="s">
        <v>3071</v>
      </c>
      <c r="J845" s="1" t="s">
        <v>3918</v>
      </c>
      <c r="K845" s="1">
        <v>8</v>
      </c>
      <c r="L845" s="1" t="s">
        <v>4276</v>
      </c>
      <c r="M845" s="1" t="s">
        <v>4278</v>
      </c>
      <c r="N845" s="6" t="str">
        <f t="shared" si="27"/>
        <v>May</v>
      </c>
      <c r="O845" s="1">
        <v>1290.18</v>
      </c>
      <c r="T845" s="4"/>
      <c r="U845" s="1" t="str">
        <f t="shared" si="28"/>
        <v>Normal</v>
      </c>
    </row>
    <row r="846" spans="1:21" x14ac:dyDescent="0.25">
      <c r="A846" s="1" t="s">
        <v>858</v>
      </c>
      <c r="B846" s="4">
        <v>45630</v>
      </c>
      <c r="C846" s="1" t="s">
        <v>2054</v>
      </c>
      <c r="D846" s="1" t="s">
        <v>2406</v>
      </c>
      <c r="E846" s="1">
        <v>1</v>
      </c>
      <c r="F846" s="1">
        <v>320.92</v>
      </c>
      <c r="G846" s="1" t="s">
        <v>2952</v>
      </c>
      <c r="H846" s="1" t="s">
        <v>3066</v>
      </c>
      <c r="I846" s="1" t="s">
        <v>3072</v>
      </c>
      <c r="J846" s="1" t="s">
        <v>3919</v>
      </c>
      <c r="K846" s="1">
        <v>5</v>
      </c>
      <c r="L846" s="1" t="s">
        <v>4276</v>
      </c>
      <c r="M846" s="1" t="s">
        <v>4281</v>
      </c>
      <c r="N846" s="6" t="str">
        <f t="shared" si="27"/>
        <v>Dec</v>
      </c>
      <c r="O846" s="1">
        <v>320.92</v>
      </c>
      <c r="T846" s="4"/>
      <c r="U846" s="1" t="str">
        <f t="shared" si="28"/>
        <v>Normal</v>
      </c>
    </row>
    <row r="847" spans="1:21" x14ac:dyDescent="0.25">
      <c r="A847" s="1" t="s">
        <v>859</v>
      </c>
      <c r="B847" s="4">
        <v>45207</v>
      </c>
      <c r="C847" s="1" t="s">
        <v>2055</v>
      </c>
      <c r="D847" s="1" t="s">
        <v>2404</v>
      </c>
      <c r="E847" s="1">
        <v>3</v>
      </c>
      <c r="F847" s="1">
        <v>107.36</v>
      </c>
      <c r="G847" s="1" t="s">
        <v>2953</v>
      </c>
      <c r="H847" s="1" t="s">
        <v>3068</v>
      </c>
      <c r="I847" s="1" t="s">
        <v>3073</v>
      </c>
      <c r="J847" s="1" t="s">
        <v>3920</v>
      </c>
      <c r="K847" s="1">
        <v>5</v>
      </c>
      <c r="L847" s="1" t="s">
        <v>4276</v>
      </c>
      <c r="M847" s="1" t="s">
        <v>4282</v>
      </c>
      <c r="N847" s="6" t="str">
        <f t="shared" si="27"/>
        <v>Oct</v>
      </c>
      <c r="O847" s="1">
        <v>322.08</v>
      </c>
      <c r="T847" s="4"/>
      <c r="U847" s="1" t="str">
        <f t="shared" si="28"/>
        <v>Normal</v>
      </c>
    </row>
    <row r="848" spans="1:21" x14ac:dyDescent="0.25">
      <c r="A848" s="1" t="s">
        <v>860</v>
      </c>
      <c r="B848" s="4">
        <v>45477</v>
      </c>
      <c r="C848" s="1" t="s">
        <v>2056</v>
      </c>
      <c r="D848" s="1" t="s">
        <v>2409</v>
      </c>
      <c r="E848" s="1">
        <v>2</v>
      </c>
      <c r="F848" s="1">
        <v>359.86</v>
      </c>
      <c r="G848" s="1" t="s">
        <v>2954</v>
      </c>
      <c r="H848" s="1" t="s">
        <v>3065</v>
      </c>
      <c r="I848" s="1" t="s">
        <v>3071</v>
      </c>
      <c r="J848" s="1" t="s">
        <v>3921</v>
      </c>
      <c r="K848" s="1">
        <v>4</v>
      </c>
      <c r="L848" s="1" t="s">
        <v>4283</v>
      </c>
      <c r="M848" s="1" t="s">
        <v>4279</v>
      </c>
      <c r="N848" s="6" t="str">
        <f t="shared" si="27"/>
        <v>Jul</v>
      </c>
      <c r="O848" s="1">
        <v>719.72</v>
      </c>
      <c r="T848" s="4"/>
      <c r="U848" s="1" t="str">
        <f t="shared" si="28"/>
        <v>Normal</v>
      </c>
    </row>
    <row r="849" spans="1:21" x14ac:dyDescent="0.25">
      <c r="A849" s="1" t="s">
        <v>861</v>
      </c>
      <c r="B849" s="4">
        <v>45614</v>
      </c>
      <c r="C849" s="1" t="s">
        <v>2057</v>
      </c>
      <c r="D849" s="1" t="s">
        <v>2407</v>
      </c>
      <c r="E849" s="1">
        <v>4</v>
      </c>
      <c r="F849" s="1">
        <v>434.23</v>
      </c>
      <c r="G849" s="1" t="s">
        <v>2657</v>
      </c>
      <c r="H849" s="1" t="s">
        <v>3066</v>
      </c>
      <c r="I849" s="1" t="s">
        <v>3070</v>
      </c>
      <c r="J849" s="1" t="s">
        <v>3922</v>
      </c>
      <c r="K849" s="1">
        <v>8</v>
      </c>
      <c r="L849" s="1" t="s">
        <v>4276</v>
      </c>
      <c r="M849" s="1" t="s">
        <v>4280</v>
      </c>
      <c r="N849" s="6" t="str">
        <f t="shared" si="27"/>
        <v>Nov</v>
      </c>
      <c r="O849" s="1">
        <v>1736.92</v>
      </c>
      <c r="T849" s="4"/>
      <c r="U849" s="1" t="str">
        <f t="shared" si="28"/>
        <v>Normal</v>
      </c>
    </row>
    <row r="850" spans="1:21" x14ac:dyDescent="0.25">
      <c r="A850" s="1" t="s">
        <v>862</v>
      </c>
      <c r="B850" s="4">
        <v>44927</v>
      </c>
      <c r="C850" s="1" t="s">
        <v>2058</v>
      </c>
      <c r="D850" s="1" t="s">
        <v>2406</v>
      </c>
      <c r="E850" s="1">
        <v>2</v>
      </c>
      <c r="F850" s="1">
        <v>645.85</v>
      </c>
      <c r="G850" s="1" t="s">
        <v>2466</v>
      </c>
      <c r="H850" s="1" t="s">
        <v>3066</v>
      </c>
      <c r="I850" s="1" t="s">
        <v>3070</v>
      </c>
      <c r="J850" s="1" t="s">
        <v>3923</v>
      </c>
      <c r="K850" s="1">
        <v>5</v>
      </c>
      <c r="L850" s="1" t="s">
        <v>4283</v>
      </c>
      <c r="M850" s="1" t="s">
        <v>4279</v>
      </c>
      <c r="N850" s="6" t="str">
        <f t="shared" si="27"/>
        <v>Jan</v>
      </c>
      <c r="O850" s="1">
        <v>1291.7</v>
      </c>
      <c r="T850" s="4"/>
      <c r="U850" s="1" t="str">
        <f t="shared" si="28"/>
        <v>Normal</v>
      </c>
    </row>
    <row r="851" spans="1:21" x14ac:dyDescent="0.25">
      <c r="A851" s="1" t="s">
        <v>863</v>
      </c>
      <c r="B851" s="4">
        <v>45817</v>
      </c>
      <c r="C851" s="1" t="s">
        <v>2059</v>
      </c>
      <c r="D851" s="1" t="s">
        <v>2407</v>
      </c>
      <c r="E851" s="1">
        <v>4</v>
      </c>
      <c r="F851" s="1">
        <v>214.35</v>
      </c>
      <c r="G851" s="1" t="s">
        <v>2943</v>
      </c>
      <c r="H851" s="1" t="s">
        <v>3065</v>
      </c>
      <c r="I851" s="1" t="s">
        <v>3071</v>
      </c>
      <c r="J851" s="1" t="s">
        <v>3924</v>
      </c>
      <c r="K851" s="1">
        <v>7</v>
      </c>
      <c r="L851" s="1" t="s">
        <v>4277</v>
      </c>
      <c r="M851" s="1" t="s">
        <v>4279</v>
      </c>
      <c r="N851" s="6" t="str">
        <f t="shared" si="27"/>
        <v>Jun</v>
      </c>
      <c r="O851" s="1">
        <v>857.4</v>
      </c>
      <c r="T851" s="4"/>
      <c r="U851" s="1" t="str">
        <f t="shared" si="28"/>
        <v>Normal</v>
      </c>
    </row>
    <row r="852" spans="1:21" x14ac:dyDescent="0.25">
      <c r="A852" s="1" t="s">
        <v>864</v>
      </c>
      <c r="B852" s="4">
        <v>45774</v>
      </c>
      <c r="C852" s="1" t="s">
        <v>2060</v>
      </c>
      <c r="D852" s="1" t="s">
        <v>2403</v>
      </c>
      <c r="E852" s="1">
        <v>3</v>
      </c>
      <c r="F852" s="1">
        <v>638.5</v>
      </c>
      <c r="G852" s="1" t="s">
        <v>2893</v>
      </c>
      <c r="H852" s="1" t="s">
        <v>3065</v>
      </c>
      <c r="I852" s="1" t="s">
        <v>3071</v>
      </c>
      <c r="J852" s="1" t="s">
        <v>3925</v>
      </c>
      <c r="K852" s="1">
        <v>4</v>
      </c>
      <c r="L852" s="1" t="s">
        <v>4276</v>
      </c>
      <c r="M852" s="1" t="s">
        <v>4278</v>
      </c>
      <c r="N852" s="6" t="str">
        <f t="shared" si="27"/>
        <v>Apr</v>
      </c>
      <c r="O852" s="1">
        <v>1915.5</v>
      </c>
      <c r="T852" s="4"/>
      <c r="U852" s="1" t="str">
        <f t="shared" si="28"/>
        <v>Normal</v>
      </c>
    </row>
    <row r="853" spans="1:21" x14ac:dyDescent="0.25">
      <c r="A853" s="1" t="s">
        <v>865</v>
      </c>
      <c r="B853" s="4">
        <v>45272</v>
      </c>
      <c r="C853" s="1" t="s">
        <v>2061</v>
      </c>
      <c r="D853" s="1" t="s">
        <v>2408</v>
      </c>
      <c r="E853" s="1">
        <v>1</v>
      </c>
      <c r="F853" s="1">
        <v>365.57</v>
      </c>
      <c r="G853" s="1" t="s">
        <v>2482</v>
      </c>
      <c r="H853" s="1" t="s">
        <v>3066</v>
      </c>
      <c r="I853" s="1" t="s">
        <v>3071</v>
      </c>
      <c r="J853" s="1" t="s">
        <v>3926</v>
      </c>
      <c r="K853" s="1">
        <v>5</v>
      </c>
      <c r="L853" s="1" t="s">
        <v>4275</v>
      </c>
      <c r="M853" s="1" t="s">
        <v>4280</v>
      </c>
      <c r="N853" s="6" t="str">
        <f t="shared" si="27"/>
        <v>Dec</v>
      </c>
      <c r="O853" s="1">
        <v>365.57</v>
      </c>
      <c r="T853" s="4"/>
      <c r="U853" s="1" t="str">
        <f t="shared" si="28"/>
        <v>Normal</v>
      </c>
    </row>
    <row r="854" spans="1:21" x14ac:dyDescent="0.25">
      <c r="A854" s="1" t="s">
        <v>866</v>
      </c>
      <c r="B854" s="4">
        <v>45589</v>
      </c>
      <c r="C854" s="1" t="s">
        <v>2062</v>
      </c>
      <c r="D854" s="1" t="s">
        <v>2409</v>
      </c>
      <c r="E854" s="1">
        <v>3</v>
      </c>
      <c r="F854" s="1">
        <v>568.04999999999995</v>
      </c>
      <c r="G854" s="1" t="s">
        <v>2955</v>
      </c>
      <c r="H854" s="1" t="s">
        <v>3068</v>
      </c>
      <c r="I854" s="1" t="s">
        <v>3074</v>
      </c>
      <c r="J854" s="1" t="s">
        <v>3927</v>
      </c>
      <c r="K854" s="1">
        <v>6</v>
      </c>
      <c r="L854" s="1" t="s">
        <v>4275</v>
      </c>
      <c r="M854" s="1" t="s">
        <v>4282</v>
      </c>
      <c r="N854" s="6" t="str">
        <f t="shared" si="27"/>
        <v>Oct</v>
      </c>
      <c r="O854" s="1">
        <v>1704.15</v>
      </c>
      <c r="T854" s="4"/>
      <c r="U854" s="1" t="str">
        <f t="shared" si="28"/>
        <v>Normal</v>
      </c>
    </row>
    <row r="855" spans="1:21" x14ac:dyDescent="0.25">
      <c r="A855" s="1" t="s">
        <v>867</v>
      </c>
      <c r="B855" s="4">
        <v>45215</v>
      </c>
      <c r="C855" s="1" t="s">
        <v>2063</v>
      </c>
      <c r="D855" s="1" t="s">
        <v>2407</v>
      </c>
      <c r="E855" s="1">
        <v>3</v>
      </c>
      <c r="F855" s="1">
        <v>490.01</v>
      </c>
      <c r="G855" s="1" t="s">
        <v>2663</v>
      </c>
      <c r="H855" s="1" t="s">
        <v>3069</v>
      </c>
      <c r="I855" s="1" t="s">
        <v>3072</v>
      </c>
      <c r="J855" s="1" t="s">
        <v>3928</v>
      </c>
      <c r="K855" s="1">
        <v>4</v>
      </c>
      <c r="L855" s="1" t="s">
        <v>4275</v>
      </c>
      <c r="M855" s="1" t="s">
        <v>4281</v>
      </c>
      <c r="N855" s="6" t="str">
        <f t="shared" si="27"/>
        <v>Oct</v>
      </c>
      <c r="O855" s="1">
        <v>1470.03</v>
      </c>
      <c r="T855" s="4"/>
      <c r="U855" s="1" t="str">
        <f t="shared" si="28"/>
        <v>Normal</v>
      </c>
    </row>
    <row r="856" spans="1:21" x14ac:dyDescent="0.25">
      <c r="A856" s="1" t="s">
        <v>868</v>
      </c>
      <c r="B856" s="4">
        <v>45821</v>
      </c>
      <c r="C856" s="1" t="s">
        <v>2064</v>
      </c>
      <c r="D856" s="1" t="s">
        <v>2408</v>
      </c>
      <c r="E856" s="1">
        <v>3</v>
      </c>
      <c r="F856" s="1">
        <v>372.6</v>
      </c>
      <c r="G856" s="1" t="s">
        <v>2759</v>
      </c>
      <c r="H856" s="1" t="s">
        <v>3067</v>
      </c>
      <c r="I856" s="1" t="s">
        <v>3073</v>
      </c>
      <c r="J856" s="1" t="s">
        <v>3929</v>
      </c>
      <c r="K856" s="1">
        <v>7</v>
      </c>
      <c r="L856" s="1" t="s">
        <v>4277</v>
      </c>
      <c r="M856" s="1" t="s">
        <v>4279</v>
      </c>
      <c r="N856" s="6" t="str">
        <f t="shared" si="27"/>
        <v>Jun</v>
      </c>
      <c r="O856" s="1">
        <v>1117.8</v>
      </c>
      <c r="T856" s="4"/>
      <c r="U856" s="1" t="str">
        <f t="shared" si="28"/>
        <v>Normal</v>
      </c>
    </row>
    <row r="857" spans="1:21" x14ac:dyDescent="0.25">
      <c r="A857" s="1" t="s">
        <v>869</v>
      </c>
      <c r="B857" s="4">
        <v>45071</v>
      </c>
      <c r="C857" s="1" t="s">
        <v>2065</v>
      </c>
      <c r="D857" s="1" t="s">
        <v>2403</v>
      </c>
      <c r="E857" s="1">
        <v>5</v>
      </c>
      <c r="F857" s="1">
        <v>240.61</v>
      </c>
      <c r="G857" s="1" t="s">
        <v>2624</v>
      </c>
      <c r="H857" s="1" t="s">
        <v>3067</v>
      </c>
      <c r="I857" s="1" t="s">
        <v>3070</v>
      </c>
      <c r="J857" s="1" t="s">
        <v>3930</v>
      </c>
      <c r="K857" s="1">
        <v>10</v>
      </c>
      <c r="L857" s="1" t="s">
        <v>4276</v>
      </c>
      <c r="M857" s="1" t="s">
        <v>4280</v>
      </c>
      <c r="N857" s="6" t="str">
        <f t="shared" si="27"/>
        <v>May</v>
      </c>
      <c r="O857" s="1">
        <v>1203.05</v>
      </c>
      <c r="T857" s="4"/>
      <c r="U857" s="1" t="str">
        <f t="shared" si="28"/>
        <v>Normal</v>
      </c>
    </row>
    <row r="858" spans="1:21" x14ac:dyDescent="0.25">
      <c r="A858" s="1" t="s">
        <v>870</v>
      </c>
      <c r="B858" s="4">
        <v>45446</v>
      </c>
      <c r="C858" s="1" t="s">
        <v>2066</v>
      </c>
      <c r="D858" s="1" t="s">
        <v>2404</v>
      </c>
      <c r="E858" s="1">
        <v>1</v>
      </c>
      <c r="F858" s="1">
        <v>586.62</v>
      </c>
      <c r="G858" s="1" t="s">
        <v>2452</v>
      </c>
      <c r="H858" s="1" t="s">
        <v>3065</v>
      </c>
      <c r="I858" s="1" t="s">
        <v>3070</v>
      </c>
      <c r="J858" s="1" t="s">
        <v>3931</v>
      </c>
      <c r="K858" s="1">
        <v>5</v>
      </c>
      <c r="L858" s="1" t="s">
        <v>4283</v>
      </c>
      <c r="M858" s="1" t="s">
        <v>4281</v>
      </c>
      <c r="N858" s="6" t="str">
        <f t="shared" si="27"/>
        <v>Jun</v>
      </c>
      <c r="O858" s="1">
        <v>586.62</v>
      </c>
      <c r="T858" s="4"/>
      <c r="U858" s="1" t="str">
        <f t="shared" si="28"/>
        <v>Normal</v>
      </c>
    </row>
    <row r="859" spans="1:21" x14ac:dyDescent="0.25">
      <c r="A859" s="1" t="s">
        <v>871</v>
      </c>
      <c r="B859" s="4">
        <v>45361</v>
      </c>
      <c r="C859" s="1" t="s">
        <v>2067</v>
      </c>
      <c r="D859" s="1" t="s">
        <v>2404</v>
      </c>
      <c r="E859" s="1">
        <v>3</v>
      </c>
      <c r="F859" s="1">
        <v>257.83999999999997</v>
      </c>
      <c r="G859" s="1" t="s">
        <v>2594</v>
      </c>
      <c r="H859" s="1" t="s">
        <v>3066</v>
      </c>
      <c r="I859" s="1" t="s">
        <v>3073</v>
      </c>
      <c r="J859" s="1" t="s">
        <v>3932</v>
      </c>
      <c r="K859" s="1">
        <v>4</v>
      </c>
      <c r="L859" s="1" t="s">
        <v>4283</v>
      </c>
      <c r="M859" s="1" t="s">
        <v>4278</v>
      </c>
      <c r="N859" s="6" t="str">
        <f t="shared" si="27"/>
        <v>Mar</v>
      </c>
      <c r="O859" s="1">
        <v>773.52</v>
      </c>
      <c r="T859" s="4"/>
      <c r="U859" s="1" t="str">
        <f t="shared" si="28"/>
        <v>Normal</v>
      </c>
    </row>
    <row r="860" spans="1:21" x14ac:dyDescent="0.25">
      <c r="A860" s="1" t="s">
        <v>872</v>
      </c>
      <c r="B860" s="4">
        <v>45158</v>
      </c>
      <c r="C860" s="1" t="s">
        <v>2068</v>
      </c>
      <c r="D860" s="1" t="s">
        <v>2405</v>
      </c>
      <c r="E860" s="1">
        <v>5</v>
      </c>
      <c r="F860" s="1">
        <v>435.66</v>
      </c>
      <c r="G860" s="1" t="s">
        <v>2428</v>
      </c>
      <c r="H860" s="1" t="s">
        <v>3066</v>
      </c>
      <c r="I860" s="1" t="s">
        <v>3074</v>
      </c>
      <c r="J860" s="1" t="s">
        <v>3933</v>
      </c>
      <c r="K860" s="1">
        <v>9</v>
      </c>
      <c r="L860" s="1" t="s">
        <v>4283</v>
      </c>
      <c r="M860" s="1" t="s">
        <v>4281</v>
      </c>
      <c r="N860" s="6" t="str">
        <f t="shared" si="27"/>
        <v>Aug</v>
      </c>
      <c r="O860" s="1">
        <v>2178.3000000000002</v>
      </c>
      <c r="T860" s="4"/>
      <c r="U860" s="1" t="str">
        <f t="shared" si="28"/>
        <v>Normal</v>
      </c>
    </row>
    <row r="861" spans="1:21" x14ac:dyDescent="0.25">
      <c r="A861" s="1" t="s">
        <v>873</v>
      </c>
      <c r="B861" s="4">
        <v>45532</v>
      </c>
      <c r="C861" s="1" t="s">
        <v>2069</v>
      </c>
      <c r="D861" s="1" t="s">
        <v>2406</v>
      </c>
      <c r="E861" s="1">
        <v>5</v>
      </c>
      <c r="F861" s="1">
        <v>261.33</v>
      </c>
      <c r="G861" s="1" t="s">
        <v>2842</v>
      </c>
      <c r="H861" s="1" t="s">
        <v>3067</v>
      </c>
      <c r="I861" s="1" t="s">
        <v>3072</v>
      </c>
      <c r="J861" s="1" t="s">
        <v>3934</v>
      </c>
      <c r="K861" s="1">
        <v>5</v>
      </c>
      <c r="L861" s="1" t="s">
        <v>4275</v>
      </c>
      <c r="M861" s="1" t="s">
        <v>4279</v>
      </c>
      <c r="N861" s="6" t="str">
        <f t="shared" si="27"/>
        <v>Aug</v>
      </c>
      <c r="O861" s="1">
        <v>1306.6500000000001</v>
      </c>
      <c r="T861" s="4"/>
      <c r="U861" s="1" t="str">
        <f t="shared" si="28"/>
        <v>Normal</v>
      </c>
    </row>
    <row r="862" spans="1:21" x14ac:dyDescent="0.25">
      <c r="A862" s="1" t="s">
        <v>874</v>
      </c>
      <c r="B862" s="4">
        <v>45314</v>
      </c>
      <c r="C862" s="1" t="s">
        <v>2070</v>
      </c>
      <c r="D862" s="1" t="s">
        <v>2407</v>
      </c>
      <c r="E862" s="1">
        <v>1</v>
      </c>
      <c r="F862" s="1">
        <v>422.54</v>
      </c>
      <c r="G862" s="1" t="s">
        <v>2699</v>
      </c>
      <c r="H862" s="1" t="s">
        <v>3069</v>
      </c>
      <c r="I862" s="1" t="s">
        <v>3073</v>
      </c>
      <c r="J862" s="1" t="s">
        <v>3935</v>
      </c>
      <c r="K862" s="1">
        <v>1</v>
      </c>
      <c r="L862" s="1" t="s">
        <v>4275</v>
      </c>
      <c r="M862" s="1" t="s">
        <v>4282</v>
      </c>
      <c r="N862" s="6" t="str">
        <f t="shared" si="27"/>
        <v>Jan</v>
      </c>
      <c r="O862" s="1">
        <v>422.54</v>
      </c>
      <c r="T862" s="4"/>
      <c r="U862" s="1" t="str">
        <f t="shared" si="28"/>
        <v>Normal</v>
      </c>
    </row>
    <row r="863" spans="1:21" x14ac:dyDescent="0.25">
      <c r="A863" s="1" t="s">
        <v>875</v>
      </c>
      <c r="B863" s="4">
        <v>45004</v>
      </c>
      <c r="C863" s="1" t="s">
        <v>2071</v>
      </c>
      <c r="D863" s="1" t="s">
        <v>2409</v>
      </c>
      <c r="E863" s="1">
        <v>5</v>
      </c>
      <c r="F863" s="1">
        <v>330.45</v>
      </c>
      <c r="G863" s="1" t="s">
        <v>2956</v>
      </c>
      <c r="H863" s="1" t="s">
        <v>3068</v>
      </c>
      <c r="I863" s="1" t="s">
        <v>3070</v>
      </c>
      <c r="J863" s="1" t="s">
        <v>3936</v>
      </c>
      <c r="K863" s="1">
        <v>10</v>
      </c>
      <c r="L863" s="1" t="s">
        <v>4276</v>
      </c>
      <c r="M863" s="1" t="s">
        <v>4282</v>
      </c>
      <c r="N863" s="6" t="str">
        <f t="shared" si="27"/>
        <v>Mar</v>
      </c>
      <c r="O863" s="1">
        <v>1652.25</v>
      </c>
      <c r="T863" s="4"/>
      <c r="U863" s="1" t="str">
        <f t="shared" si="28"/>
        <v>Normal</v>
      </c>
    </row>
    <row r="864" spans="1:21" x14ac:dyDescent="0.25">
      <c r="A864" s="1" t="s">
        <v>876</v>
      </c>
      <c r="B864" s="4">
        <v>45262</v>
      </c>
      <c r="C864" s="1" t="s">
        <v>2072</v>
      </c>
      <c r="D864" s="1" t="s">
        <v>2409</v>
      </c>
      <c r="E864" s="1">
        <v>3</v>
      </c>
      <c r="F864" s="1">
        <v>120.82</v>
      </c>
      <c r="G864" s="1" t="s">
        <v>2882</v>
      </c>
      <c r="H864" s="1" t="s">
        <v>3067</v>
      </c>
      <c r="I864" s="1" t="s">
        <v>3070</v>
      </c>
      <c r="J864" s="1" t="s">
        <v>3937</v>
      </c>
      <c r="K864" s="1">
        <v>5</v>
      </c>
      <c r="L864" s="1" t="s">
        <v>4275</v>
      </c>
      <c r="M864" s="1" t="s">
        <v>4279</v>
      </c>
      <c r="N864" s="6" t="str">
        <f t="shared" si="27"/>
        <v>Dec</v>
      </c>
      <c r="O864" s="1">
        <v>362.46</v>
      </c>
      <c r="T864" s="4"/>
      <c r="U864" s="1" t="str">
        <f t="shared" si="28"/>
        <v>Normal</v>
      </c>
    </row>
    <row r="865" spans="1:21" x14ac:dyDescent="0.25">
      <c r="A865" s="1" t="s">
        <v>877</v>
      </c>
      <c r="B865" s="4">
        <v>45432</v>
      </c>
      <c r="C865" s="1" t="s">
        <v>2073</v>
      </c>
      <c r="D865" s="1" t="s">
        <v>2404</v>
      </c>
      <c r="E865" s="1">
        <v>1</v>
      </c>
      <c r="F865" s="1">
        <v>14.06</v>
      </c>
      <c r="G865" s="1" t="s">
        <v>2625</v>
      </c>
      <c r="H865" s="1" t="s">
        <v>3067</v>
      </c>
      <c r="I865" s="1" t="s">
        <v>3074</v>
      </c>
      <c r="J865" s="1" t="s">
        <v>3938</v>
      </c>
      <c r="K865" s="1">
        <v>5</v>
      </c>
      <c r="L865" s="1" t="s">
        <v>4275</v>
      </c>
      <c r="M865" s="1" t="s">
        <v>4279</v>
      </c>
      <c r="N865" s="6" t="str">
        <f t="shared" si="27"/>
        <v>May</v>
      </c>
      <c r="O865" s="1">
        <v>14.06</v>
      </c>
      <c r="T865" s="4"/>
      <c r="U865" s="1" t="str">
        <f t="shared" si="28"/>
        <v>Normal</v>
      </c>
    </row>
    <row r="866" spans="1:21" x14ac:dyDescent="0.25">
      <c r="A866" s="1" t="s">
        <v>878</v>
      </c>
      <c r="B866" s="4">
        <v>45049</v>
      </c>
      <c r="C866" s="1" t="s">
        <v>2074</v>
      </c>
      <c r="D866" s="1" t="s">
        <v>2409</v>
      </c>
      <c r="E866" s="1">
        <v>1</v>
      </c>
      <c r="F866" s="1">
        <v>491.11</v>
      </c>
      <c r="G866" s="1" t="s">
        <v>2957</v>
      </c>
      <c r="H866" s="1" t="s">
        <v>3067</v>
      </c>
      <c r="I866" s="1" t="s">
        <v>3073</v>
      </c>
      <c r="J866" s="1" t="s">
        <v>3939</v>
      </c>
      <c r="K866" s="1">
        <v>4</v>
      </c>
      <c r="L866" s="1" t="s">
        <v>4275</v>
      </c>
      <c r="M866" s="1" t="s">
        <v>4281</v>
      </c>
      <c r="N866" s="6" t="str">
        <f t="shared" si="27"/>
        <v>May</v>
      </c>
      <c r="O866" s="1">
        <v>491.11</v>
      </c>
      <c r="T866" s="4"/>
      <c r="U866" s="1" t="str">
        <f t="shared" si="28"/>
        <v>Normal</v>
      </c>
    </row>
    <row r="867" spans="1:21" x14ac:dyDescent="0.25">
      <c r="A867" s="1" t="s">
        <v>879</v>
      </c>
      <c r="B867" s="4">
        <v>45046</v>
      </c>
      <c r="C867" s="1" t="s">
        <v>2075</v>
      </c>
      <c r="D867" s="1" t="s">
        <v>2403</v>
      </c>
      <c r="E867" s="1">
        <v>4</v>
      </c>
      <c r="F867" s="1">
        <v>677.37</v>
      </c>
      <c r="G867" s="1" t="s">
        <v>2958</v>
      </c>
      <c r="H867" s="1" t="s">
        <v>3069</v>
      </c>
      <c r="I867" s="1" t="s">
        <v>3074</v>
      </c>
      <c r="J867" s="1" t="s">
        <v>3940</v>
      </c>
      <c r="K867" s="1">
        <v>8</v>
      </c>
      <c r="L867" s="1" t="s">
        <v>4275</v>
      </c>
      <c r="M867" s="1" t="s">
        <v>4282</v>
      </c>
      <c r="N867" s="6" t="str">
        <f t="shared" si="27"/>
        <v>Apr</v>
      </c>
      <c r="O867" s="1">
        <v>2709.48</v>
      </c>
      <c r="T867" s="4"/>
      <c r="U867" s="1" t="str">
        <f t="shared" si="28"/>
        <v>Normal</v>
      </c>
    </row>
    <row r="868" spans="1:21" x14ac:dyDescent="0.25">
      <c r="A868" s="1" t="s">
        <v>880</v>
      </c>
      <c r="B868" s="4">
        <v>45499</v>
      </c>
      <c r="C868" s="1" t="s">
        <v>2076</v>
      </c>
      <c r="D868" s="1" t="s">
        <v>2409</v>
      </c>
      <c r="E868" s="1">
        <v>5</v>
      </c>
      <c r="F868" s="1">
        <v>189.25</v>
      </c>
      <c r="G868" s="1" t="s">
        <v>2959</v>
      </c>
      <c r="H868" s="1" t="s">
        <v>3065</v>
      </c>
      <c r="I868" s="1" t="s">
        <v>3071</v>
      </c>
      <c r="J868" s="1" t="s">
        <v>3941</v>
      </c>
      <c r="K868" s="1">
        <v>10</v>
      </c>
      <c r="L868" s="1" t="s">
        <v>4277</v>
      </c>
      <c r="M868" s="1" t="s">
        <v>4280</v>
      </c>
      <c r="N868" s="6" t="str">
        <f t="shared" si="27"/>
        <v>Jul</v>
      </c>
      <c r="O868" s="1">
        <v>946.25</v>
      </c>
      <c r="T868" s="4"/>
      <c r="U868" s="1" t="str">
        <f t="shared" si="28"/>
        <v>Normal</v>
      </c>
    </row>
    <row r="869" spans="1:21" x14ac:dyDescent="0.25">
      <c r="A869" s="1" t="s">
        <v>881</v>
      </c>
      <c r="B869" s="4">
        <v>45438</v>
      </c>
      <c r="C869" s="1" t="s">
        <v>2077</v>
      </c>
      <c r="D869" s="1" t="s">
        <v>2407</v>
      </c>
      <c r="E869" s="1">
        <v>4</v>
      </c>
      <c r="F869" s="1">
        <v>142.58000000000001</v>
      </c>
      <c r="G869" s="1" t="s">
        <v>2960</v>
      </c>
      <c r="H869" s="1" t="s">
        <v>3069</v>
      </c>
      <c r="I869" s="1" t="s">
        <v>3073</v>
      </c>
      <c r="J869" s="1" t="s">
        <v>3942</v>
      </c>
      <c r="K869" s="1">
        <v>4</v>
      </c>
      <c r="L869" s="1" t="s">
        <v>4276</v>
      </c>
      <c r="M869" s="1" t="s">
        <v>4281</v>
      </c>
      <c r="N869" s="6" t="str">
        <f t="shared" si="27"/>
        <v>May</v>
      </c>
      <c r="O869" s="1">
        <v>570.32000000000005</v>
      </c>
      <c r="T869" s="4"/>
      <c r="U869" s="1" t="str">
        <f t="shared" si="28"/>
        <v>Normal</v>
      </c>
    </row>
    <row r="870" spans="1:21" x14ac:dyDescent="0.25">
      <c r="A870" s="1" t="s">
        <v>882</v>
      </c>
      <c r="B870" s="4">
        <v>45472</v>
      </c>
      <c r="C870" s="1" t="s">
        <v>2078</v>
      </c>
      <c r="D870" s="1" t="s">
        <v>2403</v>
      </c>
      <c r="E870" s="1">
        <v>4</v>
      </c>
      <c r="F870" s="1">
        <v>316.32</v>
      </c>
      <c r="G870" s="1" t="s">
        <v>2961</v>
      </c>
      <c r="H870" s="1" t="s">
        <v>3065</v>
      </c>
      <c r="I870" s="1" t="s">
        <v>3073</v>
      </c>
      <c r="J870" s="1" t="s">
        <v>3943</v>
      </c>
      <c r="K870" s="1">
        <v>7</v>
      </c>
      <c r="L870" s="1" t="s">
        <v>4283</v>
      </c>
      <c r="M870" s="1" t="s">
        <v>4281</v>
      </c>
      <c r="N870" s="6" t="str">
        <f t="shared" si="27"/>
        <v>Jun</v>
      </c>
      <c r="O870" s="1">
        <v>1265.28</v>
      </c>
      <c r="T870" s="4"/>
      <c r="U870" s="1" t="str">
        <f t="shared" si="28"/>
        <v>Normal</v>
      </c>
    </row>
    <row r="871" spans="1:21" x14ac:dyDescent="0.25">
      <c r="A871" s="1" t="s">
        <v>883</v>
      </c>
      <c r="B871" s="4">
        <v>45368</v>
      </c>
      <c r="C871" s="1" t="s">
        <v>2079</v>
      </c>
      <c r="D871" s="1" t="s">
        <v>2409</v>
      </c>
      <c r="E871" s="1">
        <v>2</v>
      </c>
      <c r="F871" s="1">
        <v>533.95000000000005</v>
      </c>
      <c r="G871" s="1" t="s">
        <v>2566</v>
      </c>
      <c r="H871" s="1" t="s">
        <v>3066</v>
      </c>
      <c r="I871" s="1" t="s">
        <v>3073</v>
      </c>
      <c r="J871" s="1" t="s">
        <v>3944</v>
      </c>
      <c r="K871" s="1">
        <v>5</v>
      </c>
      <c r="L871" s="1" t="s">
        <v>4277</v>
      </c>
      <c r="M871" s="1" t="s">
        <v>4282</v>
      </c>
      <c r="N871" s="6" t="str">
        <f t="shared" si="27"/>
        <v>Mar</v>
      </c>
      <c r="O871" s="1">
        <v>1067.9000000000001</v>
      </c>
      <c r="T871" s="4"/>
      <c r="U871" s="1" t="str">
        <f t="shared" si="28"/>
        <v>Normal</v>
      </c>
    </row>
    <row r="872" spans="1:21" x14ac:dyDescent="0.25">
      <c r="A872" s="1" t="s">
        <v>884</v>
      </c>
      <c r="B872" s="4">
        <v>45809</v>
      </c>
      <c r="C872" s="1" t="s">
        <v>2080</v>
      </c>
      <c r="D872" s="1" t="s">
        <v>2404</v>
      </c>
      <c r="E872" s="1">
        <v>4</v>
      </c>
      <c r="F872" s="1">
        <v>470.09</v>
      </c>
      <c r="G872" s="1" t="s">
        <v>2962</v>
      </c>
      <c r="H872" s="1" t="s">
        <v>3065</v>
      </c>
      <c r="I872" s="1" t="s">
        <v>3073</v>
      </c>
      <c r="J872" s="1" t="s">
        <v>3945</v>
      </c>
      <c r="K872" s="1">
        <v>4</v>
      </c>
      <c r="L872" s="1" t="s">
        <v>4276</v>
      </c>
      <c r="M872" s="1" t="s">
        <v>4282</v>
      </c>
      <c r="N872" s="6" t="str">
        <f t="shared" si="27"/>
        <v>Jun</v>
      </c>
      <c r="O872" s="1">
        <v>1880.36</v>
      </c>
      <c r="T872" s="4"/>
      <c r="U872" s="1" t="str">
        <f t="shared" si="28"/>
        <v>Normal</v>
      </c>
    </row>
    <row r="873" spans="1:21" x14ac:dyDescent="0.25">
      <c r="A873" s="1" t="s">
        <v>885</v>
      </c>
      <c r="B873" s="4">
        <v>45428</v>
      </c>
      <c r="C873" s="1" t="s">
        <v>2081</v>
      </c>
      <c r="D873" s="1" t="s">
        <v>2405</v>
      </c>
      <c r="E873" s="1">
        <v>3</v>
      </c>
      <c r="F873" s="1">
        <v>324.3</v>
      </c>
      <c r="G873" s="1" t="s">
        <v>2963</v>
      </c>
      <c r="H873" s="1" t="s">
        <v>3065</v>
      </c>
      <c r="I873" s="1" t="s">
        <v>3074</v>
      </c>
      <c r="J873" s="1" t="s">
        <v>3946</v>
      </c>
      <c r="K873" s="1">
        <v>8</v>
      </c>
      <c r="L873" s="1" t="s">
        <v>4276</v>
      </c>
      <c r="M873" s="1" t="s">
        <v>4280</v>
      </c>
      <c r="N873" s="6" t="str">
        <f t="shared" si="27"/>
        <v>May</v>
      </c>
      <c r="O873" s="1">
        <v>972.90000000000009</v>
      </c>
      <c r="T873" s="4"/>
      <c r="U873" s="1" t="str">
        <f t="shared" si="28"/>
        <v>Normal</v>
      </c>
    </row>
    <row r="874" spans="1:21" x14ac:dyDescent="0.25">
      <c r="A874" s="1" t="s">
        <v>886</v>
      </c>
      <c r="B874" s="4">
        <v>45117</v>
      </c>
      <c r="C874" s="1" t="s">
        <v>2082</v>
      </c>
      <c r="D874" s="1" t="s">
        <v>2406</v>
      </c>
      <c r="E874" s="1">
        <v>4</v>
      </c>
      <c r="F874" s="1">
        <v>629.34</v>
      </c>
      <c r="G874" s="1" t="s">
        <v>2590</v>
      </c>
      <c r="H874" s="1" t="s">
        <v>3069</v>
      </c>
      <c r="I874" s="1" t="s">
        <v>3070</v>
      </c>
      <c r="J874" s="1" t="s">
        <v>3947</v>
      </c>
      <c r="K874" s="1">
        <v>7</v>
      </c>
      <c r="L874" s="1" t="s">
        <v>4283</v>
      </c>
      <c r="M874" s="1" t="s">
        <v>4280</v>
      </c>
      <c r="N874" s="6" t="str">
        <f t="shared" si="27"/>
        <v>Jul</v>
      </c>
      <c r="O874" s="1">
        <v>2517.36</v>
      </c>
      <c r="T874" s="4"/>
      <c r="U874" s="1" t="str">
        <f t="shared" si="28"/>
        <v>Normal</v>
      </c>
    </row>
    <row r="875" spans="1:21" x14ac:dyDescent="0.25">
      <c r="A875" s="1" t="s">
        <v>887</v>
      </c>
      <c r="B875" s="4">
        <v>45424</v>
      </c>
      <c r="C875" s="1" t="s">
        <v>2083</v>
      </c>
      <c r="D875" s="1" t="s">
        <v>2409</v>
      </c>
      <c r="E875" s="1">
        <v>3</v>
      </c>
      <c r="F875" s="1">
        <v>136.84</v>
      </c>
      <c r="G875" s="1" t="s">
        <v>2964</v>
      </c>
      <c r="H875" s="1" t="s">
        <v>3069</v>
      </c>
      <c r="I875" s="1" t="s">
        <v>3073</v>
      </c>
      <c r="J875" s="1" t="s">
        <v>3948</v>
      </c>
      <c r="K875" s="1">
        <v>3</v>
      </c>
      <c r="L875" s="1" t="s">
        <v>4275</v>
      </c>
      <c r="M875" s="1" t="s">
        <v>4281</v>
      </c>
      <c r="N875" s="6" t="str">
        <f t="shared" si="27"/>
        <v>May</v>
      </c>
      <c r="O875" s="1">
        <v>410.52</v>
      </c>
      <c r="T875" s="4"/>
      <c r="U875" s="1" t="str">
        <f t="shared" si="28"/>
        <v>Normal</v>
      </c>
    </row>
    <row r="876" spans="1:21" x14ac:dyDescent="0.25">
      <c r="A876" s="1" t="s">
        <v>888</v>
      </c>
      <c r="B876" s="4">
        <v>45230</v>
      </c>
      <c r="C876" s="1" t="s">
        <v>2084</v>
      </c>
      <c r="D876" s="1" t="s">
        <v>2406</v>
      </c>
      <c r="E876" s="1">
        <v>2</v>
      </c>
      <c r="F876" s="1">
        <v>488.9</v>
      </c>
      <c r="G876" s="1" t="s">
        <v>2886</v>
      </c>
      <c r="H876" s="1" t="s">
        <v>3069</v>
      </c>
      <c r="I876" s="1" t="s">
        <v>3073</v>
      </c>
      <c r="J876" s="1" t="s">
        <v>3949</v>
      </c>
      <c r="K876" s="1">
        <v>7</v>
      </c>
      <c r="L876" s="1" t="s">
        <v>4276</v>
      </c>
      <c r="M876" s="1" t="s">
        <v>4281</v>
      </c>
      <c r="N876" s="6" t="str">
        <f t="shared" si="27"/>
        <v>Oct</v>
      </c>
      <c r="O876" s="1">
        <v>977.8</v>
      </c>
      <c r="T876" s="4"/>
      <c r="U876" s="1" t="str">
        <f t="shared" si="28"/>
        <v>Normal</v>
      </c>
    </row>
    <row r="877" spans="1:21" x14ac:dyDescent="0.25">
      <c r="A877" s="1" t="s">
        <v>889</v>
      </c>
      <c r="B877" s="4">
        <v>45141</v>
      </c>
      <c r="C877" s="1" t="s">
        <v>2085</v>
      </c>
      <c r="D877" s="1" t="s">
        <v>2408</v>
      </c>
      <c r="E877" s="1">
        <v>5</v>
      </c>
      <c r="F877" s="1">
        <v>133.38999999999999</v>
      </c>
      <c r="G877" s="1" t="s">
        <v>2496</v>
      </c>
      <c r="H877" s="1" t="s">
        <v>3067</v>
      </c>
      <c r="I877" s="1" t="s">
        <v>3073</v>
      </c>
      <c r="J877" s="1" t="s">
        <v>3950</v>
      </c>
      <c r="K877" s="1">
        <v>6</v>
      </c>
      <c r="L877" s="1" t="s">
        <v>4276</v>
      </c>
      <c r="M877" s="1" t="s">
        <v>4279</v>
      </c>
      <c r="N877" s="6" t="str">
        <f t="shared" si="27"/>
        <v>Aug</v>
      </c>
      <c r="O877" s="1">
        <v>666.94999999999993</v>
      </c>
      <c r="T877" s="4"/>
      <c r="U877" s="1" t="str">
        <f t="shared" si="28"/>
        <v>Normal</v>
      </c>
    </row>
    <row r="878" spans="1:21" x14ac:dyDescent="0.25">
      <c r="A878" s="1" t="s">
        <v>890</v>
      </c>
      <c r="B878" s="4">
        <v>45452</v>
      </c>
      <c r="C878" s="1" t="s">
        <v>2086</v>
      </c>
      <c r="D878" s="1" t="s">
        <v>2406</v>
      </c>
      <c r="E878" s="1">
        <v>5</v>
      </c>
      <c r="F878" s="1">
        <v>608.91</v>
      </c>
      <c r="G878" s="1" t="s">
        <v>2900</v>
      </c>
      <c r="H878" s="1" t="s">
        <v>3068</v>
      </c>
      <c r="I878" s="1" t="s">
        <v>3074</v>
      </c>
      <c r="J878" s="1" t="s">
        <v>3951</v>
      </c>
      <c r="K878" s="1">
        <v>6</v>
      </c>
      <c r="L878" s="1" t="s">
        <v>4275</v>
      </c>
      <c r="M878" s="1" t="s">
        <v>4282</v>
      </c>
      <c r="N878" s="6" t="str">
        <f t="shared" si="27"/>
        <v>Jun</v>
      </c>
      <c r="O878" s="1">
        <v>3044.55</v>
      </c>
      <c r="T878" s="4"/>
      <c r="U878" s="1" t="str">
        <f t="shared" si="28"/>
        <v>Normal</v>
      </c>
    </row>
    <row r="879" spans="1:21" x14ac:dyDescent="0.25">
      <c r="A879" s="1" t="s">
        <v>891</v>
      </c>
      <c r="B879" s="4">
        <v>45498</v>
      </c>
      <c r="C879" s="1" t="s">
        <v>2087</v>
      </c>
      <c r="D879" s="1" t="s">
        <v>2405</v>
      </c>
      <c r="E879" s="1">
        <v>1</v>
      </c>
      <c r="F879" s="1">
        <v>524.05999999999995</v>
      </c>
      <c r="G879" s="1" t="s">
        <v>2847</v>
      </c>
      <c r="H879" s="1" t="s">
        <v>3065</v>
      </c>
      <c r="I879" s="1" t="s">
        <v>3074</v>
      </c>
      <c r="J879" s="1" t="s">
        <v>3952</v>
      </c>
      <c r="K879" s="1">
        <v>3</v>
      </c>
      <c r="L879" s="1" t="s">
        <v>4276</v>
      </c>
      <c r="M879" s="1" t="s">
        <v>4280</v>
      </c>
      <c r="N879" s="6" t="str">
        <f t="shared" si="27"/>
        <v>Jul</v>
      </c>
      <c r="O879" s="1">
        <v>524.05999999999995</v>
      </c>
      <c r="T879" s="4"/>
      <c r="U879" s="1" t="str">
        <f t="shared" si="28"/>
        <v>Normal</v>
      </c>
    </row>
    <row r="880" spans="1:21" x14ac:dyDescent="0.25">
      <c r="A880" s="1" t="s">
        <v>892</v>
      </c>
      <c r="B880" s="4">
        <v>45078</v>
      </c>
      <c r="C880" s="1" t="s">
        <v>2088</v>
      </c>
      <c r="D880" s="1" t="s">
        <v>2409</v>
      </c>
      <c r="E880" s="1">
        <v>2</v>
      </c>
      <c r="F880" s="1">
        <v>330.69</v>
      </c>
      <c r="G880" s="1" t="s">
        <v>2965</v>
      </c>
      <c r="H880" s="1" t="s">
        <v>3066</v>
      </c>
      <c r="I880" s="1" t="s">
        <v>3071</v>
      </c>
      <c r="J880" s="1" t="s">
        <v>3953</v>
      </c>
      <c r="K880" s="1">
        <v>5</v>
      </c>
      <c r="L880" s="1" t="s">
        <v>4275</v>
      </c>
      <c r="M880" s="1" t="s">
        <v>4282</v>
      </c>
      <c r="N880" s="6" t="str">
        <f t="shared" si="27"/>
        <v>Jun</v>
      </c>
      <c r="O880" s="1">
        <v>661.38</v>
      </c>
      <c r="T880" s="4"/>
      <c r="U880" s="1" t="str">
        <f t="shared" si="28"/>
        <v>Normal</v>
      </c>
    </row>
    <row r="881" spans="1:21" x14ac:dyDescent="0.25">
      <c r="A881" s="1" t="s">
        <v>893</v>
      </c>
      <c r="B881" s="4">
        <v>45755</v>
      </c>
      <c r="C881" s="1" t="s">
        <v>2089</v>
      </c>
      <c r="D881" s="1" t="s">
        <v>2404</v>
      </c>
      <c r="E881" s="1">
        <v>2</v>
      </c>
      <c r="F881" s="1">
        <v>547.66999999999996</v>
      </c>
      <c r="G881" s="1" t="s">
        <v>2817</v>
      </c>
      <c r="H881" s="1" t="s">
        <v>3068</v>
      </c>
      <c r="I881" s="1" t="s">
        <v>3070</v>
      </c>
      <c r="J881" s="1" t="s">
        <v>3954</v>
      </c>
      <c r="K881" s="1">
        <v>3</v>
      </c>
      <c r="L881" s="1" t="s">
        <v>4283</v>
      </c>
      <c r="M881" s="1" t="s">
        <v>4278</v>
      </c>
      <c r="N881" s="6" t="str">
        <f t="shared" si="27"/>
        <v>Apr</v>
      </c>
      <c r="O881" s="1">
        <v>1095.3399999999999</v>
      </c>
      <c r="T881" s="4"/>
      <c r="U881" s="1" t="str">
        <f t="shared" si="28"/>
        <v>Normal</v>
      </c>
    </row>
    <row r="882" spans="1:21" x14ac:dyDescent="0.25">
      <c r="A882" s="1" t="s">
        <v>894</v>
      </c>
      <c r="B882" s="4">
        <v>45728</v>
      </c>
      <c r="C882" s="1" t="s">
        <v>2090</v>
      </c>
      <c r="D882" s="1" t="s">
        <v>2408</v>
      </c>
      <c r="E882" s="1">
        <v>4</v>
      </c>
      <c r="F882" s="1">
        <v>233.7</v>
      </c>
      <c r="G882" s="1" t="s">
        <v>2620</v>
      </c>
      <c r="H882" s="1" t="s">
        <v>3066</v>
      </c>
      <c r="I882" s="1" t="s">
        <v>3070</v>
      </c>
      <c r="J882" s="1" t="s">
        <v>3955</v>
      </c>
      <c r="K882" s="1">
        <v>8</v>
      </c>
      <c r="L882" s="1" t="s">
        <v>4275</v>
      </c>
      <c r="M882" s="1" t="s">
        <v>4281</v>
      </c>
      <c r="N882" s="6" t="str">
        <f t="shared" si="27"/>
        <v>Mar</v>
      </c>
      <c r="O882" s="1">
        <v>934.8</v>
      </c>
      <c r="T882" s="4"/>
      <c r="U882" s="1" t="str">
        <f t="shared" si="28"/>
        <v>Normal</v>
      </c>
    </row>
    <row r="883" spans="1:21" x14ac:dyDescent="0.25">
      <c r="A883" s="1" t="s">
        <v>895</v>
      </c>
      <c r="B883" s="4">
        <v>44929</v>
      </c>
      <c r="C883" s="1" t="s">
        <v>2091</v>
      </c>
      <c r="D883" s="1" t="s">
        <v>2405</v>
      </c>
      <c r="E883" s="1">
        <v>2</v>
      </c>
      <c r="F883" s="1">
        <v>448.85</v>
      </c>
      <c r="G883" s="1" t="s">
        <v>2966</v>
      </c>
      <c r="H883" s="1" t="s">
        <v>3067</v>
      </c>
      <c r="I883" s="1" t="s">
        <v>3074</v>
      </c>
      <c r="J883" s="1" t="s">
        <v>3956</v>
      </c>
      <c r="K883" s="1">
        <v>6</v>
      </c>
      <c r="L883" s="1" t="s">
        <v>4283</v>
      </c>
      <c r="M883" s="1" t="s">
        <v>4278</v>
      </c>
      <c r="N883" s="6" t="str">
        <f t="shared" si="27"/>
        <v>Jan</v>
      </c>
      <c r="O883" s="1">
        <v>897.7</v>
      </c>
      <c r="T883" s="4"/>
      <c r="U883" s="1" t="str">
        <f t="shared" si="28"/>
        <v>Normal</v>
      </c>
    </row>
    <row r="884" spans="1:21" x14ac:dyDescent="0.25">
      <c r="A884" s="1" t="s">
        <v>896</v>
      </c>
      <c r="B884" s="4">
        <v>45836</v>
      </c>
      <c r="C884" s="1" t="s">
        <v>2092</v>
      </c>
      <c r="D884" s="1" t="s">
        <v>2404</v>
      </c>
      <c r="E884" s="1">
        <v>2</v>
      </c>
      <c r="F884" s="1">
        <v>274.12</v>
      </c>
      <c r="G884" s="1" t="s">
        <v>2501</v>
      </c>
      <c r="H884" s="1" t="s">
        <v>3069</v>
      </c>
      <c r="I884" s="1" t="s">
        <v>3073</v>
      </c>
      <c r="J884" s="1" t="s">
        <v>3957</v>
      </c>
      <c r="K884" s="1">
        <v>6</v>
      </c>
      <c r="L884" s="1" t="s">
        <v>4276</v>
      </c>
      <c r="M884" s="1" t="s">
        <v>4279</v>
      </c>
      <c r="N884" s="6" t="str">
        <f t="shared" si="27"/>
        <v>Jun</v>
      </c>
      <c r="O884" s="1">
        <v>548.24</v>
      </c>
      <c r="T884" s="4"/>
      <c r="U884" s="1" t="str">
        <f t="shared" si="28"/>
        <v>Normal</v>
      </c>
    </row>
    <row r="885" spans="1:21" x14ac:dyDescent="0.25">
      <c r="A885" s="1" t="s">
        <v>897</v>
      </c>
      <c r="B885" s="4">
        <v>45790</v>
      </c>
      <c r="C885" s="1" t="s">
        <v>2093</v>
      </c>
      <c r="D885" s="1" t="s">
        <v>2407</v>
      </c>
      <c r="E885" s="1">
        <v>5</v>
      </c>
      <c r="F885" s="1">
        <v>561.48</v>
      </c>
      <c r="G885" s="1" t="s">
        <v>2967</v>
      </c>
      <c r="H885" s="1" t="s">
        <v>3066</v>
      </c>
      <c r="I885" s="1" t="s">
        <v>3073</v>
      </c>
      <c r="J885" s="1" t="s">
        <v>3958</v>
      </c>
      <c r="K885" s="1">
        <v>9</v>
      </c>
      <c r="L885" s="1" t="s">
        <v>4276</v>
      </c>
      <c r="M885" s="1" t="s">
        <v>4281</v>
      </c>
      <c r="N885" s="6" t="str">
        <f t="shared" si="27"/>
        <v>May</v>
      </c>
      <c r="O885" s="1">
        <v>2807.4</v>
      </c>
      <c r="T885" s="4"/>
      <c r="U885" s="1" t="str">
        <f t="shared" si="28"/>
        <v>Normal</v>
      </c>
    </row>
    <row r="886" spans="1:21" x14ac:dyDescent="0.25">
      <c r="A886" s="1" t="s">
        <v>898</v>
      </c>
      <c r="B886" s="4">
        <v>45427</v>
      </c>
      <c r="C886" s="1" t="s">
        <v>2094</v>
      </c>
      <c r="D886" s="1" t="s">
        <v>2406</v>
      </c>
      <c r="E886" s="1">
        <v>1</v>
      </c>
      <c r="F886" s="1">
        <v>595.54</v>
      </c>
      <c r="G886" s="1" t="s">
        <v>2968</v>
      </c>
      <c r="H886" s="1" t="s">
        <v>3068</v>
      </c>
      <c r="I886" s="1" t="s">
        <v>3070</v>
      </c>
      <c r="J886" s="1" t="s">
        <v>3959</v>
      </c>
      <c r="K886" s="1">
        <v>4</v>
      </c>
      <c r="L886" s="1" t="s">
        <v>4283</v>
      </c>
      <c r="M886" s="1" t="s">
        <v>4278</v>
      </c>
      <c r="N886" s="6" t="str">
        <f t="shared" si="27"/>
        <v>May</v>
      </c>
      <c r="O886" s="1">
        <v>595.54</v>
      </c>
      <c r="T886" s="4"/>
      <c r="U886" s="1" t="str">
        <f t="shared" si="28"/>
        <v>Normal</v>
      </c>
    </row>
    <row r="887" spans="1:21" x14ac:dyDescent="0.25">
      <c r="A887" s="1" t="s">
        <v>899</v>
      </c>
      <c r="B887" s="4">
        <v>45389</v>
      </c>
      <c r="C887" s="1" t="s">
        <v>2095</v>
      </c>
      <c r="D887" s="1" t="s">
        <v>2408</v>
      </c>
      <c r="E887" s="1">
        <v>4</v>
      </c>
      <c r="F887" s="1">
        <v>515.59</v>
      </c>
      <c r="G887" s="1" t="s">
        <v>2969</v>
      </c>
      <c r="H887" s="1" t="s">
        <v>3067</v>
      </c>
      <c r="I887" s="1" t="s">
        <v>3070</v>
      </c>
      <c r="J887" s="1" t="s">
        <v>3960</v>
      </c>
      <c r="K887" s="1">
        <v>7</v>
      </c>
      <c r="L887" s="1" t="s">
        <v>4276</v>
      </c>
      <c r="M887" s="1" t="s">
        <v>4282</v>
      </c>
      <c r="N887" s="6" t="str">
        <f t="shared" si="27"/>
        <v>Apr</v>
      </c>
      <c r="O887" s="1">
        <v>2062.36</v>
      </c>
      <c r="T887" s="4"/>
      <c r="U887" s="1" t="str">
        <f t="shared" si="28"/>
        <v>Normal</v>
      </c>
    </row>
    <row r="888" spans="1:21" x14ac:dyDescent="0.25">
      <c r="A888" s="1" t="s">
        <v>900</v>
      </c>
      <c r="B888" s="4">
        <v>45224</v>
      </c>
      <c r="C888" s="1" t="s">
        <v>2096</v>
      </c>
      <c r="D888" s="1" t="s">
        <v>2404</v>
      </c>
      <c r="E888" s="1">
        <v>1</v>
      </c>
      <c r="F888" s="1">
        <v>460.13</v>
      </c>
      <c r="G888" s="1" t="s">
        <v>2970</v>
      </c>
      <c r="H888" s="1" t="s">
        <v>3067</v>
      </c>
      <c r="I888" s="1" t="s">
        <v>3072</v>
      </c>
      <c r="J888" s="1" t="s">
        <v>3961</v>
      </c>
      <c r="K888" s="1">
        <v>1</v>
      </c>
      <c r="L888" s="1" t="s">
        <v>4283</v>
      </c>
      <c r="M888" s="1" t="s">
        <v>4282</v>
      </c>
      <c r="N888" s="6" t="str">
        <f t="shared" si="27"/>
        <v>Oct</v>
      </c>
      <c r="O888" s="1">
        <v>460.13</v>
      </c>
      <c r="T888" s="4"/>
      <c r="U888" s="1" t="str">
        <f t="shared" si="28"/>
        <v>Normal</v>
      </c>
    </row>
    <row r="889" spans="1:21" x14ac:dyDescent="0.25">
      <c r="A889" s="1" t="s">
        <v>901</v>
      </c>
      <c r="B889" s="4">
        <v>45645</v>
      </c>
      <c r="C889" s="1" t="s">
        <v>2097</v>
      </c>
      <c r="D889" s="1" t="s">
        <v>2406</v>
      </c>
      <c r="E889" s="1">
        <v>3</v>
      </c>
      <c r="F889" s="1">
        <v>171.66</v>
      </c>
      <c r="G889" s="1" t="s">
        <v>2971</v>
      </c>
      <c r="H889" s="1" t="s">
        <v>3065</v>
      </c>
      <c r="I889" s="1" t="s">
        <v>3073</v>
      </c>
      <c r="J889" s="1" t="s">
        <v>3962</v>
      </c>
      <c r="K889" s="1">
        <v>7</v>
      </c>
      <c r="L889" s="1" t="s">
        <v>4283</v>
      </c>
      <c r="M889" s="1" t="s">
        <v>4282</v>
      </c>
      <c r="N889" s="6" t="str">
        <f t="shared" si="27"/>
        <v>Dec</v>
      </c>
      <c r="O889" s="1">
        <v>514.98</v>
      </c>
      <c r="T889" s="4"/>
      <c r="U889" s="1" t="str">
        <f t="shared" si="28"/>
        <v>Normal</v>
      </c>
    </row>
    <row r="890" spans="1:21" x14ac:dyDescent="0.25">
      <c r="A890" s="1" t="s">
        <v>902</v>
      </c>
      <c r="B890" s="4">
        <v>45496</v>
      </c>
      <c r="C890" s="1" t="s">
        <v>2098</v>
      </c>
      <c r="D890" s="1" t="s">
        <v>2408</v>
      </c>
      <c r="E890" s="1">
        <v>2</v>
      </c>
      <c r="F890" s="1">
        <v>266.95</v>
      </c>
      <c r="G890" s="1" t="s">
        <v>2972</v>
      </c>
      <c r="H890" s="1" t="s">
        <v>3067</v>
      </c>
      <c r="I890" s="1" t="s">
        <v>3074</v>
      </c>
      <c r="J890" s="1" t="s">
        <v>3963</v>
      </c>
      <c r="K890" s="1">
        <v>3</v>
      </c>
      <c r="L890" s="1" t="s">
        <v>4283</v>
      </c>
      <c r="M890" s="1" t="s">
        <v>4278</v>
      </c>
      <c r="N890" s="6" t="str">
        <f t="shared" si="27"/>
        <v>Jul</v>
      </c>
      <c r="O890" s="1">
        <v>533.9</v>
      </c>
      <c r="T890" s="4"/>
      <c r="U890" s="1" t="str">
        <f t="shared" si="28"/>
        <v>Normal</v>
      </c>
    </row>
    <row r="891" spans="1:21" x14ac:dyDescent="0.25">
      <c r="A891" s="1" t="s">
        <v>903</v>
      </c>
      <c r="B891" s="4">
        <v>45592</v>
      </c>
      <c r="C891" s="1" t="s">
        <v>2099</v>
      </c>
      <c r="D891" s="1" t="s">
        <v>2403</v>
      </c>
      <c r="E891" s="1">
        <v>5</v>
      </c>
      <c r="F891" s="1">
        <v>650.72</v>
      </c>
      <c r="G891" s="1" t="s">
        <v>2973</v>
      </c>
      <c r="H891" s="1" t="s">
        <v>3067</v>
      </c>
      <c r="I891" s="1" t="s">
        <v>3071</v>
      </c>
      <c r="J891" s="1" t="s">
        <v>3964</v>
      </c>
      <c r="K891" s="1">
        <v>8</v>
      </c>
      <c r="L891" s="1" t="s">
        <v>4277</v>
      </c>
      <c r="M891" s="1" t="s">
        <v>4280</v>
      </c>
      <c r="N891" s="6" t="str">
        <f t="shared" si="27"/>
        <v>Oct</v>
      </c>
      <c r="O891" s="1">
        <v>3253.6</v>
      </c>
      <c r="T891" s="4"/>
      <c r="U891" s="1" t="str">
        <f t="shared" si="28"/>
        <v>Normal</v>
      </c>
    </row>
    <row r="892" spans="1:21" x14ac:dyDescent="0.25">
      <c r="A892" s="1" t="s">
        <v>904</v>
      </c>
      <c r="B892" s="4">
        <v>45149</v>
      </c>
      <c r="C892" s="1" t="s">
        <v>2100</v>
      </c>
      <c r="D892" s="1" t="s">
        <v>2408</v>
      </c>
      <c r="E892" s="1">
        <v>3</v>
      </c>
      <c r="F892" s="1">
        <v>439.53</v>
      </c>
      <c r="G892" s="1" t="s">
        <v>2781</v>
      </c>
      <c r="H892" s="1" t="s">
        <v>3065</v>
      </c>
      <c r="I892" s="1" t="s">
        <v>3074</v>
      </c>
      <c r="J892" s="1" t="s">
        <v>3965</v>
      </c>
      <c r="K892" s="1">
        <v>5</v>
      </c>
      <c r="L892" s="1" t="s">
        <v>4283</v>
      </c>
      <c r="M892" s="1" t="s">
        <v>4282</v>
      </c>
      <c r="N892" s="6" t="str">
        <f t="shared" si="27"/>
        <v>Aug</v>
      </c>
      <c r="O892" s="1">
        <v>1318.59</v>
      </c>
      <c r="T892" s="4"/>
      <c r="U892" s="1" t="str">
        <f t="shared" si="28"/>
        <v>Normal</v>
      </c>
    </row>
    <row r="893" spans="1:21" x14ac:dyDescent="0.25">
      <c r="A893" s="1" t="s">
        <v>905</v>
      </c>
      <c r="B893" s="4">
        <v>45241</v>
      </c>
      <c r="C893" s="1" t="s">
        <v>2101</v>
      </c>
      <c r="D893" s="1" t="s">
        <v>2403</v>
      </c>
      <c r="E893" s="1">
        <v>3</v>
      </c>
      <c r="F893" s="1">
        <v>654.54</v>
      </c>
      <c r="G893" s="1" t="s">
        <v>2974</v>
      </c>
      <c r="H893" s="1" t="s">
        <v>3069</v>
      </c>
      <c r="I893" s="1" t="s">
        <v>3072</v>
      </c>
      <c r="J893" s="1" t="s">
        <v>3966</v>
      </c>
      <c r="K893" s="1">
        <v>7</v>
      </c>
      <c r="L893" s="1" t="s">
        <v>4275</v>
      </c>
      <c r="M893" s="1" t="s">
        <v>4279</v>
      </c>
      <c r="N893" s="6" t="str">
        <f t="shared" si="27"/>
        <v>Nov</v>
      </c>
      <c r="O893" s="1">
        <v>1963.62</v>
      </c>
      <c r="T893" s="4"/>
      <c r="U893" s="1" t="str">
        <f t="shared" si="28"/>
        <v>Normal</v>
      </c>
    </row>
    <row r="894" spans="1:21" x14ac:dyDescent="0.25">
      <c r="A894" s="1" t="s">
        <v>906</v>
      </c>
      <c r="B894" s="4">
        <v>45447</v>
      </c>
      <c r="C894" s="1" t="s">
        <v>2102</v>
      </c>
      <c r="D894" s="1" t="s">
        <v>2409</v>
      </c>
      <c r="E894" s="1">
        <v>1</v>
      </c>
      <c r="F894" s="1">
        <v>394.53</v>
      </c>
      <c r="G894" s="1" t="s">
        <v>2975</v>
      </c>
      <c r="H894" s="1" t="s">
        <v>3069</v>
      </c>
      <c r="I894" s="1" t="s">
        <v>3070</v>
      </c>
      <c r="J894" s="1" t="s">
        <v>3967</v>
      </c>
      <c r="K894" s="1">
        <v>2</v>
      </c>
      <c r="L894" s="1" t="s">
        <v>4276</v>
      </c>
      <c r="M894" s="1" t="s">
        <v>4279</v>
      </c>
      <c r="N894" s="6" t="str">
        <f t="shared" si="27"/>
        <v>Jun</v>
      </c>
      <c r="O894" s="1">
        <v>394.53</v>
      </c>
      <c r="T894" s="4"/>
      <c r="U894" s="1" t="str">
        <f t="shared" si="28"/>
        <v>Normal</v>
      </c>
    </row>
    <row r="895" spans="1:21" x14ac:dyDescent="0.25">
      <c r="A895" s="1" t="s">
        <v>907</v>
      </c>
      <c r="B895" s="4">
        <v>45006</v>
      </c>
      <c r="C895" s="1" t="s">
        <v>2103</v>
      </c>
      <c r="D895" s="1" t="s">
        <v>2403</v>
      </c>
      <c r="E895" s="1">
        <v>1</v>
      </c>
      <c r="F895" s="1">
        <v>678.01</v>
      </c>
      <c r="G895" s="1" t="s">
        <v>2796</v>
      </c>
      <c r="H895" s="1" t="s">
        <v>3069</v>
      </c>
      <c r="I895" s="1" t="s">
        <v>3074</v>
      </c>
      <c r="J895" s="1" t="s">
        <v>3968</v>
      </c>
      <c r="K895" s="1">
        <v>4</v>
      </c>
      <c r="L895" s="1" t="s">
        <v>4276</v>
      </c>
      <c r="M895" s="1" t="s">
        <v>4279</v>
      </c>
      <c r="N895" s="6" t="str">
        <f t="shared" si="27"/>
        <v>Mar</v>
      </c>
      <c r="O895" s="1">
        <v>678.01</v>
      </c>
      <c r="T895" s="4"/>
      <c r="U895" s="1" t="str">
        <f t="shared" si="28"/>
        <v>Normal</v>
      </c>
    </row>
    <row r="896" spans="1:21" x14ac:dyDescent="0.25">
      <c r="A896" s="1" t="s">
        <v>908</v>
      </c>
      <c r="B896" s="4">
        <v>45069</v>
      </c>
      <c r="C896" s="1" t="s">
        <v>2104</v>
      </c>
      <c r="D896" s="1" t="s">
        <v>2405</v>
      </c>
      <c r="E896" s="1">
        <v>3</v>
      </c>
      <c r="F896" s="1">
        <v>575.01</v>
      </c>
      <c r="G896" s="1" t="s">
        <v>2811</v>
      </c>
      <c r="H896" s="1" t="s">
        <v>3066</v>
      </c>
      <c r="I896" s="1" t="s">
        <v>3071</v>
      </c>
      <c r="J896" s="1" t="s">
        <v>3969</v>
      </c>
      <c r="K896" s="1">
        <v>8</v>
      </c>
      <c r="L896" s="1" t="s">
        <v>4277</v>
      </c>
      <c r="M896" s="1" t="s">
        <v>4278</v>
      </c>
      <c r="N896" s="6" t="str">
        <f t="shared" si="27"/>
        <v>May</v>
      </c>
      <c r="O896" s="1">
        <v>1725.03</v>
      </c>
      <c r="T896" s="4"/>
      <c r="U896" s="1" t="str">
        <f t="shared" si="28"/>
        <v>Normal</v>
      </c>
    </row>
    <row r="897" spans="1:21" x14ac:dyDescent="0.25">
      <c r="A897" s="1" t="s">
        <v>909</v>
      </c>
      <c r="B897" s="4">
        <v>45239</v>
      </c>
      <c r="C897" s="1" t="s">
        <v>2105</v>
      </c>
      <c r="D897" s="1" t="s">
        <v>2406</v>
      </c>
      <c r="E897" s="1">
        <v>3</v>
      </c>
      <c r="F897" s="1">
        <v>154.63999999999999</v>
      </c>
      <c r="G897" s="1" t="s">
        <v>2976</v>
      </c>
      <c r="H897" s="1" t="s">
        <v>3065</v>
      </c>
      <c r="I897" s="1" t="s">
        <v>3074</v>
      </c>
      <c r="J897" s="1" t="s">
        <v>3970</v>
      </c>
      <c r="K897" s="1">
        <v>6</v>
      </c>
      <c r="L897" s="1" t="s">
        <v>4277</v>
      </c>
      <c r="M897" s="1" t="s">
        <v>4281</v>
      </c>
      <c r="N897" s="6" t="str">
        <f t="shared" si="27"/>
        <v>Nov</v>
      </c>
      <c r="O897" s="1">
        <v>463.92</v>
      </c>
      <c r="T897" s="4"/>
      <c r="U897" s="1" t="str">
        <f t="shared" si="28"/>
        <v>Normal</v>
      </c>
    </row>
    <row r="898" spans="1:21" x14ac:dyDescent="0.25">
      <c r="A898" s="1" t="s">
        <v>910</v>
      </c>
      <c r="B898" s="4">
        <v>45583</v>
      </c>
      <c r="C898" s="1" t="s">
        <v>2106</v>
      </c>
      <c r="D898" s="1" t="s">
        <v>2409</v>
      </c>
      <c r="E898" s="1">
        <v>3</v>
      </c>
      <c r="F898" s="1">
        <v>147.29</v>
      </c>
      <c r="G898" s="1" t="s">
        <v>2419</v>
      </c>
      <c r="H898" s="1" t="s">
        <v>3068</v>
      </c>
      <c r="I898" s="1" t="s">
        <v>3070</v>
      </c>
      <c r="J898" s="1" t="s">
        <v>3971</v>
      </c>
      <c r="K898" s="1">
        <v>3</v>
      </c>
      <c r="L898" s="1" t="s">
        <v>4276</v>
      </c>
      <c r="M898" s="1" t="s">
        <v>4282</v>
      </c>
      <c r="N898" s="6" t="str">
        <f t="shared" ref="N898:N961" si="29">TEXT(B898,"MMM")</f>
        <v>Oct</v>
      </c>
      <c r="O898" s="1">
        <v>441.87</v>
      </c>
      <c r="T898" s="4"/>
      <c r="U898" s="1" t="str">
        <f t="shared" si="28"/>
        <v>Normal</v>
      </c>
    </row>
    <row r="899" spans="1:21" x14ac:dyDescent="0.25">
      <c r="A899" s="1" t="s">
        <v>911</v>
      </c>
      <c r="B899" s="4">
        <v>45538</v>
      </c>
      <c r="C899" s="1" t="s">
        <v>2107</v>
      </c>
      <c r="D899" s="1" t="s">
        <v>2408</v>
      </c>
      <c r="E899" s="1">
        <v>4</v>
      </c>
      <c r="F899" s="1">
        <v>481.48</v>
      </c>
      <c r="G899" s="1" t="s">
        <v>2589</v>
      </c>
      <c r="H899" s="1" t="s">
        <v>3068</v>
      </c>
      <c r="I899" s="1" t="s">
        <v>3073</v>
      </c>
      <c r="J899" s="1" t="s">
        <v>3972</v>
      </c>
      <c r="K899" s="1">
        <v>5</v>
      </c>
      <c r="L899" s="1" t="s">
        <v>4275</v>
      </c>
      <c r="M899" s="1" t="s">
        <v>4278</v>
      </c>
      <c r="N899" s="6" t="str">
        <f t="shared" si="29"/>
        <v>Sep</v>
      </c>
      <c r="O899" s="1">
        <v>1925.92</v>
      </c>
      <c r="T899" s="4"/>
      <c r="U899" s="1" t="str">
        <f t="shared" ref="U899:U962" si="30">IF(O899&gt;$S$2,"Outlier","Normal")</f>
        <v>Normal</v>
      </c>
    </row>
    <row r="900" spans="1:21" x14ac:dyDescent="0.25">
      <c r="A900" s="1" t="s">
        <v>912</v>
      </c>
      <c r="B900" s="4">
        <v>45721</v>
      </c>
      <c r="C900" s="1" t="s">
        <v>2108</v>
      </c>
      <c r="D900" s="1" t="s">
        <v>2403</v>
      </c>
      <c r="E900" s="1">
        <v>3</v>
      </c>
      <c r="F900" s="1">
        <v>158.37</v>
      </c>
      <c r="G900" s="1" t="s">
        <v>2950</v>
      </c>
      <c r="H900" s="1" t="s">
        <v>3069</v>
      </c>
      <c r="I900" s="1" t="s">
        <v>3070</v>
      </c>
      <c r="J900" s="1" t="s">
        <v>3973</v>
      </c>
      <c r="K900" s="1">
        <v>6</v>
      </c>
      <c r="L900" s="1" t="s">
        <v>4283</v>
      </c>
      <c r="M900" s="1" t="s">
        <v>4279</v>
      </c>
      <c r="N900" s="6" t="str">
        <f t="shared" si="29"/>
        <v>Mar</v>
      </c>
      <c r="O900" s="1">
        <v>475.11</v>
      </c>
      <c r="T900" s="4"/>
      <c r="U900" s="1" t="str">
        <f t="shared" si="30"/>
        <v>Normal</v>
      </c>
    </row>
    <row r="901" spans="1:21" x14ac:dyDescent="0.25">
      <c r="A901" s="1" t="s">
        <v>913</v>
      </c>
      <c r="B901" s="4">
        <v>45770</v>
      </c>
      <c r="C901" s="1" t="s">
        <v>2109</v>
      </c>
      <c r="D901" s="1" t="s">
        <v>2407</v>
      </c>
      <c r="E901" s="1">
        <v>2</v>
      </c>
      <c r="F901" s="1">
        <v>323.37</v>
      </c>
      <c r="G901" s="1" t="s">
        <v>2474</v>
      </c>
      <c r="H901" s="1" t="s">
        <v>3066</v>
      </c>
      <c r="I901" s="1" t="s">
        <v>3074</v>
      </c>
      <c r="J901" s="1" t="s">
        <v>3974</v>
      </c>
      <c r="K901" s="1">
        <v>3</v>
      </c>
      <c r="L901" s="1" t="s">
        <v>4275</v>
      </c>
      <c r="M901" s="1" t="s">
        <v>4278</v>
      </c>
      <c r="N901" s="6" t="str">
        <f t="shared" si="29"/>
        <v>Apr</v>
      </c>
      <c r="O901" s="1">
        <v>646.74</v>
      </c>
      <c r="T901" s="4"/>
      <c r="U901" s="1" t="str">
        <f t="shared" si="30"/>
        <v>Normal</v>
      </c>
    </row>
    <row r="902" spans="1:21" x14ac:dyDescent="0.25">
      <c r="A902" s="1" t="s">
        <v>914</v>
      </c>
      <c r="B902" s="4">
        <v>45695</v>
      </c>
      <c r="C902" s="1" t="s">
        <v>2110</v>
      </c>
      <c r="D902" s="1" t="s">
        <v>2408</v>
      </c>
      <c r="E902" s="1">
        <v>5</v>
      </c>
      <c r="F902" s="1">
        <v>73.83</v>
      </c>
      <c r="G902" s="1" t="s">
        <v>2802</v>
      </c>
      <c r="H902" s="1" t="s">
        <v>3065</v>
      </c>
      <c r="I902" s="1" t="s">
        <v>3074</v>
      </c>
      <c r="J902" s="1" t="s">
        <v>3975</v>
      </c>
      <c r="K902" s="1">
        <v>9</v>
      </c>
      <c r="L902" s="1" t="s">
        <v>4283</v>
      </c>
      <c r="M902" s="1" t="s">
        <v>4278</v>
      </c>
      <c r="N902" s="6" t="str">
        <f t="shared" si="29"/>
        <v>Feb</v>
      </c>
      <c r="O902" s="1">
        <v>369.15</v>
      </c>
      <c r="T902" s="4"/>
      <c r="U902" s="1" t="str">
        <f t="shared" si="30"/>
        <v>Normal</v>
      </c>
    </row>
    <row r="903" spans="1:21" x14ac:dyDescent="0.25">
      <c r="A903" s="1" t="s">
        <v>915</v>
      </c>
      <c r="B903" s="4">
        <v>45410</v>
      </c>
      <c r="C903" s="1" t="s">
        <v>2111</v>
      </c>
      <c r="D903" s="1" t="s">
        <v>2405</v>
      </c>
      <c r="E903" s="1">
        <v>1</v>
      </c>
      <c r="F903" s="1">
        <v>458.63</v>
      </c>
      <c r="G903" s="1" t="s">
        <v>2499</v>
      </c>
      <c r="H903" s="1" t="s">
        <v>3065</v>
      </c>
      <c r="I903" s="1" t="s">
        <v>3072</v>
      </c>
      <c r="J903" s="1" t="s">
        <v>3976</v>
      </c>
      <c r="K903" s="1">
        <v>4</v>
      </c>
      <c r="L903" s="1" t="s">
        <v>4277</v>
      </c>
      <c r="M903" s="1" t="s">
        <v>4279</v>
      </c>
      <c r="N903" s="6" t="str">
        <f t="shared" si="29"/>
        <v>Apr</v>
      </c>
      <c r="O903" s="1">
        <v>458.63</v>
      </c>
      <c r="T903" s="4"/>
      <c r="U903" s="1" t="str">
        <f t="shared" si="30"/>
        <v>Normal</v>
      </c>
    </row>
    <row r="904" spans="1:21" x14ac:dyDescent="0.25">
      <c r="A904" s="1" t="s">
        <v>916</v>
      </c>
      <c r="B904" s="4">
        <v>45486</v>
      </c>
      <c r="C904" s="1" t="s">
        <v>2112</v>
      </c>
      <c r="D904" s="1" t="s">
        <v>2403</v>
      </c>
      <c r="E904" s="1">
        <v>4</v>
      </c>
      <c r="F904" s="1">
        <v>180.25</v>
      </c>
      <c r="G904" s="1" t="s">
        <v>2469</v>
      </c>
      <c r="H904" s="1" t="s">
        <v>3065</v>
      </c>
      <c r="I904" s="1" t="s">
        <v>3071</v>
      </c>
      <c r="J904" s="1" t="s">
        <v>3977</v>
      </c>
      <c r="K904" s="1">
        <v>7</v>
      </c>
      <c r="L904" s="1" t="s">
        <v>4283</v>
      </c>
      <c r="M904" s="1" t="s">
        <v>4281</v>
      </c>
      <c r="N904" s="6" t="str">
        <f t="shared" si="29"/>
        <v>Jul</v>
      </c>
      <c r="O904" s="1">
        <v>721</v>
      </c>
      <c r="T904" s="4"/>
      <c r="U904" s="1" t="str">
        <f t="shared" si="30"/>
        <v>Normal</v>
      </c>
    </row>
    <row r="905" spans="1:21" x14ac:dyDescent="0.25">
      <c r="A905" s="1" t="s">
        <v>917</v>
      </c>
      <c r="B905" s="4">
        <v>45063</v>
      </c>
      <c r="C905" s="1" t="s">
        <v>2113</v>
      </c>
      <c r="D905" s="1" t="s">
        <v>2403</v>
      </c>
      <c r="E905" s="1">
        <v>3</v>
      </c>
      <c r="F905" s="1">
        <v>473.49</v>
      </c>
      <c r="G905" s="1" t="s">
        <v>2932</v>
      </c>
      <c r="H905" s="1" t="s">
        <v>3067</v>
      </c>
      <c r="I905" s="1" t="s">
        <v>3074</v>
      </c>
      <c r="J905" s="1" t="s">
        <v>3978</v>
      </c>
      <c r="K905" s="1">
        <v>7</v>
      </c>
      <c r="L905" s="1" t="s">
        <v>4283</v>
      </c>
      <c r="M905" s="1" t="s">
        <v>4280</v>
      </c>
      <c r="N905" s="6" t="str">
        <f t="shared" si="29"/>
        <v>May</v>
      </c>
      <c r="O905" s="1">
        <v>1420.47</v>
      </c>
      <c r="T905" s="4"/>
      <c r="U905" s="1" t="str">
        <f t="shared" si="30"/>
        <v>Normal</v>
      </c>
    </row>
    <row r="906" spans="1:21" x14ac:dyDescent="0.25">
      <c r="A906" s="1" t="s">
        <v>918</v>
      </c>
      <c r="B906" s="4">
        <v>45693</v>
      </c>
      <c r="C906" s="1" t="s">
        <v>2114</v>
      </c>
      <c r="D906" s="1" t="s">
        <v>2403</v>
      </c>
      <c r="E906" s="1">
        <v>4</v>
      </c>
      <c r="F906" s="1">
        <v>237.43</v>
      </c>
      <c r="G906" s="1" t="s">
        <v>2758</v>
      </c>
      <c r="H906" s="1" t="s">
        <v>3069</v>
      </c>
      <c r="I906" s="1" t="s">
        <v>3071</v>
      </c>
      <c r="J906" s="1" t="s">
        <v>3979</v>
      </c>
      <c r="K906" s="1">
        <v>8</v>
      </c>
      <c r="L906" s="1" t="s">
        <v>4277</v>
      </c>
      <c r="M906" s="1" t="s">
        <v>4279</v>
      </c>
      <c r="N906" s="6" t="str">
        <f t="shared" si="29"/>
        <v>Feb</v>
      </c>
      <c r="O906" s="1">
        <v>949.72</v>
      </c>
      <c r="T906" s="4"/>
      <c r="U906" s="1" t="str">
        <f t="shared" si="30"/>
        <v>Normal</v>
      </c>
    </row>
    <row r="907" spans="1:21" x14ac:dyDescent="0.25">
      <c r="A907" s="1" t="s">
        <v>919</v>
      </c>
      <c r="B907" s="4">
        <v>45253</v>
      </c>
      <c r="C907" s="1" t="s">
        <v>2115</v>
      </c>
      <c r="D907" s="1" t="s">
        <v>2408</v>
      </c>
      <c r="E907" s="1">
        <v>1</v>
      </c>
      <c r="F907" s="1">
        <v>442.39</v>
      </c>
      <c r="G907" s="1" t="s">
        <v>2677</v>
      </c>
      <c r="H907" s="1" t="s">
        <v>3068</v>
      </c>
      <c r="I907" s="1" t="s">
        <v>3074</v>
      </c>
      <c r="J907" s="1" t="s">
        <v>3980</v>
      </c>
      <c r="K907" s="1">
        <v>6</v>
      </c>
      <c r="L907" s="1" t="s">
        <v>4276</v>
      </c>
      <c r="M907" s="1" t="s">
        <v>4281</v>
      </c>
      <c r="N907" s="6" t="str">
        <f t="shared" si="29"/>
        <v>Nov</v>
      </c>
      <c r="O907" s="1">
        <v>442.39</v>
      </c>
      <c r="T907" s="4"/>
      <c r="U907" s="1" t="str">
        <f t="shared" si="30"/>
        <v>Normal</v>
      </c>
    </row>
    <row r="908" spans="1:21" x14ac:dyDescent="0.25">
      <c r="A908" s="1" t="s">
        <v>920</v>
      </c>
      <c r="B908" s="4">
        <v>45538</v>
      </c>
      <c r="C908" s="1" t="s">
        <v>2116</v>
      </c>
      <c r="D908" s="1" t="s">
        <v>2403</v>
      </c>
      <c r="E908" s="1">
        <v>1</v>
      </c>
      <c r="F908" s="1">
        <v>62.12</v>
      </c>
      <c r="G908" s="1" t="s">
        <v>2977</v>
      </c>
      <c r="H908" s="1" t="s">
        <v>3069</v>
      </c>
      <c r="I908" s="1" t="s">
        <v>3072</v>
      </c>
      <c r="J908" s="1" t="s">
        <v>3981</v>
      </c>
      <c r="K908" s="1">
        <v>2</v>
      </c>
      <c r="L908" s="1" t="s">
        <v>4283</v>
      </c>
      <c r="M908" s="1" t="s">
        <v>4280</v>
      </c>
      <c r="N908" s="6" t="str">
        <f t="shared" si="29"/>
        <v>Sep</v>
      </c>
      <c r="O908" s="1">
        <v>62.12</v>
      </c>
      <c r="T908" s="4"/>
      <c r="U908" s="1" t="str">
        <f t="shared" si="30"/>
        <v>Normal</v>
      </c>
    </row>
    <row r="909" spans="1:21" x14ac:dyDescent="0.25">
      <c r="A909" s="1" t="s">
        <v>921</v>
      </c>
      <c r="B909" s="4">
        <v>45508</v>
      </c>
      <c r="C909" s="1" t="s">
        <v>2117</v>
      </c>
      <c r="D909" s="1" t="s">
        <v>2409</v>
      </c>
      <c r="E909" s="1">
        <v>5</v>
      </c>
      <c r="F909" s="1">
        <v>298.39</v>
      </c>
      <c r="G909" s="1" t="s">
        <v>2534</v>
      </c>
      <c r="H909" s="1" t="s">
        <v>3068</v>
      </c>
      <c r="I909" s="1" t="s">
        <v>3071</v>
      </c>
      <c r="J909" s="1" t="s">
        <v>3982</v>
      </c>
      <c r="K909" s="1">
        <v>7</v>
      </c>
      <c r="L909" s="1" t="s">
        <v>4277</v>
      </c>
      <c r="M909" s="1" t="s">
        <v>4279</v>
      </c>
      <c r="N909" s="6" t="str">
        <f t="shared" si="29"/>
        <v>Aug</v>
      </c>
      <c r="O909" s="1">
        <v>1491.95</v>
      </c>
      <c r="T909" s="4"/>
      <c r="U909" s="1" t="str">
        <f t="shared" si="30"/>
        <v>Normal</v>
      </c>
    </row>
    <row r="910" spans="1:21" x14ac:dyDescent="0.25">
      <c r="A910" s="1" t="s">
        <v>922</v>
      </c>
      <c r="B910" s="4">
        <v>45783</v>
      </c>
      <c r="C910" s="1" t="s">
        <v>2118</v>
      </c>
      <c r="D910" s="1" t="s">
        <v>2409</v>
      </c>
      <c r="E910" s="1">
        <v>2</v>
      </c>
      <c r="F910" s="1">
        <v>697.93</v>
      </c>
      <c r="G910" s="1" t="s">
        <v>2567</v>
      </c>
      <c r="H910" s="1" t="s">
        <v>3067</v>
      </c>
      <c r="I910" s="1" t="s">
        <v>3071</v>
      </c>
      <c r="J910" s="1" t="s">
        <v>3983</v>
      </c>
      <c r="K910" s="1">
        <v>2</v>
      </c>
      <c r="L910" s="1" t="s">
        <v>4275</v>
      </c>
      <c r="M910" s="1" t="s">
        <v>4282</v>
      </c>
      <c r="N910" s="6" t="str">
        <f t="shared" si="29"/>
        <v>May</v>
      </c>
      <c r="O910" s="1">
        <v>1395.86</v>
      </c>
      <c r="T910" s="4"/>
      <c r="U910" s="1" t="str">
        <f t="shared" si="30"/>
        <v>Normal</v>
      </c>
    </row>
    <row r="911" spans="1:21" x14ac:dyDescent="0.25">
      <c r="A911" s="1" t="s">
        <v>923</v>
      </c>
      <c r="B911" s="4">
        <v>45439</v>
      </c>
      <c r="C911" s="1" t="s">
        <v>2119</v>
      </c>
      <c r="D911" s="1" t="s">
        <v>2405</v>
      </c>
      <c r="E911" s="1">
        <v>2</v>
      </c>
      <c r="F911" s="1">
        <v>291.85000000000002</v>
      </c>
      <c r="G911" s="1" t="s">
        <v>2431</v>
      </c>
      <c r="H911" s="1" t="s">
        <v>3069</v>
      </c>
      <c r="I911" s="1" t="s">
        <v>3070</v>
      </c>
      <c r="J911" s="1" t="s">
        <v>3984</v>
      </c>
      <c r="K911" s="1">
        <v>5</v>
      </c>
      <c r="L911" s="1" t="s">
        <v>4276</v>
      </c>
      <c r="M911" s="1" t="s">
        <v>4278</v>
      </c>
      <c r="N911" s="6" t="str">
        <f t="shared" si="29"/>
        <v>May</v>
      </c>
      <c r="O911" s="1">
        <v>583.70000000000005</v>
      </c>
      <c r="T911" s="4"/>
      <c r="U911" s="1" t="str">
        <f t="shared" si="30"/>
        <v>Normal</v>
      </c>
    </row>
    <row r="912" spans="1:21" x14ac:dyDescent="0.25">
      <c r="A912" s="1" t="s">
        <v>924</v>
      </c>
      <c r="B912" s="4">
        <v>45443</v>
      </c>
      <c r="C912" s="1" t="s">
        <v>2120</v>
      </c>
      <c r="D912" s="1" t="s">
        <v>2407</v>
      </c>
      <c r="E912" s="1">
        <v>3</v>
      </c>
      <c r="F912" s="1">
        <v>308.98</v>
      </c>
      <c r="G912" s="1" t="s">
        <v>2481</v>
      </c>
      <c r="H912" s="1" t="s">
        <v>3069</v>
      </c>
      <c r="I912" s="1" t="s">
        <v>3073</v>
      </c>
      <c r="J912" s="1" t="s">
        <v>3985</v>
      </c>
      <c r="K912" s="1">
        <v>3</v>
      </c>
      <c r="L912" s="1" t="s">
        <v>4275</v>
      </c>
      <c r="M912" s="1" t="s">
        <v>4278</v>
      </c>
      <c r="N912" s="6" t="str">
        <f t="shared" si="29"/>
        <v>May</v>
      </c>
      <c r="O912" s="1">
        <v>926.94</v>
      </c>
      <c r="T912" s="4"/>
      <c r="U912" s="1" t="str">
        <f t="shared" si="30"/>
        <v>Normal</v>
      </c>
    </row>
    <row r="913" spans="1:21" x14ac:dyDescent="0.25">
      <c r="A913" s="1" t="s">
        <v>925</v>
      </c>
      <c r="B913" s="4">
        <v>45517</v>
      </c>
      <c r="C913" s="1" t="s">
        <v>2121</v>
      </c>
      <c r="D913" s="1" t="s">
        <v>2409</v>
      </c>
      <c r="E913" s="1">
        <v>5</v>
      </c>
      <c r="F913" s="1">
        <v>396.86</v>
      </c>
      <c r="G913" s="1" t="s">
        <v>2520</v>
      </c>
      <c r="H913" s="1" t="s">
        <v>3069</v>
      </c>
      <c r="I913" s="1" t="s">
        <v>3071</v>
      </c>
      <c r="J913" s="1" t="s">
        <v>3986</v>
      </c>
      <c r="K913" s="1">
        <v>9</v>
      </c>
      <c r="L913" s="1" t="s">
        <v>4275</v>
      </c>
      <c r="M913" s="1" t="s">
        <v>4278</v>
      </c>
      <c r="N913" s="6" t="str">
        <f t="shared" si="29"/>
        <v>Aug</v>
      </c>
      <c r="O913" s="1">
        <v>1984.3</v>
      </c>
      <c r="T913" s="4"/>
      <c r="U913" s="1" t="str">
        <f t="shared" si="30"/>
        <v>Normal</v>
      </c>
    </row>
    <row r="914" spans="1:21" x14ac:dyDescent="0.25">
      <c r="A914" s="1" t="s">
        <v>926</v>
      </c>
      <c r="B914" s="4">
        <v>45313</v>
      </c>
      <c r="C914" s="1" t="s">
        <v>2122</v>
      </c>
      <c r="D914" s="1" t="s">
        <v>2409</v>
      </c>
      <c r="E914" s="1">
        <v>2</v>
      </c>
      <c r="F914" s="1">
        <v>139.69</v>
      </c>
      <c r="G914" s="1" t="s">
        <v>2492</v>
      </c>
      <c r="H914" s="1" t="s">
        <v>3066</v>
      </c>
      <c r="I914" s="1" t="s">
        <v>3072</v>
      </c>
      <c r="J914" s="1" t="s">
        <v>3987</v>
      </c>
      <c r="K914" s="1">
        <v>7</v>
      </c>
      <c r="L914" s="1" t="s">
        <v>4276</v>
      </c>
      <c r="M914" s="1" t="s">
        <v>4280</v>
      </c>
      <c r="N914" s="6" t="str">
        <f t="shared" si="29"/>
        <v>Jan</v>
      </c>
      <c r="O914" s="1">
        <v>279.38</v>
      </c>
      <c r="T914" s="4"/>
      <c r="U914" s="1" t="str">
        <f t="shared" si="30"/>
        <v>Normal</v>
      </c>
    </row>
    <row r="915" spans="1:21" x14ac:dyDescent="0.25">
      <c r="A915" s="1" t="s">
        <v>927</v>
      </c>
      <c r="B915" s="4">
        <v>44973</v>
      </c>
      <c r="C915" s="1" t="s">
        <v>2123</v>
      </c>
      <c r="D915" s="1" t="s">
        <v>2407</v>
      </c>
      <c r="E915" s="1">
        <v>5</v>
      </c>
      <c r="F915" s="1">
        <v>475.95</v>
      </c>
      <c r="G915" s="1" t="s">
        <v>2583</v>
      </c>
      <c r="H915" s="1" t="s">
        <v>3067</v>
      </c>
      <c r="I915" s="1" t="s">
        <v>3072</v>
      </c>
      <c r="J915" s="1" t="s">
        <v>3988</v>
      </c>
      <c r="K915" s="1">
        <v>8</v>
      </c>
      <c r="L915" s="1" t="s">
        <v>4277</v>
      </c>
      <c r="M915" s="1" t="s">
        <v>4281</v>
      </c>
      <c r="N915" s="6" t="str">
        <f t="shared" si="29"/>
        <v>Feb</v>
      </c>
      <c r="O915" s="1">
        <v>2379.75</v>
      </c>
      <c r="T915" s="4"/>
      <c r="U915" s="1" t="str">
        <f t="shared" si="30"/>
        <v>Normal</v>
      </c>
    </row>
    <row r="916" spans="1:21" x14ac:dyDescent="0.25">
      <c r="A916" s="1" t="s">
        <v>928</v>
      </c>
      <c r="B916" s="4">
        <v>45698</v>
      </c>
      <c r="C916" s="1" t="s">
        <v>2124</v>
      </c>
      <c r="D916" s="1" t="s">
        <v>2409</v>
      </c>
      <c r="E916" s="1">
        <v>1</v>
      </c>
      <c r="F916" s="1">
        <v>626.6</v>
      </c>
      <c r="G916" s="1" t="s">
        <v>2751</v>
      </c>
      <c r="H916" s="1" t="s">
        <v>3068</v>
      </c>
      <c r="I916" s="1" t="s">
        <v>3072</v>
      </c>
      <c r="J916" s="1" t="s">
        <v>3989</v>
      </c>
      <c r="K916" s="1">
        <v>4</v>
      </c>
      <c r="L916" s="1" t="s">
        <v>4277</v>
      </c>
      <c r="M916" s="1" t="s">
        <v>4281</v>
      </c>
      <c r="N916" s="6" t="str">
        <f t="shared" si="29"/>
        <v>Feb</v>
      </c>
      <c r="O916" s="1">
        <v>626.6</v>
      </c>
      <c r="T916" s="4"/>
      <c r="U916" s="1" t="str">
        <f t="shared" si="30"/>
        <v>Normal</v>
      </c>
    </row>
    <row r="917" spans="1:21" x14ac:dyDescent="0.25">
      <c r="A917" s="1" t="s">
        <v>929</v>
      </c>
      <c r="B917" s="4">
        <v>45338</v>
      </c>
      <c r="C917" s="1" t="s">
        <v>2125</v>
      </c>
      <c r="D917" s="1" t="s">
        <v>2408</v>
      </c>
      <c r="E917" s="1">
        <v>4</v>
      </c>
      <c r="F917" s="1">
        <v>502.99</v>
      </c>
      <c r="G917" s="1" t="s">
        <v>2978</v>
      </c>
      <c r="H917" s="1" t="s">
        <v>3065</v>
      </c>
      <c r="I917" s="1" t="s">
        <v>3070</v>
      </c>
      <c r="J917" s="1" t="s">
        <v>3990</v>
      </c>
      <c r="K917" s="1">
        <v>4</v>
      </c>
      <c r="L917" s="1" t="s">
        <v>4277</v>
      </c>
      <c r="M917" s="1" t="s">
        <v>4279</v>
      </c>
      <c r="N917" s="6" t="str">
        <f t="shared" si="29"/>
        <v>Feb</v>
      </c>
      <c r="O917" s="1">
        <v>2011.96</v>
      </c>
      <c r="T917" s="4"/>
      <c r="U917" s="1" t="str">
        <f t="shared" si="30"/>
        <v>Normal</v>
      </c>
    </row>
    <row r="918" spans="1:21" x14ac:dyDescent="0.25">
      <c r="A918" s="1" t="s">
        <v>930</v>
      </c>
      <c r="B918" s="4">
        <v>45464</v>
      </c>
      <c r="C918" s="1" t="s">
        <v>2126</v>
      </c>
      <c r="D918" s="1" t="s">
        <v>2407</v>
      </c>
      <c r="E918" s="1">
        <v>5</v>
      </c>
      <c r="F918" s="1">
        <v>578.83000000000004</v>
      </c>
      <c r="G918" s="1" t="s">
        <v>2913</v>
      </c>
      <c r="H918" s="1" t="s">
        <v>3069</v>
      </c>
      <c r="I918" s="1" t="s">
        <v>3072</v>
      </c>
      <c r="J918" s="1" t="s">
        <v>3991</v>
      </c>
      <c r="K918" s="1">
        <v>6</v>
      </c>
      <c r="L918" s="1" t="s">
        <v>4283</v>
      </c>
      <c r="M918" s="1" t="s">
        <v>4279</v>
      </c>
      <c r="N918" s="6" t="str">
        <f t="shared" si="29"/>
        <v>Jun</v>
      </c>
      <c r="O918" s="1">
        <v>2894.15</v>
      </c>
      <c r="T918" s="4"/>
      <c r="U918" s="1" t="str">
        <f t="shared" si="30"/>
        <v>Normal</v>
      </c>
    </row>
    <row r="919" spans="1:21" x14ac:dyDescent="0.25">
      <c r="A919" s="1" t="s">
        <v>931</v>
      </c>
      <c r="B919" s="4">
        <v>45677</v>
      </c>
      <c r="C919" s="1" t="s">
        <v>2127</v>
      </c>
      <c r="D919" s="1" t="s">
        <v>2408</v>
      </c>
      <c r="E919" s="1">
        <v>5</v>
      </c>
      <c r="F919" s="1">
        <v>383.82</v>
      </c>
      <c r="G919" s="1" t="s">
        <v>2979</v>
      </c>
      <c r="H919" s="1" t="s">
        <v>3067</v>
      </c>
      <c r="I919" s="1" t="s">
        <v>3072</v>
      </c>
      <c r="J919" s="1" t="s">
        <v>3992</v>
      </c>
      <c r="K919" s="1">
        <v>7</v>
      </c>
      <c r="L919" s="1" t="s">
        <v>4276</v>
      </c>
      <c r="M919" s="1" t="s">
        <v>4282</v>
      </c>
      <c r="N919" s="6" t="str">
        <f t="shared" si="29"/>
        <v>Jan</v>
      </c>
      <c r="O919" s="1">
        <v>1919.1</v>
      </c>
      <c r="T919" s="4"/>
      <c r="U919" s="1" t="str">
        <f t="shared" si="30"/>
        <v>Normal</v>
      </c>
    </row>
    <row r="920" spans="1:21" x14ac:dyDescent="0.25">
      <c r="A920" s="1" t="s">
        <v>932</v>
      </c>
      <c r="B920" s="4">
        <v>45832</v>
      </c>
      <c r="C920" s="1" t="s">
        <v>2128</v>
      </c>
      <c r="D920" s="1" t="s">
        <v>2408</v>
      </c>
      <c r="E920" s="1">
        <v>5</v>
      </c>
      <c r="F920" s="1">
        <v>368.25</v>
      </c>
      <c r="G920" s="1" t="s">
        <v>2417</v>
      </c>
      <c r="H920" s="1" t="s">
        <v>3066</v>
      </c>
      <c r="I920" s="1" t="s">
        <v>3073</v>
      </c>
      <c r="J920" s="1" t="s">
        <v>3993</v>
      </c>
      <c r="K920" s="1">
        <v>5</v>
      </c>
      <c r="L920" s="1" t="s">
        <v>4283</v>
      </c>
      <c r="M920" s="1" t="s">
        <v>4278</v>
      </c>
      <c r="N920" s="6" t="str">
        <f t="shared" si="29"/>
        <v>Jun</v>
      </c>
      <c r="O920" s="1">
        <v>1841.25</v>
      </c>
      <c r="T920" s="4"/>
      <c r="U920" s="1" t="str">
        <f t="shared" si="30"/>
        <v>Normal</v>
      </c>
    </row>
    <row r="921" spans="1:21" x14ac:dyDescent="0.25">
      <c r="A921" s="1" t="s">
        <v>933</v>
      </c>
      <c r="B921" s="4">
        <v>45695</v>
      </c>
      <c r="C921" s="1" t="s">
        <v>2129</v>
      </c>
      <c r="D921" s="1" t="s">
        <v>2407</v>
      </c>
      <c r="E921" s="1">
        <v>2</v>
      </c>
      <c r="F921" s="1">
        <v>374.6</v>
      </c>
      <c r="G921" s="1" t="s">
        <v>2522</v>
      </c>
      <c r="H921" s="1" t="s">
        <v>3066</v>
      </c>
      <c r="I921" s="1" t="s">
        <v>3070</v>
      </c>
      <c r="J921" s="1" t="s">
        <v>3994</v>
      </c>
      <c r="K921" s="1">
        <v>3</v>
      </c>
      <c r="L921" s="1" t="s">
        <v>4276</v>
      </c>
      <c r="M921" s="1" t="s">
        <v>4279</v>
      </c>
      <c r="N921" s="6" t="str">
        <f t="shared" si="29"/>
        <v>Feb</v>
      </c>
      <c r="O921" s="1">
        <v>749.2</v>
      </c>
      <c r="T921" s="4"/>
      <c r="U921" s="1" t="str">
        <f t="shared" si="30"/>
        <v>Normal</v>
      </c>
    </row>
    <row r="922" spans="1:21" x14ac:dyDescent="0.25">
      <c r="A922" s="1" t="s">
        <v>934</v>
      </c>
      <c r="B922" s="4">
        <v>45728</v>
      </c>
      <c r="C922" s="1" t="s">
        <v>2130</v>
      </c>
      <c r="D922" s="1" t="s">
        <v>2405</v>
      </c>
      <c r="E922" s="1">
        <v>2</v>
      </c>
      <c r="F922" s="1">
        <v>428.09</v>
      </c>
      <c r="G922" s="1" t="s">
        <v>2674</v>
      </c>
      <c r="H922" s="1" t="s">
        <v>3067</v>
      </c>
      <c r="I922" s="1" t="s">
        <v>3072</v>
      </c>
      <c r="J922" s="1" t="s">
        <v>3995</v>
      </c>
      <c r="K922" s="1">
        <v>6</v>
      </c>
      <c r="L922" s="1" t="s">
        <v>4283</v>
      </c>
      <c r="M922" s="1" t="s">
        <v>4278</v>
      </c>
      <c r="N922" s="6" t="str">
        <f t="shared" si="29"/>
        <v>Mar</v>
      </c>
      <c r="O922" s="1">
        <v>856.18</v>
      </c>
      <c r="T922" s="4"/>
      <c r="U922" s="1" t="str">
        <f t="shared" si="30"/>
        <v>Normal</v>
      </c>
    </row>
    <row r="923" spans="1:21" x14ac:dyDescent="0.25">
      <c r="A923" s="1" t="s">
        <v>935</v>
      </c>
      <c r="B923" s="4">
        <v>45131</v>
      </c>
      <c r="C923" s="1" t="s">
        <v>2131</v>
      </c>
      <c r="D923" s="1" t="s">
        <v>2405</v>
      </c>
      <c r="E923" s="1">
        <v>1</v>
      </c>
      <c r="F923" s="1">
        <v>438.93</v>
      </c>
      <c r="G923" s="1" t="s">
        <v>2980</v>
      </c>
      <c r="H923" s="1" t="s">
        <v>3068</v>
      </c>
      <c r="I923" s="1" t="s">
        <v>3071</v>
      </c>
      <c r="J923" s="1" t="s">
        <v>3996</v>
      </c>
      <c r="K923" s="1">
        <v>3</v>
      </c>
      <c r="L923" s="1" t="s">
        <v>4275</v>
      </c>
      <c r="M923" s="1" t="s">
        <v>4279</v>
      </c>
      <c r="N923" s="6" t="str">
        <f t="shared" si="29"/>
        <v>Jul</v>
      </c>
      <c r="O923" s="1">
        <v>438.93</v>
      </c>
      <c r="T923" s="4"/>
      <c r="U923" s="1" t="str">
        <f t="shared" si="30"/>
        <v>Normal</v>
      </c>
    </row>
    <row r="924" spans="1:21" x14ac:dyDescent="0.25">
      <c r="A924" s="1" t="s">
        <v>936</v>
      </c>
      <c r="B924" s="4">
        <v>45460</v>
      </c>
      <c r="C924" s="1" t="s">
        <v>2132</v>
      </c>
      <c r="D924" s="1" t="s">
        <v>2409</v>
      </c>
      <c r="E924" s="1">
        <v>2</v>
      </c>
      <c r="F924" s="1">
        <v>563.82000000000005</v>
      </c>
      <c r="G924" s="1" t="s">
        <v>2981</v>
      </c>
      <c r="H924" s="1" t="s">
        <v>3067</v>
      </c>
      <c r="I924" s="1" t="s">
        <v>3074</v>
      </c>
      <c r="J924" s="1" t="s">
        <v>3997</v>
      </c>
      <c r="K924" s="1">
        <v>3</v>
      </c>
      <c r="L924" s="1" t="s">
        <v>4283</v>
      </c>
      <c r="M924" s="1" t="s">
        <v>4278</v>
      </c>
      <c r="N924" s="6" t="str">
        <f t="shared" si="29"/>
        <v>Jun</v>
      </c>
      <c r="O924" s="1">
        <v>1127.6400000000001</v>
      </c>
      <c r="T924" s="4"/>
      <c r="U924" s="1" t="str">
        <f t="shared" si="30"/>
        <v>Normal</v>
      </c>
    </row>
    <row r="925" spans="1:21" x14ac:dyDescent="0.25">
      <c r="A925" s="1" t="s">
        <v>937</v>
      </c>
      <c r="B925" s="4">
        <v>44968</v>
      </c>
      <c r="C925" s="1" t="s">
        <v>2133</v>
      </c>
      <c r="D925" s="1" t="s">
        <v>2407</v>
      </c>
      <c r="E925" s="1">
        <v>3</v>
      </c>
      <c r="F925" s="1">
        <v>649.92999999999995</v>
      </c>
      <c r="G925" s="1" t="s">
        <v>2979</v>
      </c>
      <c r="H925" s="1" t="s">
        <v>3067</v>
      </c>
      <c r="I925" s="1" t="s">
        <v>3074</v>
      </c>
      <c r="J925" s="1" t="s">
        <v>3998</v>
      </c>
      <c r="K925" s="1">
        <v>7</v>
      </c>
      <c r="L925" s="1" t="s">
        <v>4277</v>
      </c>
      <c r="M925" s="1" t="s">
        <v>4281</v>
      </c>
      <c r="N925" s="6" t="str">
        <f t="shared" si="29"/>
        <v>Feb</v>
      </c>
      <c r="O925" s="1">
        <v>1949.79</v>
      </c>
      <c r="T925" s="4"/>
      <c r="U925" s="1" t="str">
        <f t="shared" si="30"/>
        <v>Normal</v>
      </c>
    </row>
    <row r="926" spans="1:21" x14ac:dyDescent="0.25">
      <c r="A926" s="1" t="s">
        <v>938</v>
      </c>
      <c r="B926" s="4">
        <v>45738</v>
      </c>
      <c r="C926" s="1" t="s">
        <v>2134</v>
      </c>
      <c r="D926" s="1" t="s">
        <v>2407</v>
      </c>
      <c r="E926" s="1">
        <v>5</v>
      </c>
      <c r="F926" s="1">
        <v>268.43</v>
      </c>
      <c r="G926" s="1" t="s">
        <v>2802</v>
      </c>
      <c r="H926" s="1" t="s">
        <v>3069</v>
      </c>
      <c r="I926" s="1" t="s">
        <v>3072</v>
      </c>
      <c r="J926" s="1" t="s">
        <v>3999</v>
      </c>
      <c r="K926" s="1">
        <v>5</v>
      </c>
      <c r="L926" s="1" t="s">
        <v>4275</v>
      </c>
      <c r="M926" s="1" t="s">
        <v>4280</v>
      </c>
      <c r="N926" s="6" t="str">
        <f t="shared" si="29"/>
        <v>Mar</v>
      </c>
      <c r="O926" s="1">
        <v>1342.15</v>
      </c>
      <c r="T926" s="4"/>
      <c r="U926" s="1" t="str">
        <f t="shared" si="30"/>
        <v>Normal</v>
      </c>
    </row>
    <row r="927" spans="1:21" x14ac:dyDescent="0.25">
      <c r="A927" s="1" t="s">
        <v>939</v>
      </c>
      <c r="B927" s="4">
        <v>45646</v>
      </c>
      <c r="C927" s="1" t="s">
        <v>2135</v>
      </c>
      <c r="D927" s="1" t="s">
        <v>2403</v>
      </c>
      <c r="E927" s="1">
        <v>5</v>
      </c>
      <c r="F927" s="1">
        <v>502.47</v>
      </c>
      <c r="G927" s="1" t="s">
        <v>2733</v>
      </c>
      <c r="H927" s="1" t="s">
        <v>3066</v>
      </c>
      <c r="I927" s="1" t="s">
        <v>3070</v>
      </c>
      <c r="J927" s="1" t="s">
        <v>4000</v>
      </c>
      <c r="K927" s="1">
        <v>10</v>
      </c>
      <c r="L927" s="1" t="s">
        <v>4277</v>
      </c>
      <c r="M927" s="1" t="s">
        <v>4280</v>
      </c>
      <c r="N927" s="6" t="str">
        <f t="shared" si="29"/>
        <v>Dec</v>
      </c>
      <c r="O927" s="1">
        <v>2512.35</v>
      </c>
      <c r="T927" s="4"/>
      <c r="U927" s="1" t="str">
        <f t="shared" si="30"/>
        <v>Normal</v>
      </c>
    </row>
    <row r="928" spans="1:21" x14ac:dyDescent="0.25">
      <c r="A928" s="1" t="s">
        <v>940</v>
      </c>
      <c r="B928" s="4">
        <v>45371</v>
      </c>
      <c r="C928" s="1" t="s">
        <v>2136</v>
      </c>
      <c r="D928" s="1" t="s">
        <v>2409</v>
      </c>
      <c r="E928" s="1">
        <v>1</v>
      </c>
      <c r="F928" s="1">
        <v>26.95</v>
      </c>
      <c r="G928" s="1" t="s">
        <v>2774</v>
      </c>
      <c r="H928" s="1" t="s">
        <v>3069</v>
      </c>
      <c r="I928" s="1" t="s">
        <v>3073</v>
      </c>
      <c r="J928" s="1" t="s">
        <v>4001</v>
      </c>
      <c r="K928" s="1">
        <v>1</v>
      </c>
      <c r="L928" s="1" t="s">
        <v>4277</v>
      </c>
      <c r="M928" s="1" t="s">
        <v>4280</v>
      </c>
      <c r="N928" s="6" t="str">
        <f t="shared" si="29"/>
        <v>Mar</v>
      </c>
      <c r="O928" s="1">
        <v>26.95</v>
      </c>
      <c r="T928" s="4"/>
      <c r="U928" s="1" t="str">
        <f t="shared" si="30"/>
        <v>Normal</v>
      </c>
    </row>
    <row r="929" spans="1:21" x14ac:dyDescent="0.25">
      <c r="A929" s="1" t="s">
        <v>941</v>
      </c>
      <c r="B929" s="4">
        <v>44971</v>
      </c>
      <c r="C929" s="1" t="s">
        <v>2137</v>
      </c>
      <c r="D929" s="1" t="s">
        <v>2408</v>
      </c>
      <c r="E929" s="1">
        <v>4</v>
      </c>
      <c r="F929" s="1">
        <v>64.69</v>
      </c>
      <c r="G929" s="1" t="s">
        <v>2873</v>
      </c>
      <c r="H929" s="1" t="s">
        <v>3065</v>
      </c>
      <c r="I929" s="1" t="s">
        <v>3070</v>
      </c>
      <c r="J929" s="1" t="s">
        <v>4002</v>
      </c>
      <c r="K929" s="1">
        <v>7</v>
      </c>
      <c r="L929" s="1" t="s">
        <v>4277</v>
      </c>
      <c r="M929" s="1" t="s">
        <v>4282</v>
      </c>
      <c r="N929" s="6" t="str">
        <f t="shared" si="29"/>
        <v>Feb</v>
      </c>
      <c r="O929" s="1">
        <v>258.76</v>
      </c>
      <c r="T929" s="4"/>
      <c r="U929" s="1" t="str">
        <f t="shared" si="30"/>
        <v>Normal</v>
      </c>
    </row>
    <row r="930" spans="1:21" x14ac:dyDescent="0.25">
      <c r="A930" s="1" t="s">
        <v>942</v>
      </c>
      <c r="B930" s="4">
        <v>45421</v>
      </c>
      <c r="C930" s="1" t="s">
        <v>2138</v>
      </c>
      <c r="D930" s="1" t="s">
        <v>2408</v>
      </c>
      <c r="E930" s="1">
        <v>3</v>
      </c>
      <c r="F930" s="1">
        <v>247.11</v>
      </c>
      <c r="G930" s="1" t="s">
        <v>2628</v>
      </c>
      <c r="H930" s="1" t="s">
        <v>3065</v>
      </c>
      <c r="I930" s="1" t="s">
        <v>3072</v>
      </c>
      <c r="J930" s="1" t="s">
        <v>4003</v>
      </c>
      <c r="K930" s="1">
        <v>3</v>
      </c>
      <c r="L930" s="1" t="s">
        <v>4277</v>
      </c>
      <c r="M930" s="1" t="s">
        <v>4279</v>
      </c>
      <c r="N930" s="6" t="str">
        <f t="shared" si="29"/>
        <v>May</v>
      </c>
      <c r="O930" s="1">
        <v>741.33</v>
      </c>
      <c r="T930" s="4"/>
      <c r="U930" s="1" t="str">
        <f t="shared" si="30"/>
        <v>Normal</v>
      </c>
    </row>
    <row r="931" spans="1:21" x14ac:dyDescent="0.25">
      <c r="A931" s="1" t="s">
        <v>943</v>
      </c>
      <c r="B931" s="4">
        <v>45581</v>
      </c>
      <c r="C931" s="1" t="s">
        <v>2139</v>
      </c>
      <c r="D931" s="1" t="s">
        <v>2405</v>
      </c>
      <c r="E931" s="1">
        <v>2</v>
      </c>
      <c r="F931" s="1">
        <v>536.25</v>
      </c>
      <c r="G931" s="1" t="s">
        <v>2568</v>
      </c>
      <c r="H931" s="1" t="s">
        <v>3065</v>
      </c>
      <c r="I931" s="1" t="s">
        <v>3074</v>
      </c>
      <c r="J931" s="1" t="s">
        <v>4004</v>
      </c>
      <c r="K931" s="1">
        <v>3</v>
      </c>
      <c r="L931" s="1" t="s">
        <v>4283</v>
      </c>
      <c r="M931" s="1" t="s">
        <v>4280</v>
      </c>
      <c r="N931" s="6" t="str">
        <f t="shared" si="29"/>
        <v>Oct</v>
      </c>
      <c r="O931" s="1">
        <v>1072.5</v>
      </c>
      <c r="T931" s="4"/>
      <c r="U931" s="1" t="str">
        <f t="shared" si="30"/>
        <v>Normal</v>
      </c>
    </row>
    <row r="932" spans="1:21" x14ac:dyDescent="0.25">
      <c r="A932" s="1" t="s">
        <v>944</v>
      </c>
      <c r="B932" s="4">
        <v>45642</v>
      </c>
      <c r="C932" s="1" t="s">
        <v>2140</v>
      </c>
      <c r="D932" s="1" t="s">
        <v>2404</v>
      </c>
      <c r="E932" s="1">
        <v>2</v>
      </c>
      <c r="F932" s="1">
        <v>456.04</v>
      </c>
      <c r="G932" s="1" t="s">
        <v>2427</v>
      </c>
      <c r="H932" s="1" t="s">
        <v>3065</v>
      </c>
      <c r="I932" s="1" t="s">
        <v>3072</v>
      </c>
      <c r="J932" s="1" t="s">
        <v>4005</v>
      </c>
      <c r="K932" s="1">
        <v>4</v>
      </c>
      <c r="L932" s="1" t="s">
        <v>4276</v>
      </c>
      <c r="M932" s="1" t="s">
        <v>4280</v>
      </c>
      <c r="N932" s="6" t="str">
        <f t="shared" si="29"/>
        <v>Dec</v>
      </c>
      <c r="O932" s="1">
        <v>912.08</v>
      </c>
      <c r="T932" s="4"/>
      <c r="U932" s="1" t="str">
        <f t="shared" si="30"/>
        <v>Normal</v>
      </c>
    </row>
    <row r="933" spans="1:21" x14ac:dyDescent="0.25">
      <c r="A933" s="1" t="s">
        <v>945</v>
      </c>
      <c r="B933" s="4">
        <v>45292</v>
      </c>
      <c r="C933" s="1" t="s">
        <v>2141</v>
      </c>
      <c r="D933" s="1" t="s">
        <v>2407</v>
      </c>
      <c r="E933" s="1">
        <v>2</v>
      </c>
      <c r="F933" s="1">
        <v>40.229999999999997</v>
      </c>
      <c r="G933" s="1" t="s">
        <v>2460</v>
      </c>
      <c r="H933" s="1" t="s">
        <v>3067</v>
      </c>
      <c r="I933" s="1" t="s">
        <v>3071</v>
      </c>
      <c r="J933" s="1" t="s">
        <v>4006</v>
      </c>
      <c r="K933" s="1">
        <v>4</v>
      </c>
      <c r="L933" s="1" t="s">
        <v>4275</v>
      </c>
      <c r="M933" s="1" t="s">
        <v>4282</v>
      </c>
      <c r="N933" s="6" t="str">
        <f t="shared" si="29"/>
        <v>Jan</v>
      </c>
      <c r="O933" s="1">
        <v>80.459999999999994</v>
      </c>
      <c r="T933" s="4"/>
      <c r="U933" s="1" t="str">
        <f t="shared" si="30"/>
        <v>Normal</v>
      </c>
    </row>
    <row r="934" spans="1:21" x14ac:dyDescent="0.25">
      <c r="A934" s="1" t="s">
        <v>946</v>
      </c>
      <c r="B934" s="4">
        <v>45011</v>
      </c>
      <c r="C934" s="1" t="s">
        <v>2142</v>
      </c>
      <c r="D934" s="1" t="s">
        <v>2408</v>
      </c>
      <c r="E934" s="1">
        <v>2</v>
      </c>
      <c r="F934" s="1">
        <v>72.39</v>
      </c>
      <c r="G934" s="1" t="s">
        <v>2982</v>
      </c>
      <c r="H934" s="1" t="s">
        <v>3066</v>
      </c>
      <c r="I934" s="1" t="s">
        <v>3073</v>
      </c>
      <c r="J934" s="1" t="s">
        <v>4007</v>
      </c>
      <c r="K934" s="1">
        <v>7</v>
      </c>
      <c r="L934" s="1" t="s">
        <v>4277</v>
      </c>
      <c r="M934" s="1" t="s">
        <v>4278</v>
      </c>
      <c r="N934" s="6" t="str">
        <f t="shared" si="29"/>
        <v>Mar</v>
      </c>
      <c r="O934" s="1">
        <v>144.78</v>
      </c>
      <c r="T934" s="4"/>
      <c r="U934" s="1" t="str">
        <f t="shared" si="30"/>
        <v>Normal</v>
      </c>
    </row>
    <row r="935" spans="1:21" x14ac:dyDescent="0.25">
      <c r="A935" s="1" t="s">
        <v>947</v>
      </c>
      <c r="B935" s="4">
        <v>44952</v>
      </c>
      <c r="C935" s="1" t="s">
        <v>2143</v>
      </c>
      <c r="D935" s="1" t="s">
        <v>2403</v>
      </c>
      <c r="E935" s="1">
        <v>2</v>
      </c>
      <c r="F935" s="1">
        <v>394.16</v>
      </c>
      <c r="G935" s="1" t="s">
        <v>2617</v>
      </c>
      <c r="H935" s="1" t="s">
        <v>3066</v>
      </c>
      <c r="I935" s="1" t="s">
        <v>3070</v>
      </c>
      <c r="J935" s="1" t="s">
        <v>4008</v>
      </c>
      <c r="K935" s="1">
        <v>2</v>
      </c>
      <c r="L935" s="1" t="s">
        <v>4283</v>
      </c>
      <c r="M935" s="1" t="s">
        <v>4279</v>
      </c>
      <c r="N935" s="6" t="str">
        <f t="shared" si="29"/>
        <v>Jan</v>
      </c>
      <c r="O935" s="1">
        <v>788.32</v>
      </c>
      <c r="T935" s="4"/>
      <c r="U935" s="1" t="str">
        <f t="shared" si="30"/>
        <v>Normal</v>
      </c>
    </row>
    <row r="936" spans="1:21" x14ac:dyDescent="0.25">
      <c r="A936" s="1" t="s">
        <v>948</v>
      </c>
      <c r="B936" s="4">
        <v>45809</v>
      </c>
      <c r="C936" s="1" t="s">
        <v>2144</v>
      </c>
      <c r="D936" s="1" t="s">
        <v>2408</v>
      </c>
      <c r="E936" s="1">
        <v>4</v>
      </c>
      <c r="F936" s="1">
        <v>119.84</v>
      </c>
      <c r="G936" s="1" t="s">
        <v>2604</v>
      </c>
      <c r="H936" s="1" t="s">
        <v>3068</v>
      </c>
      <c r="I936" s="1" t="s">
        <v>3070</v>
      </c>
      <c r="J936" s="1" t="s">
        <v>4009</v>
      </c>
      <c r="K936" s="1">
        <v>8</v>
      </c>
      <c r="L936" s="1" t="s">
        <v>4276</v>
      </c>
      <c r="M936" s="1" t="s">
        <v>4279</v>
      </c>
      <c r="N936" s="6" t="str">
        <f t="shared" si="29"/>
        <v>Jun</v>
      </c>
      <c r="O936" s="1">
        <v>479.36</v>
      </c>
      <c r="T936" s="4"/>
      <c r="U936" s="1" t="str">
        <f t="shared" si="30"/>
        <v>Normal</v>
      </c>
    </row>
    <row r="937" spans="1:21" x14ac:dyDescent="0.25">
      <c r="A937" s="1" t="s">
        <v>949</v>
      </c>
      <c r="B937" s="4">
        <v>45254</v>
      </c>
      <c r="C937" s="1" t="s">
        <v>2145</v>
      </c>
      <c r="D937" s="1" t="s">
        <v>2404</v>
      </c>
      <c r="E937" s="1">
        <v>3</v>
      </c>
      <c r="F937" s="1">
        <v>692.71</v>
      </c>
      <c r="G937" s="1" t="s">
        <v>2692</v>
      </c>
      <c r="H937" s="1" t="s">
        <v>3067</v>
      </c>
      <c r="I937" s="1" t="s">
        <v>3073</v>
      </c>
      <c r="J937" s="1" t="s">
        <v>4010</v>
      </c>
      <c r="K937" s="1">
        <v>3</v>
      </c>
      <c r="L937" s="1" t="s">
        <v>4276</v>
      </c>
      <c r="M937" s="1" t="s">
        <v>4278</v>
      </c>
      <c r="N937" s="6" t="str">
        <f t="shared" si="29"/>
        <v>Nov</v>
      </c>
      <c r="O937" s="1">
        <v>2078.13</v>
      </c>
      <c r="T937" s="4"/>
      <c r="U937" s="1" t="str">
        <f t="shared" si="30"/>
        <v>Normal</v>
      </c>
    </row>
    <row r="938" spans="1:21" x14ac:dyDescent="0.25">
      <c r="A938" s="1" t="s">
        <v>950</v>
      </c>
      <c r="B938" s="4">
        <v>45303</v>
      </c>
      <c r="C938" s="1" t="s">
        <v>2146</v>
      </c>
      <c r="D938" s="1" t="s">
        <v>2406</v>
      </c>
      <c r="E938" s="1">
        <v>4</v>
      </c>
      <c r="F938" s="1">
        <v>56.66</v>
      </c>
      <c r="G938" s="1" t="s">
        <v>2554</v>
      </c>
      <c r="H938" s="1" t="s">
        <v>3066</v>
      </c>
      <c r="I938" s="1" t="s">
        <v>3073</v>
      </c>
      <c r="J938" s="1" t="s">
        <v>4011</v>
      </c>
      <c r="K938" s="1">
        <v>4</v>
      </c>
      <c r="L938" s="1" t="s">
        <v>4275</v>
      </c>
      <c r="M938" s="1" t="s">
        <v>4278</v>
      </c>
      <c r="N938" s="6" t="str">
        <f t="shared" si="29"/>
        <v>Jan</v>
      </c>
      <c r="O938" s="1">
        <v>226.64</v>
      </c>
      <c r="T938" s="4"/>
      <c r="U938" s="1" t="str">
        <f t="shared" si="30"/>
        <v>Normal</v>
      </c>
    </row>
    <row r="939" spans="1:21" x14ac:dyDescent="0.25">
      <c r="A939" s="1" t="s">
        <v>951</v>
      </c>
      <c r="B939" s="4">
        <v>45307</v>
      </c>
      <c r="C939" s="1" t="s">
        <v>2147</v>
      </c>
      <c r="D939" s="1" t="s">
        <v>2406</v>
      </c>
      <c r="E939" s="1">
        <v>2</v>
      </c>
      <c r="F939" s="1">
        <v>298.52999999999997</v>
      </c>
      <c r="G939" s="1" t="s">
        <v>2735</v>
      </c>
      <c r="H939" s="1" t="s">
        <v>3065</v>
      </c>
      <c r="I939" s="1" t="s">
        <v>3071</v>
      </c>
      <c r="J939" s="1" t="s">
        <v>4012</v>
      </c>
      <c r="K939" s="1">
        <v>5</v>
      </c>
      <c r="L939" s="1" t="s">
        <v>4277</v>
      </c>
      <c r="M939" s="1" t="s">
        <v>4280</v>
      </c>
      <c r="N939" s="6" t="str">
        <f t="shared" si="29"/>
        <v>Jan</v>
      </c>
      <c r="O939" s="1">
        <v>597.05999999999995</v>
      </c>
      <c r="T939" s="4"/>
      <c r="U939" s="1" t="str">
        <f t="shared" si="30"/>
        <v>Normal</v>
      </c>
    </row>
    <row r="940" spans="1:21" x14ac:dyDescent="0.25">
      <c r="A940" s="1" t="s">
        <v>952</v>
      </c>
      <c r="B940" s="4">
        <v>45119</v>
      </c>
      <c r="C940" s="1" t="s">
        <v>2148</v>
      </c>
      <c r="D940" s="1" t="s">
        <v>2406</v>
      </c>
      <c r="E940" s="1">
        <v>3</v>
      </c>
      <c r="F940" s="1">
        <v>331.46</v>
      </c>
      <c r="G940" s="1" t="s">
        <v>2796</v>
      </c>
      <c r="H940" s="1" t="s">
        <v>3067</v>
      </c>
      <c r="I940" s="1" t="s">
        <v>3071</v>
      </c>
      <c r="J940" s="1" t="s">
        <v>4013</v>
      </c>
      <c r="K940" s="1">
        <v>6</v>
      </c>
      <c r="L940" s="1" t="s">
        <v>4277</v>
      </c>
      <c r="M940" s="1" t="s">
        <v>4279</v>
      </c>
      <c r="N940" s="6" t="str">
        <f t="shared" si="29"/>
        <v>Jul</v>
      </c>
      <c r="O940" s="1">
        <v>994.37999999999988</v>
      </c>
      <c r="T940" s="4"/>
      <c r="U940" s="1" t="str">
        <f t="shared" si="30"/>
        <v>Normal</v>
      </c>
    </row>
    <row r="941" spans="1:21" x14ac:dyDescent="0.25">
      <c r="A941" s="1" t="s">
        <v>953</v>
      </c>
      <c r="B941" s="4">
        <v>45763</v>
      </c>
      <c r="C941" s="1" t="s">
        <v>2149</v>
      </c>
      <c r="D941" s="1" t="s">
        <v>2408</v>
      </c>
      <c r="E941" s="1">
        <v>2</v>
      </c>
      <c r="F941" s="1">
        <v>521.4</v>
      </c>
      <c r="G941" s="1" t="s">
        <v>2983</v>
      </c>
      <c r="H941" s="1" t="s">
        <v>3069</v>
      </c>
      <c r="I941" s="1" t="s">
        <v>3073</v>
      </c>
      <c r="J941" s="1" t="s">
        <v>4014</v>
      </c>
      <c r="K941" s="1">
        <v>7</v>
      </c>
      <c r="L941" s="1" t="s">
        <v>4275</v>
      </c>
      <c r="M941" s="1" t="s">
        <v>4278</v>
      </c>
      <c r="N941" s="6" t="str">
        <f t="shared" si="29"/>
        <v>Apr</v>
      </c>
      <c r="O941" s="1">
        <v>1042.8</v>
      </c>
      <c r="T941" s="4"/>
      <c r="U941" s="1" t="str">
        <f t="shared" si="30"/>
        <v>Normal</v>
      </c>
    </row>
    <row r="942" spans="1:21" x14ac:dyDescent="0.25">
      <c r="A942" s="1" t="s">
        <v>954</v>
      </c>
      <c r="B942" s="4">
        <v>45012</v>
      </c>
      <c r="C942" s="1" t="s">
        <v>2150</v>
      </c>
      <c r="D942" s="1" t="s">
        <v>2407</v>
      </c>
      <c r="E942" s="1">
        <v>4</v>
      </c>
      <c r="F942" s="1">
        <v>305.32</v>
      </c>
      <c r="G942" s="1" t="s">
        <v>2984</v>
      </c>
      <c r="H942" s="1" t="s">
        <v>3066</v>
      </c>
      <c r="I942" s="1" t="s">
        <v>3071</v>
      </c>
      <c r="J942" s="1" t="s">
        <v>4015</v>
      </c>
      <c r="K942" s="1">
        <v>4</v>
      </c>
      <c r="L942" s="1" t="s">
        <v>4275</v>
      </c>
      <c r="M942" s="1" t="s">
        <v>4282</v>
      </c>
      <c r="N942" s="6" t="str">
        <f t="shared" si="29"/>
        <v>Mar</v>
      </c>
      <c r="O942" s="1">
        <v>1221.28</v>
      </c>
      <c r="T942" s="4"/>
      <c r="U942" s="1" t="str">
        <f t="shared" si="30"/>
        <v>Normal</v>
      </c>
    </row>
    <row r="943" spans="1:21" x14ac:dyDescent="0.25">
      <c r="A943" s="1" t="s">
        <v>955</v>
      </c>
      <c r="B943" s="4">
        <v>45124</v>
      </c>
      <c r="C943" s="1" t="s">
        <v>1653</v>
      </c>
      <c r="D943" s="1" t="s">
        <v>2407</v>
      </c>
      <c r="E943" s="1">
        <v>5</v>
      </c>
      <c r="F943" s="1">
        <v>111.7</v>
      </c>
      <c r="G943" s="1" t="s">
        <v>2690</v>
      </c>
      <c r="H943" s="1" t="s">
        <v>3067</v>
      </c>
      <c r="I943" s="1" t="s">
        <v>3071</v>
      </c>
      <c r="J943" s="1" t="s">
        <v>4016</v>
      </c>
      <c r="K943" s="1">
        <v>9</v>
      </c>
      <c r="L943" s="1" t="s">
        <v>4276</v>
      </c>
      <c r="M943" s="1" t="s">
        <v>4280</v>
      </c>
      <c r="N943" s="6" t="str">
        <f t="shared" si="29"/>
        <v>Jul</v>
      </c>
      <c r="O943" s="1">
        <v>558.5</v>
      </c>
      <c r="T943" s="4"/>
      <c r="U943" s="1" t="str">
        <f t="shared" si="30"/>
        <v>Normal</v>
      </c>
    </row>
    <row r="944" spans="1:21" x14ac:dyDescent="0.25">
      <c r="A944" s="1" t="s">
        <v>956</v>
      </c>
      <c r="B944" s="4">
        <v>45198</v>
      </c>
      <c r="C944" s="1" t="s">
        <v>2151</v>
      </c>
      <c r="D944" s="1" t="s">
        <v>2405</v>
      </c>
      <c r="E944" s="1">
        <v>1</v>
      </c>
      <c r="F944" s="1">
        <v>479.76</v>
      </c>
      <c r="G944" s="1" t="s">
        <v>2599</v>
      </c>
      <c r="H944" s="1" t="s">
        <v>3067</v>
      </c>
      <c r="I944" s="1" t="s">
        <v>3074</v>
      </c>
      <c r="J944" s="1" t="s">
        <v>4017</v>
      </c>
      <c r="K944" s="1">
        <v>1</v>
      </c>
      <c r="L944" s="1" t="s">
        <v>4283</v>
      </c>
      <c r="M944" s="1" t="s">
        <v>4280</v>
      </c>
      <c r="N944" s="6" t="str">
        <f t="shared" si="29"/>
        <v>Sep</v>
      </c>
      <c r="O944" s="1">
        <v>479.76</v>
      </c>
      <c r="T944" s="4"/>
      <c r="U944" s="1" t="str">
        <f t="shared" si="30"/>
        <v>Normal</v>
      </c>
    </row>
    <row r="945" spans="1:21" x14ac:dyDescent="0.25">
      <c r="A945" s="1" t="s">
        <v>957</v>
      </c>
      <c r="B945" s="4">
        <v>45287</v>
      </c>
      <c r="C945" s="1" t="s">
        <v>2152</v>
      </c>
      <c r="D945" s="1" t="s">
        <v>2403</v>
      </c>
      <c r="E945" s="1">
        <v>3</v>
      </c>
      <c r="F945" s="1">
        <v>193.49</v>
      </c>
      <c r="G945" s="1" t="s">
        <v>2985</v>
      </c>
      <c r="H945" s="1" t="s">
        <v>3068</v>
      </c>
      <c r="I945" s="1" t="s">
        <v>3072</v>
      </c>
      <c r="J945" s="1" t="s">
        <v>4018</v>
      </c>
      <c r="K945" s="1">
        <v>6</v>
      </c>
      <c r="L945" s="1" t="s">
        <v>4276</v>
      </c>
      <c r="M945" s="1" t="s">
        <v>4281</v>
      </c>
      <c r="N945" s="6" t="str">
        <f t="shared" si="29"/>
        <v>Dec</v>
      </c>
      <c r="O945" s="1">
        <v>580.47</v>
      </c>
      <c r="T945" s="4"/>
      <c r="U945" s="1" t="str">
        <f t="shared" si="30"/>
        <v>Normal</v>
      </c>
    </row>
    <row r="946" spans="1:21" x14ac:dyDescent="0.25">
      <c r="A946" s="1" t="s">
        <v>958</v>
      </c>
      <c r="B946" s="4">
        <v>45642</v>
      </c>
      <c r="C946" s="1" t="s">
        <v>2153</v>
      </c>
      <c r="D946" s="1" t="s">
        <v>2408</v>
      </c>
      <c r="E946" s="1">
        <v>2</v>
      </c>
      <c r="F946" s="1">
        <v>426.22</v>
      </c>
      <c r="G946" s="1" t="s">
        <v>2964</v>
      </c>
      <c r="H946" s="1" t="s">
        <v>3066</v>
      </c>
      <c r="I946" s="1" t="s">
        <v>3073</v>
      </c>
      <c r="J946" s="1" t="s">
        <v>4019</v>
      </c>
      <c r="K946" s="1">
        <v>7</v>
      </c>
      <c r="L946" s="1" t="s">
        <v>4277</v>
      </c>
      <c r="M946" s="1" t="s">
        <v>4282</v>
      </c>
      <c r="N946" s="6" t="str">
        <f t="shared" si="29"/>
        <v>Dec</v>
      </c>
      <c r="O946" s="1">
        <v>852.44</v>
      </c>
      <c r="T946" s="4"/>
      <c r="U946" s="1" t="str">
        <f t="shared" si="30"/>
        <v>Normal</v>
      </c>
    </row>
    <row r="947" spans="1:21" x14ac:dyDescent="0.25">
      <c r="A947" s="1" t="s">
        <v>959</v>
      </c>
      <c r="B947" s="4">
        <v>45158</v>
      </c>
      <c r="C947" s="1" t="s">
        <v>2154</v>
      </c>
      <c r="D947" s="1" t="s">
        <v>2405</v>
      </c>
      <c r="E947" s="1">
        <v>5</v>
      </c>
      <c r="F947" s="1">
        <v>276.44</v>
      </c>
      <c r="G947" s="1" t="s">
        <v>2695</v>
      </c>
      <c r="H947" s="1" t="s">
        <v>3068</v>
      </c>
      <c r="I947" s="1" t="s">
        <v>3070</v>
      </c>
      <c r="J947" s="1" t="s">
        <v>4020</v>
      </c>
      <c r="K947" s="1">
        <v>10</v>
      </c>
      <c r="L947" s="1" t="s">
        <v>4276</v>
      </c>
      <c r="M947" s="1" t="s">
        <v>4279</v>
      </c>
      <c r="N947" s="6" t="str">
        <f t="shared" si="29"/>
        <v>Aug</v>
      </c>
      <c r="O947" s="1">
        <v>1382.2</v>
      </c>
      <c r="T947" s="4"/>
      <c r="U947" s="1" t="str">
        <f t="shared" si="30"/>
        <v>Normal</v>
      </c>
    </row>
    <row r="948" spans="1:21" x14ac:dyDescent="0.25">
      <c r="A948" s="1" t="s">
        <v>960</v>
      </c>
      <c r="B948" s="4">
        <v>45416</v>
      </c>
      <c r="C948" s="1" t="s">
        <v>2155</v>
      </c>
      <c r="D948" s="1" t="s">
        <v>2404</v>
      </c>
      <c r="E948" s="1">
        <v>2</v>
      </c>
      <c r="F948" s="1">
        <v>404.96</v>
      </c>
      <c r="G948" s="1" t="s">
        <v>2684</v>
      </c>
      <c r="H948" s="1" t="s">
        <v>3069</v>
      </c>
      <c r="I948" s="1" t="s">
        <v>3070</v>
      </c>
      <c r="J948" s="1" t="s">
        <v>4021</v>
      </c>
      <c r="K948" s="1">
        <v>4</v>
      </c>
      <c r="L948" s="1" t="s">
        <v>4275</v>
      </c>
      <c r="M948" s="1" t="s">
        <v>4280</v>
      </c>
      <c r="N948" s="6" t="str">
        <f t="shared" si="29"/>
        <v>May</v>
      </c>
      <c r="O948" s="1">
        <v>809.92</v>
      </c>
      <c r="T948" s="4"/>
      <c r="U948" s="1" t="str">
        <f t="shared" si="30"/>
        <v>Normal</v>
      </c>
    </row>
    <row r="949" spans="1:21" x14ac:dyDescent="0.25">
      <c r="A949" s="1" t="s">
        <v>961</v>
      </c>
      <c r="B949" s="4">
        <v>45176</v>
      </c>
      <c r="C949" s="1" t="s">
        <v>2156</v>
      </c>
      <c r="D949" s="1" t="s">
        <v>2404</v>
      </c>
      <c r="E949" s="1">
        <v>4</v>
      </c>
      <c r="F949" s="1">
        <v>465.66</v>
      </c>
      <c r="G949" s="1" t="s">
        <v>2642</v>
      </c>
      <c r="H949" s="1" t="s">
        <v>3066</v>
      </c>
      <c r="I949" s="1" t="s">
        <v>3072</v>
      </c>
      <c r="J949" s="1" t="s">
        <v>4022</v>
      </c>
      <c r="K949" s="1">
        <v>9</v>
      </c>
      <c r="L949" s="1" t="s">
        <v>4276</v>
      </c>
      <c r="M949" s="1" t="s">
        <v>4280</v>
      </c>
      <c r="N949" s="6" t="str">
        <f t="shared" si="29"/>
        <v>Sep</v>
      </c>
      <c r="O949" s="1">
        <v>1862.64</v>
      </c>
      <c r="T949" s="4"/>
      <c r="U949" s="1" t="str">
        <f t="shared" si="30"/>
        <v>Normal</v>
      </c>
    </row>
    <row r="950" spans="1:21" x14ac:dyDescent="0.25">
      <c r="A950" s="1" t="s">
        <v>962</v>
      </c>
      <c r="B950" s="4">
        <v>45464</v>
      </c>
      <c r="C950" s="1" t="s">
        <v>1659</v>
      </c>
      <c r="D950" s="1" t="s">
        <v>2404</v>
      </c>
      <c r="E950" s="1">
        <v>2</v>
      </c>
      <c r="F950" s="1">
        <v>594.07000000000005</v>
      </c>
      <c r="G950" s="1" t="s">
        <v>2771</v>
      </c>
      <c r="H950" s="1" t="s">
        <v>3068</v>
      </c>
      <c r="I950" s="1" t="s">
        <v>3071</v>
      </c>
      <c r="J950" s="1" t="s">
        <v>4023</v>
      </c>
      <c r="K950" s="1">
        <v>2</v>
      </c>
      <c r="L950" s="1" t="s">
        <v>4283</v>
      </c>
      <c r="M950" s="1" t="s">
        <v>4282</v>
      </c>
      <c r="N950" s="6" t="str">
        <f t="shared" si="29"/>
        <v>Jun</v>
      </c>
      <c r="O950" s="1">
        <v>1188.1400000000001</v>
      </c>
      <c r="T950" s="4"/>
      <c r="U950" s="1" t="str">
        <f t="shared" si="30"/>
        <v>Normal</v>
      </c>
    </row>
    <row r="951" spans="1:21" x14ac:dyDescent="0.25">
      <c r="A951" s="1" t="s">
        <v>963</v>
      </c>
      <c r="B951" s="4">
        <v>45239</v>
      </c>
      <c r="C951" s="1" t="s">
        <v>2157</v>
      </c>
      <c r="D951" s="1" t="s">
        <v>2409</v>
      </c>
      <c r="E951" s="1">
        <v>5</v>
      </c>
      <c r="F951" s="1">
        <v>110.38</v>
      </c>
      <c r="G951" s="1" t="s">
        <v>2732</v>
      </c>
      <c r="H951" s="1" t="s">
        <v>3069</v>
      </c>
      <c r="I951" s="1" t="s">
        <v>3074</v>
      </c>
      <c r="J951" s="1" t="s">
        <v>4024</v>
      </c>
      <c r="K951" s="1">
        <v>10</v>
      </c>
      <c r="L951" s="1" t="s">
        <v>4283</v>
      </c>
      <c r="M951" s="1" t="s">
        <v>4279</v>
      </c>
      <c r="N951" s="6" t="str">
        <f t="shared" si="29"/>
        <v>Nov</v>
      </c>
      <c r="O951" s="1">
        <v>551.9</v>
      </c>
      <c r="T951" s="4"/>
      <c r="U951" s="1" t="str">
        <f t="shared" si="30"/>
        <v>Normal</v>
      </c>
    </row>
    <row r="952" spans="1:21" x14ac:dyDescent="0.25">
      <c r="A952" s="1" t="s">
        <v>964</v>
      </c>
      <c r="B952" s="4">
        <v>45443</v>
      </c>
      <c r="C952" s="1" t="s">
        <v>2158</v>
      </c>
      <c r="D952" s="1" t="s">
        <v>2408</v>
      </c>
      <c r="E952" s="1">
        <v>1</v>
      </c>
      <c r="F952" s="1">
        <v>596.24</v>
      </c>
      <c r="G952" s="1" t="s">
        <v>2428</v>
      </c>
      <c r="H952" s="1" t="s">
        <v>3067</v>
      </c>
      <c r="I952" s="1" t="s">
        <v>3072</v>
      </c>
      <c r="J952" s="1" t="s">
        <v>4025</v>
      </c>
      <c r="K952" s="1">
        <v>4</v>
      </c>
      <c r="L952" s="1" t="s">
        <v>4276</v>
      </c>
      <c r="M952" s="1" t="s">
        <v>4278</v>
      </c>
      <c r="N952" s="6" t="str">
        <f t="shared" si="29"/>
        <v>May</v>
      </c>
      <c r="O952" s="1">
        <v>596.24</v>
      </c>
      <c r="T952" s="4"/>
      <c r="U952" s="1" t="str">
        <f t="shared" si="30"/>
        <v>Normal</v>
      </c>
    </row>
    <row r="953" spans="1:21" x14ac:dyDescent="0.25">
      <c r="A953" s="1" t="s">
        <v>965</v>
      </c>
      <c r="B953" s="4">
        <v>45495</v>
      </c>
      <c r="C953" s="1" t="s">
        <v>2159</v>
      </c>
      <c r="D953" s="1" t="s">
        <v>2407</v>
      </c>
      <c r="E953" s="1">
        <v>2</v>
      </c>
      <c r="F953" s="1">
        <v>306.24</v>
      </c>
      <c r="G953" s="1" t="s">
        <v>2637</v>
      </c>
      <c r="H953" s="1" t="s">
        <v>3066</v>
      </c>
      <c r="I953" s="1" t="s">
        <v>3072</v>
      </c>
      <c r="J953" s="1" t="s">
        <v>4026</v>
      </c>
      <c r="K953" s="1">
        <v>4</v>
      </c>
      <c r="L953" s="1" t="s">
        <v>4276</v>
      </c>
      <c r="M953" s="1" t="s">
        <v>4280</v>
      </c>
      <c r="N953" s="6" t="str">
        <f t="shared" si="29"/>
        <v>Jul</v>
      </c>
      <c r="O953" s="1">
        <v>612.48</v>
      </c>
      <c r="T953" s="4"/>
      <c r="U953" s="1" t="str">
        <f t="shared" si="30"/>
        <v>Normal</v>
      </c>
    </row>
    <row r="954" spans="1:21" x14ac:dyDescent="0.25">
      <c r="A954" s="1" t="s">
        <v>966</v>
      </c>
      <c r="B954" s="4">
        <v>45715</v>
      </c>
      <c r="C954" s="1" t="s">
        <v>2160</v>
      </c>
      <c r="D954" s="1" t="s">
        <v>2403</v>
      </c>
      <c r="E954" s="1">
        <v>3</v>
      </c>
      <c r="F954" s="1">
        <v>503.39</v>
      </c>
      <c r="G954" s="1" t="s">
        <v>2986</v>
      </c>
      <c r="H954" s="1" t="s">
        <v>3066</v>
      </c>
      <c r="I954" s="1" t="s">
        <v>3074</v>
      </c>
      <c r="J954" s="1" t="s">
        <v>4027</v>
      </c>
      <c r="K954" s="1">
        <v>5</v>
      </c>
      <c r="L954" s="1" t="s">
        <v>4283</v>
      </c>
      <c r="M954" s="1" t="s">
        <v>4281</v>
      </c>
      <c r="N954" s="6" t="str">
        <f t="shared" si="29"/>
        <v>Feb</v>
      </c>
      <c r="O954" s="1">
        <v>1510.17</v>
      </c>
      <c r="T954" s="4"/>
      <c r="U954" s="1" t="str">
        <f t="shared" si="30"/>
        <v>Normal</v>
      </c>
    </row>
    <row r="955" spans="1:21" x14ac:dyDescent="0.25">
      <c r="A955" s="1" t="s">
        <v>967</v>
      </c>
      <c r="B955" s="4">
        <v>44963</v>
      </c>
      <c r="C955" s="1" t="s">
        <v>2161</v>
      </c>
      <c r="D955" s="1" t="s">
        <v>2404</v>
      </c>
      <c r="E955" s="1">
        <v>1</v>
      </c>
      <c r="F955" s="1">
        <v>131.61000000000001</v>
      </c>
      <c r="G955" s="1" t="s">
        <v>2486</v>
      </c>
      <c r="H955" s="1" t="s">
        <v>3069</v>
      </c>
      <c r="I955" s="1" t="s">
        <v>3070</v>
      </c>
      <c r="J955" s="1" t="s">
        <v>4028</v>
      </c>
      <c r="K955" s="1">
        <v>2</v>
      </c>
      <c r="L955" s="1" t="s">
        <v>4276</v>
      </c>
      <c r="M955" s="1" t="s">
        <v>4281</v>
      </c>
      <c r="N955" s="6" t="str">
        <f t="shared" si="29"/>
        <v>Feb</v>
      </c>
      <c r="O955" s="1">
        <v>131.61000000000001</v>
      </c>
      <c r="T955" s="4"/>
      <c r="U955" s="1" t="str">
        <f t="shared" si="30"/>
        <v>Normal</v>
      </c>
    </row>
    <row r="956" spans="1:21" x14ac:dyDescent="0.25">
      <c r="A956" s="1" t="s">
        <v>968</v>
      </c>
      <c r="B956" s="4">
        <v>45587</v>
      </c>
      <c r="C956" s="1" t="s">
        <v>2162</v>
      </c>
      <c r="D956" s="1" t="s">
        <v>2406</v>
      </c>
      <c r="E956" s="1">
        <v>3</v>
      </c>
      <c r="F956" s="1">
        <v>443.44</v>
      </c>
      <c r="G956" s="1" t="s">
        <v>2556</v>
      </c>
      <c r="H956" s="1" t="s">
        <v>3068</v>
      </c>
      <c r="I956" s="1" t="s">
        <v>3070</v>
      </c>
      <c r="J956" s="1" t="s">
        <v>4029</v>
      </c>
      <c r="K956" s="1">
        <v>3</v>
      </c>
      <c r="L956" s="1" t="s">
        <v>4276</v>
      </c>
      <c r="M956" s="1" t="s">
        <v>4282</v>
      </c>
      <c r="N956" s="6" t="str">
        <f t="shared" si="29"/>
        <v>Oct</v>
      </c>
      <c r="O956" s="1">
        <v>1330.32</v>
      </c>
      <c r="T956" s="4"/>
      <c r="U956" s="1" t="str">
        <f t="shared" si="30"/>
        <v>Normal</v>
      </c>
    </row>
    <row r="957" spans="1:21" x14ac:dyDescent="0.25">
      <c r="A957" s="1" t="s">
        <v>969</v>
      </c>
      <c r="B957" s="4">
        <v>44949</v>
      </c>
      <c r="C957" s="1" t="s">
        <v>2163</v>
      </c>
      <c r="D957" s="1" t="s">
        <v>2406</v>
      </c>
      <c r="E957" s="1">
        <v>1</v>
      </c>
      <c r="F957" s="1">
        <v>408.13</v>
      </c>
      <c r="G957" s="1" t="s">
        <v>2623</v>
      </c>
      <c r="H957" s="1" t="s">
        <v>3068</v>
      </c>
      <c r="I957" s="1" t="s">
        <v>3070</v>
      </c>
      <c r="J957" s="1" t="s">
        <v>4030</v>
      </c>
      <c r="K957" s="1">
        <v>3</v>
      </c>
      <c r="L957" s="1" t="s">
        <v>4277</v>
      </c>
      <c r="M957" s="1" t="s">
        <v>4278</v>
      </c>
      <c r="N957" s="6" t="str">
        <f t="shared" si="29"/>
        <v>Jan</v>
      </c>
      <c r="O957" s="1">
        <v>408.13</v>
      </c>
      <c r="T957" s="4"/>
      <c r="U957" s="1" t="str">
        <f t="shared" si="30"/>
        <v>Normal</v>
      </c>
    </row>
    <row r="958" spans="1:21" x14ac:dyDescent="0.25">
      <c r="A958" s="1" t="s">
        <v>970</v>
      </c>
      <c r="B958" s="4">
        <v>45393</v>
      </c>
      <c r="C958" s="1" t="s">
        <v>1995</v>
      </c>
      <c r="D958" s="1" t="s">
        <v>2404</v>
      </c>
      <c r="E958" s="1">
        <v>2</v>
      </c>
      <c r="F958" s="1">
        <v>160.97999999999999</v>
      </c>
      <c r="G958" s="1" t="s">
        <v>2987</v>
      </c>
      <c r="H958" s="1" t="s">
        <v>3065</v>
      </c>
      <c r="I958" s="1" t="s">
        <v>3073</v>
      </c>
      <c r="J958" s="1" t="s">
        <v>4031</v>
      </c>
      <c r="K958" s="1">
        <v>3</v>
      </c>
      <c r="L958" s="1" t="s">
        <v>4275</v>
      </c>
      <c r="M958" s="1" t="s">
        <v>4279</v>
      </c>
      <c r="N958" s="6" t="str">
        <f t="shared" si="29"/>
        <v>Apr</v>
      </c>
      <c r="O958" s="1">
        <v>321.95999999999998</v>
      </c>
      <c r="T958" s="4"/>
      <c r="U958" s="1" t="str">
        <f t="shared" si="30"/>
        <v>Normal</v>
      </c>
    </row>
    <row r="959" spans="1:21" x14ac:dyDescent="0.25">
      <c r="A959" s="1" t="s">
        <v>971</v>
      </c>
      <c r="B959" s="4">
        <v>44938</v>
      </c>
      <c r="C959" s="1" t="s">
        <v>2164</v>
      </c>
      <c r="D959" s="1" t="s">
        <v>2403</v>
      </c>
      <c r="E959" s="1">
        <v>5</v>
      </c>
      <c r="F959" s="1">
        <v>643.89</v>
      </c>
      <c r="G959" s="1" t="s">
        <v>2988</v>
      </c>
      <c r="H959" s="1" t="s">
        <v>3069</v>
      </c>
      <c r="I959" s="1" t="s">
        <v>3072</v>
      </c>
      <c r="J959" s="1" t="s">
        <v>4032</v>
      </c>
      <c r="K959" s="1">
        <v>8</v>
      </c>
      <c r="L959" s="1" t="s">
        <v>4277</v>
      </c>
      <c r="M959" s="1" t="s">
        <v>4281</v>
      </c>
      <c r="N959" s="6" t="str">
        <f t="shared" si="29"/>
        <v>Jan</v>
      </c>
      <c r="O959" s="1">
        <v>3219.45</v>
      </c>
      <c r="T959" s="4"/>
      <c r="U959" s="1" t="str">
        <f t="shared" si="30"/>
        <v>Normal</v>
      </c>
    </row>
    <row r="960" spans="1:21" x14ac:dyDescent="0.25">
      <c r="A960" s="1" t="s">
        <v>972</v>
      </c>
      <c r="B960" s="4">
        <v>45059</v>
      </c>
      <c r="C960" s="1" t="s">
        <v>2165</v>
      </c>
      <c r="D960" s="1" t="s">
        <v>2409</v>
      </c>
      <c r="E960" s="1">
        <v>3</v>
      </c>
      <c r="F960" s="1">
        <v>158.66</v>
      </c>
      <c r="G960" s="1" t="s">
        <v>2656</v>
      </c>
      <c r="H960" s="1" t="s">
        <v>3068</v>
      </c>
      <c r="I960" s="1" t="s">
        <v>3073</v>
      </c>
      <c r="J960" s="1" t="s">
        <v>4033</v>
      </c>
      <c r="K960" s="1">
        <v>7</v>
      </c>
      <c r="L960" s="1" t="s">
        <v>4277</v>
      </c>
      <c r="M960" s="1" t="s">
        <v>4280</v>
      </c>
      <c r="N960" s="6" t="str">
        <f t="shared" si="29"/>
        <v>May</v>
      </c>
      <c r="O960" s="1">
        <v>475.98</v>
      </c>
      <c r="T960" s="4"/>
      <c r="U960" s="1" t="str">
        <f t="shared" si="30"/>
        <v>Normal</v>
      </c>
    </row>
    <row r="961" spans="1:21" x14ac:dyDescent="0.25">
      <c r="A961" s="1" t="s">
        <v>973</v>
      </c>
      <c r="B961" s="4">
        <v>45395</v>
      </c>
      <c r="C961" s="1" t="s">
        <v>2166</v>
      </c>
      <c r="D961" s="1" t="s">
        <v>2405</v>
      </c>
      <c r="E961" s="1">
        <v>2</v>
      </c>
      <c r="F961" s="1">
        <v>143.82</v>
      </c>
      <c r="G961" s="1" t="s">
        <v>2662</v>
      </c>
      <c r="H961" s="1" t="s">
        <v>3067</v>
      </c>
      <c r="I961" s="1" t="s">
        <v>3072</v>
      </c>
      <c r="J961" s="1" t="s">
        <v>4034</v>
      </c>
      <c r="K961" s="1">
        <v>6</v>
      </c>
      <c r="L961" s="1" t="s">
        <v>4275</v>
      </c>
      <c r="M961" s="1" t="s">
        <v>4278</v>
      </c>
      <c r="N961" s="6" t="str">
        <f t="shared" si="29"/>
        <v>Apr</v>
      </c>
      <c r="O961" s="1">
        <v>287.64</v>
      </c>
      <c r="T961" s="4"/>
      <c r="U961" s="1" t="str">
        <f t="shared" si="30"/>
        <v>Normal</v>
      </c>
    </row>
    <row r="962" spans="1:21" x14ac:dyDescent="0.25">
      <c r="A962" s="1" t="s">
        <v>974</v>
      </c>
      <c r="B962" s="4">
        <v>45271</v>
      </c>
      <c r="C962" s="1" t="s">
        <v>2167</v>
      </c>
      <c r="D962" s="1" t="s">
        <v>2408</v>
      </c>
      <c r="E962" s="1">
        <v>3</v>
      </c>
      <c r="F962" s="1">
        <v>379.07</v>
      </c>
      <c r="G962" s="1" t="s">
        <v>2714</v>
      </c>
      <c r="H962" s="1" t="s">
        <v>3068</v>
      </c>
      <c r="I962" s="1" t="s">
        <v>3074</v>
      </c>
      <c r="J962" s="1" t="s">
        <v>4035</v>
      </c>
      <c r="K962" s="1">
        <v>3</v>
      </c>
      <c r="L962" s="1" t="s">
        <v>4277</v>
      </c>
      <c r="M962" s="1" t="s">
        <v>4282</v>
      </c>
      <c r="N962" s="6" t="str">
        <f t="shared" ref="N962:N1025" si="31">TEXT(B962,"MMM")</f>
        <v>Dec</v>
      </c>
      <c r="O962" s="1">
        <v>1137.21</v>
      </c>
      <c r="T962" s="4"/>
      <c r="U962" s="1" t="str">
        <f t="shared" si="30"/>
        <v>Normal</v>
      </c>
    </row>
    <row r="963" spans="1:21" x14ac:dyDescent="0.25">
      <c r="A963" s="1" t="s">
        <v>975</v>
      </c>
      <c r="B963" s="4">
        <v>45607</v>
      </c>
      <c r="C963" s="1" t="s">
        <v>2168</v>
      </c>
      <c r="D963" s="1" t="s">
        <v>2404</v>
      </c>
      <c r="E963" s="1">
        <v>1</v>
      </c>
      <c r="F963" s="1">
        <v>601.36</v>
      </c>
      <c r="G963" s="1" t="s">
        <v>2685</v>
      </c>
      <c r="H963" s="1" t="s">
        <v>3066</v>
      </c>
      <c r="I963" s="1" t="s">
        <v>3070</v>
      </c>
      <c r="J963" s="1" t="s">
        <v>4036</v>
      </c>
      <c r="K963" s="1">
        <v>1</v>
      </c>
      <c r="L963" s="1" t="s">
        <v>4283</v>
      </c>
      <c r="M963" s="1" t="s">
        <v>4281</v>
      </c>
      <c r="N963" s="6" t="str">
        <f t="shared" si="31"/>
        <v>Nov</v>
      </c>
      <c r="O963" s="1">
        <v>601.36</v>
      </c>
      <c r="T963" s="4"/>
      <c r="U963" s="1" t="str">
        <f t="shared" ref="U963:U1026" si="32">IF(O963&gt;$S$2,"Outlier","Normal")</f>
        <v>Normal</v>
      </c>
    </row>
    <row r="964" spans="1:21" x14ac:dyDescent="0.25">
      <c r="A964" s="1" t="s">
        <v>976</v>
      </c>
      <c r="B964" s="4">
        <v>45541</v>
      </c>
      <c r="C964" s="1" t="s">
        <v>2169</v>
      </c>
      <c r="D964" s="1" t="s">
        <v>2404</v>
      </c>
      <c r="E964" s="1">
        <v>2</v>
      </c>
      <c r="F964" s="1">
        <v>142.08000000000001</v>
      </c>
      <c r="G964" s="1" t="s">
        <v>2621</v>
      </c>
      <c r="H964" s="1" t="s">
        <v>3068</v>
      </c>
      <c r="I964" s="1" t="s">
        <v>3073</v>
      </c>
      <c r="J964" s="1" t="s">
        <v>4037</v>
      </c>
      <c r="K964" s="1">
        <v>4</v>
      </c>
      <c r="L964" s="1" t="s">
        <v>4275</v>
      </c>
      <c r="M964" s="1" t="s">
        <v>4279</v>
      </c>
      <c r="N964" s="6" t="str">
        <f t="shared" si="31"/>
        <v>Sep</v>
      </c>
      <c r="O964" s="1">
        <v>284.16000000000003</v>
      </c>
      <c r="T964" s="4"/>
      <c r="U964" s="1" t="str">
        <f t="shared" si="32"/>
        <v>Normal</v>
      </c>
    </row>
    <row r="965" spans="1:21" x14ac:dyDescent="0.25">
      <c r="A965" s="1" t="s">
        <v>977</v>
      </c>
      <c r="B965" s="4">
        <v>45362</v>
      </c>
      <c r="C965" s="1" t="s">
        <v>2170</v>
      </c>
      <c r="D965" s="1" t="s">
        <v>2406</v>
      </c>
      <c r="E965" s="1">
        <v>5</v>
      </c>
      <c r="F965" s="1">
        <v>530.34</v>
      </c>
      <c r="G965" s="1" t="s">
        <v>2572</v>
      </c>
      <c r="H965" s="1" t="s">
        <v>3066</v>
      </c>
      <c r="I965" s="1" t="s">
        <v>3070</v>
      </c>
      <c r="J965" s="1" t="s">
        <v>4038</v>
      </c>
      <c r="K965" s="1">
        <v>9</v>
      </c>
      <c r="L965" s="1" t="s">
        <v>4276</v>
      </c>
      <c r="M965" s="1" t="s">
        <v>4282</v>
      </c>
      <c r="N965" s="6" t="str">
        <f t="shared" si="31"/>
        <v>Mar</v>
      </c>
      <c r="O965" s="1">
        <v>2651.7</v>
      </c>
      <c r="T965" s="4"/>
      <c r="U965" s="1" t="str">
        <f t="shared" si="32"/>
        <v>Normal</v>
      </c>
    </row>
    <row r="966" spans="1:21" x14ac:dyDescent="0.25">
      <c r="A966" s="1" t="s">
        <v>978</v>
      </c>
      <c r="B966" s="4">
        <v>45158</v>
      </c>
      <c r="C966" s="1" t="s">
        <v>2171</v>
      </c>
      <c r="D966" s="1" t="s">
        <v>2404</v>
      </c>
      <c r="E966" s="1">
        <v>5</v>
      </c>
      <c r="F966" s="1">
        <v>364.42</v>
      </c>
      <c r="G966" s="1" t="s">
        <v>2730</v>
      </c>
      <c r="H966" s="1" t="s">
        <v>3067</v>
      </c>
      <c r="I966" s="1" t="s">
        <v>3071</v>
      </c>
      <c r="J966" s="1" t="s">
        <v>4039</v>
      </c>
      <c r="K966" s="1">
        <v>10</v>
      </c>
      <c r="L966" s="1" t="s">
        <v>4275</v>
      </c>
      <c r="M966" s="1" t="s">
        <v>4279</v>
      </c>
      <c r="N966" s="6" t="str">
        <f t="shared" si="31"/>
        <v>Aug</v>
      </c>
      <c r="O966" s="1">
        <v>1822.1</v>
      </c>
      <c r="T966" s="4"/>
      <c r="U966" s="1" t="str">
        <f t="shared" si="32"/>
        <v>Normal</v>
      </c>
    </row>
    <row r="967" spans="1:21" x14ac:dyDescent="0.25">
      <c r="A967" s="1" t="s">
        <v>979</v>
      </c>
      <c r="B967" s="4">
        <v>45826</v>
      </c>
      <c r="C967" s="1" t="s">
        <v>2172</v>
      </c>
      <c r="D967" s="1" t="s">
        <v>2408</v>
      </c>
      <c r="E967" s="1">
        <v>4</v>
      </c>
      <c r="F967" s="1">
        <v>578.28</v>
      </c>
      <c r="G967" s="1" t="s">
        <v>2641</v>
      </c>
      <c r="H967" s="1" t="s">
        <v>3068</v>
      </c>
      <c r="I967" s="1" t="s">
        <v>3071</v>
      </c>
      <c r="J967" s="1" t="s">
        <v>4040</v>
      </c>
      <c r="K967" s="1">
        <v>5</v>
      </c>
      <c r="L967" s="1" t="s">
        <v>4276</v>
      </c>
      <c r="M967" s="1" t="s">
        <v>4280</v>
      </c>
      <c r="N967" s="6" t="str">
        <f t="shared" si="31"/>
        <v>Jun</v>
      </c>
      <c r="O967" s="1">
        <v>2313.12</v>
      </c>
      <c r="T967" s="4"/>
      <c r="U967" s="1" t="str">
        <f t="shared" si="32"/>
        <v>Normal</v>
      </c>
    </row>
    <row r="968" spans="1:21" x14ac:dyDescent="0.25">
      <c r="A968" s="1" t="s">
        <v>980</v>
      </c>
      <c r="B968" s="4">
        <v>45797</v>
      </c>
      <c r="C968" s="1" t="s">
        <v>2173</v>
      </c>
      <c r="D968" s="1" t="s">
        <v>2403</v>
      </c>
      <c r="E968" s="1">
        <v>5</v>
      </c>
      <c r="F968" s="1">
        <v>280.52</v>
      </c>
      <c r="G968" s="1" t="s">
        <v>2989</v>
      </c>
      <c r="H968" s="1" t="s">
        <v>3067</v>
      </c>
      <c r="I968" s="1" t="s">
        <v>3071</v>
      </c>
      <c r="J968" s="1" t="s">
        <v>4041</v>
      </c>
      <c r="K968" s="1">
        <v>7</v>
      </c>
      <c r="L968" s="1" t="s">
        <v>4277</v>
      </c>
      <c r="M968" s="1" t="s">
        <v>4281</v>
      </c>
      <c r="N968" s="6" t="str">
        <f t="shared" si="31"/>
        <v>May</v>
      </c>
      <c r="O968" s="1">
        <v>1402.6</v>
      </c>
      <c r="T968" s="4"/>
      <c r="U968" s="1" t="str">
        <f t="shared" si="32"/>
        <v>Normal</v>
      </c>
    </row>
    <row r="969" spans="1:21" x14ac:dyDescent="0.25">
      <c r="A969" s="1" t="s">
        <v>981</v>
      </c>
      <c r="B969" s="4">
        <v>45783</v>
      </c>
      <c r="C969" s="1" t="s">
        <v>2174</v>
      </c>
      <c r="D969" s="1" t="s">
        <v>2405</v>
      </c>
      <c r="E969" s="1">
        <v>5</v>
      </c>
      <c r="F969" s="1">
        <v>638.91999999999996</v>
      </c>
      <c r="G969" s="1" t="s">
        <v>2990</v>
      </c>
      <c r="H969" s="1" t="s">
        <v>3067</v>
      </c>
      <c r="I969" s="1" t="s">
        <v>3072</v>
      </c>
      <c r="J969" s="1" t="s">
        <v>4042</v>
      </c>
      <c r="K969" s="1">
        <v>5</v>
      </c>
      <c r="L969" s="1" t="s">
        <v>4276</v>
      </c>
      <c r="M969" s="1" t="s">
        <v>4282</v>
      </c>
      <c r="N969" s="6" t="str">
        <f t="shared" si="31"/>
        <v>May</v>
      </c>
      <c r="O969" s="1">
        <v>3194.6</v>
      </c>
      <c r="T969" s="4"/>
      <c r="U969" s="1" t="str">
        <f t="shared" si="32"/>
        <v>Normal</v>
      </c>
    </row>
    <row r="970" spans="1:21" x14ac:dyDescent="0.25">
      <c r="A970" s="1" t="s">
        <v>982</v>
      </c>
      <c r="B970" s="4">
        <v>45330</v>
      </c>
      <c r="C970" s="1" t="s">
        <v>2175</v>
      </c>
      <c r="D970" s="1" t="s">
        <v>2403</v>
      </c>
      <c r="E970" s="1">
        <v>4</v>
      </c>
      <c r="F970" s="1">
        <v>412.2</v>
      </c>
      <c r="G970" s="1" t="s">
        <v>2943</v>
      </c>
      <c r="H970" s="1" t="s">
        <v>3067</v>
      </c>
      <c r="I970" s="1" t="s">
        <v>3070</v>
      </c>
      <c r="J970" s="1" t="s">
        <v>4043</v>
      </c>
      <c r="K970" s="1">
        <v>6</v>
      </c>
      <c r="L970" s="1" t="s">
        <v>4277</v>
      </c>
      <c r="M970" s="1" t="s">
        <v>4279</v>
      </c>
      <c r="N970" s="6" t="str">
        <f t="shared" si="31"/>
        <v>Feb</v>
      </c>
      <c r="O970" s="1">
        <v>1648.8</v>
      </c>
      <c r="T970" s="4"/>
      <c r="U970" s="1" t="str">
        <f t="shared" si="32"/>
        <v>Normal</v>
      </c>
    </row>
    <row r="971" spans="1:21" x14ac:dyDescent="0.25">
      <c r="A971" s="1" t="s">
        <v>983</v>
      </c>
      <c r="B971" s="4">
        <v>45813</v>
      </c>
      <c r="C971" s="1" t="s">
        <v>2176</v>
      </c>
      <c r="D971" s="1" t="s">
        <v>2409</v>
      </c>
      <c r="E971" s="1">
        <v>1</v>
      </c>
      <c r="F971" s="1">
        <v>440.34</v>
      </c>
      <c r="G971" s="1" t="s">
        <v>2991</v>
      </c>
      <c r="H971" s="1" t="s">
        <v>3068</v>
      </c>
      <c r="I971" s="1" t="s">
        <v>3070</v>
      </c>
      <c r="J971" s="1" t="s">
        <v>4044</v>
      </c>
      <c r="K971" s="1">
        <v>2</v>
      </c>
      <c r="L971" s="1" t="s">
        <v>4277</v>
      </c>
      <c r="M971" s="1" t="s">
        <v>4281</v>
      </c>
      <c r="N971" s="6" t="str">
        <f t="shared" si="31"/>
        <v>Jun</v>
      </c>
      <c r="O971" s="1">
        <v>440.34</v>
      </c>
      <c r="T971" s="4"/>
      <c r="U971" s="1" t="str">
        <f t="shared" si="32"/>
        <v>Normal</v>
      </c>
    </row>
    <row r="972" spans="1:21" x14ac:dyDescent="0.25">
      <c r="A972" s="1" t="s">
        <v>984</v>
      </c>
      <c r="B972" s="4">
        <v>45542</v>
      </c>
      <c r="C972" s="1" t="s">
        <v>2177</v>
      </c>
      <c r="D972" s="1" t="s">
        <v>2409</v>
      </c>
      <c r="E972" s="1">
        <v>1</v>
      </c>
      <c r="F972" s="1">
        <v>627.15</v>
      </c>
      <c r="G972" s="1" t="s">
        <v>2992</v>
      </c>
      <c r="H972" s="1" t="s">
        <v>3069</v>
      </c>
      <c r="I972" s="1" t="s">
        <v>3073</v>
      </c>
      <c r="J972" s="1" t="s">
        <v>4045</v>
      </c>
      <c r="K972" s="1">
        <v>5</v>
      </c>
      <c r="L972" s="1" t="s">
        <v>4275</v>
      </c>
      <c r="M972" s="1" t="s">
        <v>4278</v>
      </c>
      <c r="N972" s="6" t="str">
        <f t="shared" si="31"/>
        <v>Sep</v>
      </c>
      <c r="O972" s="1">
        <v>627.15</v>
      </c>
      <c r="T972" s="4"/>
      <c r="U972" s="1" t="str">
        <f t="shared" si="32"/>
        <v>Normal</v>
      </c>
    </row>
    <row r="973" spans="1:21" x14ac:dyDescent="0.25">
      <c r="A973" s="1" t="s">
        <v>985</v>
      </c>
      <c r="B973" s="4">
        <v>45439</v>
      </c>
      <c r="C973" s="1" t="s">
        <v>2178</v>
      </c>
      <c r="D973" s="1" t="s">
        <v>2403</v>
      </c>
      <c r="E973" s="1">
        <v>2</v>
      </c>
      <c r="F973" s="1">
        <v>605.26</v>
      </c>
      <c r="G973" s="1" t="s">
        <v>2415</v>
      </c>
      <c r="H973" s="1" t="s">
        <v>3069</v>
      </c>
      <c r="I973" s="1" t="s">
        <v>3071</v>
      </c>
      <c r="J973" s="1" t="s">
        <v>4046</v>
      </c>
      <c r="K973" s="1">
        <v>4</v>
      </c>
      <c r="L973" s="1" t="s">
        <v>4277</v>
      </c>
      <c r="M973" s="1" t="s">
        <v>4279</v>
      </c>
      <c r="N973" s="6" t="str">
        <f t="shared" si="31"/>
        <v>May</v>
      </c>
      <c r="O973" s="1">
        <v>1210.52</v>
      </c>
      <c r="T973" s="4"/>
      <c r="U973" s="1" t="str">
        <f t="shared" si="32"/>
        <v>Normal</v>
      </c>
    </row>
    <row r="974" spans="1:21" x14ac:dyDescent="0.25">
      <c r="A974" s="1" t="s">
        <v>986</v>
      </c>
      <c r="B974" s="4">
        <v>45452</v>
      </c>
      <c r="C974" s="1" t="s">
        <v>2179</v>
      </c>
      <c r="D974" s="1" t="s">
        <v>2408</v>
      </c>
      <c r="E974" s="1">
        <v>1</v>
      </c>
      <c r="F974" s="1">
        <v>90.27</v>
      </c>
      <c r="G974" s="1" t="s">
        <v>2993</v>
      </c>
      <c r="H974" s="1" t="s">
        <v>3069</v>
      </c>
      <c r="I974" s="1" t="s">
        <v>3073</v>
      </c>
      <c r="J974" s="1" t="s">
        <v>4047</v>
      </c>
      <c r="K974" s="1">
        <v>5</v>
      </c>
      <c r="L974" s="1" t="s">
        <v>4275</v>
      </c>
      <c r="M974" s="1" t="s">
        <v>4281</v>
      </c>
      <c r="N974" s="6" t="str">
        <f t="shared" si="31"/>
        <v>Jun</v>
      </c>
      <c r="O974" s="1">
        <v>90.27</v>
      </c>
      <c r="T974" s="4"/>
      <c r="U974" s="1" t="str">
        <f t="shared" si="32"/>
        <v>Normal</v>
      </c>
    </row>
    <row r="975" spans="1:21" x14ac:dyDescent="0.25">
      <c r="A975" s="1" t="s">
        <v>987</v>
      </c>
      <c r="B975" s="4">
        <v>45817</v>
      </c>
      <c r="C975" s="1" t="s">
        <v>2180</v>
      </c>
      <c r="D975" s="1" t="s">
        <v>2409</v>
      </c>
      <c r="E975" s="1">
        <v>5</v>
      </c>
      <c r="F975" s="1">
        <v>230.77</v>
      </c>
      <c r="G975" s="1" t="s">
        <v>2977</v>
      </c>
      <c r="H975" s="1" t="s">
        <v>3066</v>
      </c>
      <c r="I975" s="1" t="s">
        <v>3074</v>
      </c>
      <c r="J975" s="1" t="s">
        <v>4048</v>
      </c>
      <c r="K975" s="1">
        <v>10</v>
      </c>
      <c r="L975" s="1" t="s">
        <v>4277</v>
      </c>
      <c r="M975" s="1" t="s">
        <v>4279</v>
      </c>
      <c r="N975" s="6" t="str">
        <f t="shared" si="31"/>
        <v>Jun</v>
      </c>
      <c r="O975" s="1">
        <v>1153.8499999999999</v>
      </c>
      <c r="T975" s="4"/>
      <c r="U975" s="1" t="str">
        <f t="shared" si="32"/>
        <v>Normal</v>
      </c>
    </row>
    <row r="976" spans="1:21" x14ac:dyDescent="0.25">
      <c r="A976" s="1" t="s">
        <v>988</v>
      </c>
      <c r="B976" s="4">
        <v>45196</v>
      </c>
      <c r="C976" s="1" t="s">
        <v>2181</v>
      </c>
      <c r="D976" s="1" t="s">
        <v>2409</v>
      </c>
      <c r="E976" s="1">
        <v>5</v>
      </c>
      <c r="F976" s="1">
        <v>266.77999999999997</v>
      </c>
      <c r="G976" s="1" t="s">
        <v>2673</v>
      </c>
      <c r="H976" s="1" t="s">
        <v>3068</v>
      </c>
      <c r="I976" s="1" t="s">
        <v>3071</v>
      </c>
      <c r="J976" s="1" t="s">
        <v>4049</v>
      </c>
      <c r="K976" s="1">
        <v>5</v>
      </c>
      <c r="L976" s="1" t="s">
        <v>4283</v>
      </c>
      <c r="M976" s="1" t="s">
        <v>4280</v>
      </c>
      <c r="N976" s="6" t="str">
        <f t="shared" si="31"/>
        <v>Sep</v>
      </c>
      <c r="O976" s="1">
        <v>1333.9</v>
      </c>
      <c r="T976" s="4"/>
      <c r="U976" s="1" t="str">
        <f t="shared" si="32"/>
        <v>Normal</v>
      </c>
    </row>
    <row r="977" spans="1:21" x14ac:dyDescent="0.25">
      <c r="A977" s="1" t="s">
        <v>989</v>
      </c>
      <c r="B977" s="4">
        <v>45064</v>
      </c>
      <c r="C977" s="1" t="s">
        <v>2182</v>
      </c>
      <c r="D977" s="1" t="s">
        <v>2409</v>
      </c>
      <c r="E977" s="1">
        <v>1</v>
      </c>
      <c r="F977" s="1">
        <v>105.92</v>
      </c>
      <c r="G977" s="1" t="s">
        <v>2643</v>
      </c>
      <c r="H977" s="1" t="s">
        <v>3068</v>
      </c>
      <c r="I977" s="1" t="s">
        <v>3072</v>
      </c>
      <c r="J977" s="1" t="s">
        <v>4050</v>
      </c>
      <c r="K977" s="1">
        <v>6</v>
      </c>
      <c r="L977" s="1" t="s">
        <v>4275</v>
      </c>
      <c r="M977" s="1" t="s">
        <v>4280</v>
      </c>
      <c r="N977" s="6" t="str">
        <f t="shared" si="31"/>
        <v>May</v>
      </c>
      <c r="O977" s="1">
        <v>105.92</v>
      </c>
      <c r="T977" s="4"/>
      <c r="U977" s="1" t="str">
        <f t="shared" si="32"/>
        <v>Normal</v>
      </c>
    </row>
    <row r="978" spans="1:21" x14ac:dyDescent="0.25">
      <c r="A978" s="1" t="s">
        <v>990</v>
      </c>
      <c r="B978" s="4">
        <v>45386</v>
      </c>
      <c r="C978" s="1" t="s">
        <v>2183</v>
      </c>
      <c r="D978" s="1" t="s">
        <v>2405</v>
      </c>
      <c r="E978" s="1">
        <v>3</v>
      </c>
      <c r="F978" s="1">
        <v>589.29999999999995</v>
      </c>
      <c r="G978" s="1" t="s">
        <v>2941</v>
      </c>
      <c r="H978" s="1" t="s">
        <v>3067</v>
      </c>
      <c r="I978" s="1" t="s">
        <v>3072</v>
      </c>
      <c r="J978" s="1" t="s">
        <v>4051</v>
      </c>
      <c r="K978" s="1">
        <v>6</v>
      </c>
      <c r="L978" s="1" t="s">
        <v>4277</v>
      </c>
      <c r="M978" s="1" t="s">
        <v>4279</v>
      </c>
      <c r="N978" s="6" t="str">
        <f t="shared" si="31"/>
        <v>Apr</v>
      </c>
      <c r="O978" s="1">
        <v>1767.9</v>
      </c>
      <c r="T978" s="4"/>
      <c r="U978" s="1" t="str">
        <f t="shared" si="32"/>
        <v>Normal</v>
      </c>
    </row>
    <row r="979" spans="1:21" x14ac:dyDescent="0.25">
      <c r="A979" s="1" t="s">
        <v>991</v>
      </c>
      <c r="B979" s="4">
        <v>44954</v>
      </c>
      <c r="C979" s="1" t="s">
        <v>2184</v>
      </c>
      <c r="D979" s="1" t="s">
        <v>2406</v>
      </c>
      <c r="E979" s="1">
        <v>4</v>
      </c>
      <c r="F979" s="1">
        <v>649.47</v>
      </c>
      <c r="G979" s="1" t="s">
        <v>2994</v>
      </c>
      <c r="H979" s="1" t="s">
        <v>3069</v>
      </c>
      <c r="I979" s="1" t="s">
        <v>3074</v>
      </c>
      <c r="J979" s="1" t="s">
        <v>4052</v>
      </c>
      <c r="K979" s="1">
        <v>8</v>
      </c>
      <c r="L979" s="1" t="s">
        <v>4275</v>
      </c>
      <c r="M979" s="1" t="s">
        <v>4282</v>
      </c>
      <c r="N979" s="6" t="str">
        <f t="shared" si="31"/>
        <v>Jan</v>
      </c>
      <c r="O979" s="1">
        <v>2597.88</v>
      </c>
      <c r="T979" s="4"/>
      <c r="U979" s="1" t="str">
        <f t="shared" si="32"/>
        <v>Normal</v>
      </c>
    </row>
    <row r="980" spans="1:21" x14ac:dyDescent="0.25">
      <c r="A980" s="1" t="s">
        <v>992</v>
      </c>
      <c r="B980" s="4">
        <v>45468</v>
      </c>
      <c r="C980" s="1" t="s">
        <v>2185</v>
      </c>
      <c r="D980" s="1" t="s">
        <v>2407</v>
      </c>
      <c r="E980" s="1">
        <v>4</v>
      </c>
      <c r="F980" s="1">
        <v>107.49</v>
      </c>
      <c r="G980" s="1" t="s">
        <v>2887</v>
      </c>
      <c r="H980" s="1" t="s">
        <v>3069</v>
      </c>
      <c r="I980" s="1" t="s">
        <v>3073</v>
      </c>
      <c r="J980" s="1" t="s">
        <v>4053</v>
      </c>
      <c r="K980" s="1">
        <v>5</v>
      </c>
      <c r="L980" s="1" t="s">
        <v>4283</v>
      </c>
      <c r="M980" s="1" t="s">
        <v>4282</v>
      </c>
      <c r="N980" s="6" t="str">
        <f t="shared" si="31"/>
        <v>Jun</v>
      </c>
      <c r="O980" s="1">
        <v>429.96</v>
      </c>
      <c r="T980" s="4"/>
      <c r="U980" s="1" t="str">
        <f t="shared" si="32"/>
        <v>Normal</v>
      </c>
    </row>
    <row r="981" spans="1:21" x14ac:dyDescent="0.25">
      <c r="A981" s="1" t="s">
        <v>993</v>
      </c>
      <c r="B981" s="4">
        <v>45077</v>
      </c>
      <c r="C981" s="1" t="s">
        <v>2186</v>
      </c>
      <c r="D981" s="1" t="s">
        <v>2403</v>
      </c>
      <c r="E981" s="1">
        <v>3</v>
      </c>
      <c r="F981" s="1">
        <v>669.06</v>
      </c>
      <c r="G981" s="1" t="s">
        <v>2648</v>
      </c>
      <c r="H981" s="1" t="s">
        <v>3069</v>
      </c>
      <c r="I981" s="1" t="s">
        <v>3073</v>
      </c>
      <c r="J981" s="1" t="s">
        <v>4054</v>
      </c>
      <c r="K981" s="1">
        <v>7</v>
      </c>
      <c r="L981" s="1" t="s">
        <v>4275</v>
      </c>
      <c r="M981" s="1" t="s">
        <v>4281</v>
      </c>
      <c r="N981" s="6" t="str">
        <f t="shared" si="31"/>
        <v>May</v>
      </c>
      <c r="O981" s="1">
        <v>2007.18</v>
      </c>
      <c r="T981" s="4"/>
      <c r="U981" s="1" t="str">
        <f t="shared" si="32"/>
        <v>Normal</v>
      </c>
    </row>
    <row r="982" spans="1:21" x14ac:dyDescent="0.25">
      <c r="A982" s="1" t="s">
        <v>994</v>
      </c>
      <c r="B982" s="4">
        <v>45213</v>
      </c>
      <c r="C982" s="1" t="s">
        <v>2187</v>
      </c>
      <c r="D982" s="1" t="s">
        <v>2406</v>
      </c>
      <c r="E982" s="1">
        <v>3</v>
      </c>
      <c r="F982" s="1">
        <v>69.650000000000006</v>
      </c>
      <c r="G982" s="1" t="s">
        <v>2995</v>
      </c>
      <c r="H982" s="1" t="s">
        <v>3069</v>
      </c>
      <c r="I982" s="1" t="s">
        <v>3073</v>
      </c>
      <c r="J982" s="1" t="s">
        <v>4055</v>
      </c>
      <c r="K982" s="1">
        <v>7</v>
      </c>
      <c r="L982" s="1" t="s">
        <v>4277</v>
      </c>
      <c r="M982" s="1" t="s">
        <v>4278</v>
      </c>
      <c r="N982" s="6" t="str">
        <f t="shared" si="31"/>
        <v>Oct</v>
      </c>
      <c r="O982" s="1">
        <v>208.95</v>
      </c>
      <c r="T982" s="4"/>
      <c r="U982" s="1" t="str">
        <f t="shared" si="32"/>
        <v>Normal</v>
      </c>
    </row>
    <row r="983" spans="1:21" x14ac:dyDescent="0.25">
      <c r="A983" s="1" t="s">
        <v>995</v>
      </c>
      <c r="B983" s="4">
        <v>45256</v>
      </c>
      <c r="C983" s="1" t="s">
        <v>2188</v>
      </c>
      <c r="D983" s="1" t="s">
        <v>2404</v>
      </c>
      <c r="E983" s="1">
        <v>4</v>
      </c>
      <c r="F983" s="1">
        <v>136.83000000000001</v>
      </c>
      <c r="G983" s="1" t="s">
        <v>2996</v>
      </c>
      <c r="H983" s="1" t="s">
        <v>3065</v>
      </c>
      <c r="I983" s="1" t="s">
        <v>3074</v>
      </c>
      <c r="J983" s="1" t="s">
        <v>4056</v>
      </c>
      <c r="K983" s="1">
        <v>8</v>
      </c>
      <c r="L983" s="1" t="s">
        <v>4275</v>
      </c>
      <c r="M983" s="1" t="s">
        <v>4280</v>
      </c>
      <c r="N983" s="6" t="str">
        <f t="shared" si="31"/>
        <v>Nov</v>
      </c>
      <c r="O983" s="1">
        <v>547.32000000000005</v>
      </c>
      <c r="T983" s="4"/>
      <c r="U983" s="1" t="str">
        <f t="shared" si="32"/>
        <v>Normal</v>
      </c>
    </row>
    <row r="984" spans="1:21" x14ac:dyDescent="0.25">
      <c r="A984" s="1" t="s">
        <v>996</v>
      </c>
      <c r="B984" s="4">
        <v>45541</v>
      </c>
      <c r="C984" s="1" t="s">
        <v>2189</v>
      </c>
      <c r="D984" s="1" t="s">
        <v>2403</v>
      </c>
      <c r="E984" s="1">
        <v>1</v>
      </c>
      <c r="F984" s="1">
        <v>304.11</v>
      </c>
      <c r="G984" s="1" t="s">
        <v>2889</v>
      </c>
      <c r="H984" s="1" t="s">
        <v>3068</v>
      </c>
      <c r="I984" s="1" t="s">
        <v>3070</v>
      </c>
      <c r="J984" s="1" t="s">
        <v>4057</v>
      </c>
      <c r="K984" s="1">
        <v>2</v>
      </c>
      <c r="L984" s="1" t="s">
        <v>4275</v>
      </c>
      <c r="M984" s="1" t="s">
        <v>4279</v>
      </c>
      <c r="N984" s="6" t="str">
        <f t="shared" si="31"/>
        <v>Sep</v>
      </c>
      <c r="O984" s="1">
        <v>304.11</v>
      </c>
      <c r="T984" s="4"/>
      <c r="U984" s="1" t="str">
        <f t="shared" si="32"/>
        <v>Normal</v>
      </c>
    </row>
    <row r="985" spans="1:21" x14ac:dyDescent="0.25">
      <c r="A985" s="1" t="s">
        <v>997</v>
      </c>
      <c r="B985" s="4">
        <v>45620</v>
      </c>
      <c r="C985" s="1" t="s">
        <v>2190</v>
      </c>
      <c r="D985" s="1" t="s">
        <v>2403</v>
      </c>
      <c r="E985" s="1">
        <v>4</v>
      </c>
      <c r="F985" s="1">
        <v>296.27999999999997</v>
      </c>
      <c r="G985" s="1" t="s">
        <v>2997</v>
      </c>
      <c r="H985" s="1" t="s">
        <v>3068</v>
      </c>
      <c r="I985" s="1" t="s">
        <v>3070</v>
      </c>
      <c r="J985" s="1" t="s">
        <v>4058</v>
      </c>
      <c r="K985" s="1">
        <v>5</v>
      </c>
      <c r="L985" s="1" t="s">
        <v>4275</v>
      </c>
      <c r="M985" s="1" t="s">
        <v>4280</v>
      </c>
      <c r="N985" s="6" t="str">
        <f t="shared" si="31"/>
        <v>Nov</v>
      </c>
      <c r="O985" s="1">
        <v>1185.1199999999999</v>
      </c>
      <c r="T985" s="4"/>
      <c r="U985" s="1" t="str">
        <f t="shared" si="32"/>
        <v>Normal</v>
      </c>
    </row>
    <row r="986" spans="1:21" x14ac:dyDescent="0.25">
      <c r="A986" s="1" t="s">
        <v>998</v>
      </c>
      <c r="B986" s="4">
        <v>45716</v>
      </c>
      <c r="C986" s="1" t="s">
        <v>2191</v>
      </c>
      <c r="D986" s="1" t="s">
        <v>2409</v>
      </c>
      <c r="E986" s="1">
        <v>1</v>
      </c>
      <c r="F986" s="1">
        <v>77.64</v>
      </c>
      <c r="G986" s="1" t="s">
        <v>2417</v>
      </c>
      <c r="H986" s="1" t="s">
        <v>3067</v>
      </c>
      <c r="I986" s="1" t="s">
        <v>3070</v>
      </c>
      <c r="J986" s="1" t="s">
        <v>4059</v>
      </c>
      <c r="K986" s="1">
        <v>1</v>
      </c>
      <c r="L986" s="1" t="s">
        <v>4276</v>
      </c>
      <c r="M986" s="1" t="s">
        <v>4281</v>
      </c>
      <c r="N986" s="6" t="str">
        <f t="shared" si="31"/>
        <v>Feb</v>
      </c>
      <c r="O986" s="1">
        <v>77.64</v>
      </c>
      <c r="T986" s="4"/>
      <c r="U986" s="1" t="str">
        <f t="shared" si="32"/>
        <v>Normal</v>
      </c>
    </row>
    <row r="987" spans="1:21" x14ac:dyDescent="0.25">
      <c r="A987" s="1" t="s">
        <v>999</v>
      </c>
      <c r="B987" s="4">
        <v>45493</v>
      </c>
      <c r="C987" s="1" t="s">
        <v>2192</v>
      </c>
      <c r="D987" s="1" t="s">
        <v>2409</v>
      </c>
      <c r="E987" s="1">
        <v>1</v>
      </c>
      <c r="F987" s="1">
        <v>243.71</v>
      </c>
      <c r="G987" s="1" t="s">
        <v>2608</v>
      </c>
      <c r="H987" s="1" t="s">
        <v>3068</v>
      </c>
      <c r="I987" s="1" t="s">
        <v>3073</v>
      </c>
      <c r="J987" s="1" t="s">
        <v>4060</v>
      </c>
      <c r="K987" s="1">
        <v>6</v>
      </c>
      <c r="L987" s="1" t="s">
        <v>4275</v>
      </c>
      <c r="M987" s="1" t="s">
        <v>4282</v>
      </c>
      <c r="N987" s="6" t="str">
        <f t="shared" si="31"/>
        <v>Jul</v>
      </c>
      <c r="O987" s="1">
        <v>243.71</v>
      </c>
      <c r="T987" s="4"/>
      <c r="U987" s="1" t="str">
        <f t="shared" si="32"/>
        <v>Normal</v>
      </c>
    </row>
    <row r="988" spans="1:21" x14ac:dyDescent="0.25">
      <c r="A988" s="1" t="s">
        <v>1000</v>
      </c>
      <c r="B988" s="4">
        <v>45542</v>
      </c>
      <c r="C988" s="1" t="s">
        <v>2193</v>
      </c>
      <c r="D988" s="1" t="s">
        <v>2408</v>
      </c>
      <c r="E988" s="1">
        <v>4</v>
      </c>
      <c r="F988" s="1">
        <v>644.96</v>
      </c>
      <c r="G988" s="1" t="s">
        <v>2501</v>
      </c>
      <c r="H988" s="1" t="s">
        <v>3067</v>
      </c>
      <c r="I988" s="1" t="s">
        <v>3074</v>
      </c>
      <c r="J988" s="1" t="s">
        <v>4061</v>
      </c>
      <c r="K988" s="1">
        <v>7</v>
      </c>
      <c r="L988" s="1" t="s">
        <v>4276</v>
      </c>
      <c r="M988" s="1" t="s">
        <v>4280</v>
      </c>
      <c r="N988" s="6" t="str">
        <f t="shared" si="31"/>
        <v>Sep</v>
      </c>
      <c r="O988" s="1">
        <v>2579.84</v>
      </c>
      <c r="T988" s="4"/>
      <c r="U988" s="1" t="str">
        <f t="shared" si="32"/>
        <v>Normal</v>
      </c>
    </row>
    <row r="989" spans="1:21" x14ac:dyDescent="0.25">
      <c r="A989" s="1" t="s">
        <v>1001</v>
      </c>
      <c r="B989" s="4">
        <v>45813</v>
      </c>
      <c r="C989" s="1" t="s">
        <v>2194</v>
      </c>
      <c r="D989" s="1" t="s">
        <v>2404</v>
      </c>
      <c r="E989" s="1">
        <v>5</v>
      </c>
      <c r="F989" s="1">
        <v>283.73</v>
      </c>
      <c r="G989" s="1" t="s">
        <v>2752</v>
      </c>
      <c r="H989" s="1" t="s">
        <v>3068</v>
      </c>
      <c r="I989" s="1" t="s">
        <v>3074</v>
      </c>
      <c r="J989" s="1" t="s">
        <v>4062</v>
      </c>
      <c r="K989" s="1">
        <v>8</v>
      </c>
      <c r="L989" s="1" t="s">
        <v>4276</v>
      </c>
      <c r="M989" s="1" t="s">
        <v>4278</v>
      </c>
      <c r="N989" s="6" t="str">
        <f t="shared" si="31"/>
        <v>Jun</v>
      </c>
      <c r="O989" s="1">
        <v>1418.65</v>
      </c>
      <c r="T989" s="4"/>
      <c r="U989" s="1" t="str">
        <f t="shared" si="32"/>
        <v>Normal</v>
      </c>
    </row>
    <row r="990" spans="1:21" x14ac:dyDescent="0.25">
      <c r="A990" s="1" t="s">
        <v>1002</v>
      </c>
      <c r="B990" s="4">
        <v>45692</v>
      </c>
      <c r="C990" s="1" t="s">
        <v>2195</v>
      </c>
      <c r="D990" s="1" t="s">
        <v>2409</v>
      </c>
      <c r="E990" s="1">
        <v>2</v>
      </c>
      <c r="F990" s="1">
        <v>629.55999999999995</v>
      </c>
      <c r="G990" s="1" t="s">
        <v>2687</v>
      </c>
      <c r="H990" s="1" t="s">
        <v>3068</v>
      </c>
      <c r="I990" s="1" t="s">
        <v>3071</v>
      </c>
      <c r="J990" s="1" t="s">
        <v>4063</v>
      </c>
      <c r="K990" s="1">
        <v>5</v>
      </c>
      <c r="L990" s="1" t="s">
        <v>4277</v>
      </c>
      <c r="M990" s="1" t="s">
        <v>4278</v>
      </c>
      <c r="N990" s="6" t="str">
        <f t="shared" si="31"/>
        <v>Feb</v>
      </c>
      <c r="O990" s="1">
        <v>1259.1199999999999</v>
      </c>
      <c r="T990" s="4"/>
      <c r="U990" s="1" t="str">
        <f t="shared" si="32"/>
        <v>Normal</v>
      </c>
    </row>
    <row r="991" spans="1:21" x14ac:dyDescent="0.25">
      <c r="A991" s="1" t="s">
        <v>1003</v>
      </c>
      <c r="B991" s="4">
        <v>45008</v>
      </c>
      <c r="C991" s="1" t="s">
        <v>2196</v>
      </c>
      <c r="D991" s="1" t="s">
        <v>2408</v>
      </c>
      <c r="E991" s="1">
        <v>4</v>
      </c>
      <c r="F991" s="1">
        <v>246.11</v>
      </c>
      <c r="G991" s="1" t="s">
        <v>2998</v>
      </c>
      <c r="H991" s="1" t="s">
        <v>3067</v>
      </c>
      <c r="I991" s="1" t="s">
        <v>3074</v>
      </c>
      <c r="J991" s="1" t="s">
        <v>4064</v>
      </c>
      <c r="K991" s="1">
        <v>4</v>
      </c>
      <c r="L991" s="1" t="s">
        <v>4275</v>
      </c>
      <c r="M991" s="1" t="s">
        <v>4278</v>
      </c>
      <c r="N991" s="6" t="str">
        <f t="shared" si="31"/>
        <v>Mar</v>
      </c>
      <c r="O991" s="1">
        <v>984.44</v>
      </c>
      <c r="T991" s="4"/>
      <c r="U991" s="1" t="str">
        <f t="shared" si="32"/>
        <v>Normal</v>
      </c>
    </row>
    <row r="992" spans="1:21" x14ac:dyDescent="0.25">
      <c r="A992" s="1" t="s">
        <v>1004</v>
      </c>
      <c r="B992" s="4">
        <v>45249</v>
      </c>
      <c r="C992" s="1" t="s">
        <v>2197</v>
      </c>
      <c r="D992" s="1" t="s">
        <v>2404</v>
      </c>
      <c r="E992" s="1">
        <v>2</v>
      </c>
      <c r="F992" s="1">
        <v>418.26</v>
      </c>
      <c r="G992" s="1" t="s">
        <v>2999</v>
      </c>
      <c r="H992" s="1" t="s">
        <v>3065</v>
      </c>
      <c r="I992" s="1" t="s">
        <v>3074</v>
      </c>
      <c r="J992" s="1" t="s">
        <v>4065</v>
      </c>
      <c r="K992" s="1">
        <v>2</v>
      </c>
      <c r="L992" s="1" t="s">
        <v>4275</v>
      </c>
      <c r="M992" s="1" t="s">
        <v>4282</v>
      </c>
      <c r="N992" s="6" t="str">
        <f t="shared" si="31"/>
        <v>Nov</v>
      </c>
      <c r="O992" s="1">
        <v>836.52</v>
      </c>
      <c r="T992" s="4"/>
      <c r="U992" s="1" t="str">
        <f t="shared" si="32"/>
        <v>Normal</v>
      </c>
    </row>
    <row r="993" spans="1:21" x14ac:dyDescent="0.25">
      <c r="A993" s="1" t="s">
        <v>1005</v>
      </c>
      <c r="B993" s="4">
        <v>45421</v>
      </c>
      <c r="C993" s="1" t="s">
        <v>2198</v>
      </c>
      <c r="D993" s="1" t="s">
        <v>2409</v>
      </c>
      <c r="E993" s="1">
        <v>5</v>
      </c>
      <c r="F993" s="1">
        <v>127.18</v>
      </c>
      <c r="G993" s="1" t="s">
        <v>2538</v>
      </c>
      <c r="H993" s="1" t="s">
        <v>3065</v>
      </c>
      <c r="I993" s="1" t="s">
        <v>3071</v>
      </c>
      <c r="J993" s="1" t="s">
        <v>4066</v>
      </c>
      <c r="K993" s="1">
        <v>10</v>
      </c>
      <c r="L993" s="1" t="s">
        <v>4276</v>
      </c>
      <c r="M993" s="1" t="s">
        <v>4282</v>
      </c>
      <c r="N993" s="6" t="str">
        <f t="shared" si="31"/>
        <v>May</v>
      </c>
      <c r="O993" s="1">
        <v>635.90000000000009</v>
      </c>
      <c r="T993" s="4"/>
      <c r="U993" s="1" t="str">
        <f t="shared" si="32"/>
        <v>Normal</v>
      </c>
    </row>
    <row r="994" spans="1:21" x14ac:dyDescent="0.25">
      <c r="A994" s="1" t="s">
        <v>1006</v>
      </c>
      <c r="B994" s="4">
        <v>45531</v>
      </c>
      <c r="C994" s="1" t="s">
        <v>2199</v>
      </c>
      <c r="D994" s="1" t="s">
        <v>2407</v>
      </c>
      <c r="E994" s="1">
        <v>3</v>
      </c>
      <c r="F994" s="1">
        <v>586.21</v>
      </c>
      <c r="G994" s="1" t="s">
        <v>2543</v>
      </c>
      <c r="H994" s="1" t="s">
        <v>3068</v>
      </c>
      <c r="I994" s="1" t="s">
        <v>3074</v>
      </c>
      <c r="J994" s="1" t="s">
        <v>4067</v>
      </c>
      <c r="K994" s="1">
        <v>4</v>
      </c>
      <c r="L994" s="1" t="s">
        <v>4277</v>
      </c>
      <c r="M994" s="1" t="s">
        <v>4279</v>
      </c>
      <c r="N994" s="6" t="str">
        <f t="shared" si="31"/>
        <v>Aug</v>
      </c>
      <c r="O994" s="1">
        <v>1758.63</v>
      </c>
      <c r="T994" s="4"/>
      <c r="U994" s="1" t="str">
        <f t="shared" si="32"/>
        <v>Normal</v>
      </c>
    </row>
    <row r="995" spans="1:21" x14ac:dyDescent="0.25">
      <c r="A995" s="1" t="s">
        <v>1007</v>
      </c>
      <c r="B995" s="4">
        <v>45388</v>
      </c>
      <c r="C995" s="1" t="s">
        <v>2200</v>
      </c>
      <c r="D995" s="1" t="s">
        <v>2403</v>
      </c>
      <c r="E995" s="1">
        <v>3</v>
      </c>
      <c r="F995" s="1">
        <v>267.45</v>
      </c>
      <c r="G995" s="1" t="s">
        <v>3000</v>
      </c>
      <c r="H995" s="1" t="s">
        <v>3068</v>
      </c>
      <c r="I995" s="1" t="s">
        <v>3073</v>
      </c>
      <c r="J995" s="1" t="s">
        <v>4068</v>
      </c>
      <c r="K995" s="1">
        <v>5</v>
      </c>
      <c r="L995" s="1" t="s">
        <v>4277</v>
      </c>
      <c r="M995" s="1" t="s">
        <v>4278</v>
      </c>
      <c r="N995" s="6" t="str">
        <f t="shared" si="31"/>
        <v>Apr</v>
      </c>
      <c r="O995" s="1">
        <v>802.34999999999991</v>
      </c>
      <c r="T995" s="4"/>
      <c r="U995" s="1" t="str">
        <f t="shared" si="32"/>
        <v>Normal</v>
      </c>
    </row>
    <row r="996" spans="1:21" x14ac:dyDescent="0.25">
      <c r="A996" s="1" t="s">
        <v>1008</v>
      </c>
      <c r="B996" s="4">
        <v>45470</v>
      </c>
      <c r="C996" s="1" t="s">
        <v>2201</v>
      </c>
      <c r="D996" s="1" t="s">
        <v>2405</v>
      </c>
      <c r="E996" s="1">
        <v>4</v>
      </c>
      <c r="F996" s="1">
        <v>615.65</v>
      </c>
      <c r="G996" s="1" t="s">
        <v>2486</v>
      </c>
      <c r="H996" s="1" t="s">
        <v>3065</v>
      </c>
      <c r="I996" s="1" t="s">
        <v>3073</v>
      </c>
      <c r="J996" s="1" t="s">
        <v>4069</v>
      </c>
      <c r="K996" s="1">
        <v>9</v>
      </c>
      <c r="L996" s="1" t="s">
        <v>4277</v>
      </c>
      <c r="M996" s="1" t="s">
        <v>4282</v>
      </c>
      <c r="N996" s="6" t="str">
        <f t="shared" si="31"/>
        <v>Jun</v>
      </c>
      <c r="O996" s="1">
        <v>2462.6</v>
      </c>
      <c r="T996" s="4"/>
      <c r="U996" s="1" t="str">
        <f t="shared" si="32"/>
        <v>Normal</v>
      </c>
    </row>
    <row r="997" spans="1:21" x14ac:dyDescent="0.25">
      <c r="A997" s="1" t="s">
        <v>1009</v>
      </c>
      <c r="B997" s="4">
        <v>45248</v>
      </c>
      <c r="C997" s="1" t="s">
        <v>2202</v>
      </c>
      <c r="D997" s="1" t="s">
        <v>2403</v>
      </c>
      <c r="E997" s="1">
        <v>2</v>
      </c>
      <c r="F997" s="1">
        <v>113.29</v>
      </c>
      <c r="G997" s="1" t="s">
        <v>2801</v>
      </c>
      <c r="H997" s="1" t="s">
        <v>3069</v>
      </c>
      <c r="I997" s="1" t="s">
        <v>3074</v>
      </c>
      <c r="J997" s="1" t="s">
        <v>4070</v>
      </c>
      <c r="K997" s="1">
        <v>5</v>
      </c>
      <c r="L997" s="1" t="s">
        <v>4275</v>
      </c>
      <c r="M997" s="1" t="s">
        <v>4281</v>
      </c>
      <c r="N997" s="6" t="str">
        <f t="shared" si="31"/>
        <v>Nov</v>
      </c>
      <c r="O997" s="1">
        <v>226.58</v>
      </c>
      <c r="T997" s="4"/>
      <c r="U997" s="1" t="str">
        <f t="shared" si="32"/>
        <v>Normal</v>
      </c>
    </row>
    <row r="998" spans="1:21" x14ac:dyDescent="0.25">
      <c r="A998" s="1" t="s">
        <v>1010</v>
      </c>
      <c r="B998" s="4">
        <v>45410</v>
      </c>
      <c r="C998" s="1" t="s">
        <v>2203</v>
      </c>
      <c r="D998" s="1" t="s">
        <v>2403</v>
      </c>
      <c r="E998" s="1">
        <v>4</v>
      </c>
      <c r="F998" s="1">
        <v>473.86</v>
      </c>
      <c r="G998" s="1" t="s">
        <v>2677</v>
      </c>
      <c r="H998" s="1" t="s">
        <v>3065</v>
      </c>
      <c r="I998" s="1" t="s">
        <v>3073</v>
      </c>
      <c r="J998" s="1" t="s">
        <v>4071</v>
      </c>
      <c r="K998" s="1">
        <v>7</v>
      </c>
      <c r="L998" s="1" t="s">
        <v>4275</v>
      </c>
      <c r="M998" s="1" t="s">
        <v>4281</v>
      </c>
      <c r="N998" s="6" t="str">
        <f t="shared" si="31"/>
        <v>Apr</v>
      </c>
      <c r="O998" s="1">
        <v>1895.44</v>
      </c>
      <c r="T998" s="4"/>
      <c r="U998" s="1" t="str">
        <f t="shared" si="32"/>
        <v>Normal</v>
      </c>
    </row>
    <row r="999" spans="1:21" x14ac:dyDescent="0.25">
      <c r="A999" s="1" t="s">
        <v>1011</v>
      </c>
      <c r="B999" s="4">
        <v>45257</v>
      </c>
      <c r="C999" s="1" t="s">
        <v>2204</v>
      </c>
      <c r="D999" s="1" t="s">
        <v>2408</v>
      </c>
      <c r="E999" s="1">
        <v>3</v>
      </c>
      <c r="F999" s="1">
        <v>444.75</v>
      </c>
      <c r="G999" s="1" t="s">
        <v>2795</v>
      </c>
      <c r="H999" s="1" t="s">
        <v>3069</v>
      </c>
      <c r="I999" s="1" t="s">
        <v>3073</v>
      </c>
      <c r="J999" s="1" t="s">
        <v>4072</v>
      </c>
      <c r="K999" s="1">
        <v>6</v>
      </c>
      <c r="L999" s="1" t="s">
        <v>4275</v>
      </c>
      <c r="M999" s="1" t="s">
        <v>4281</v>
      </c>
      <c r="N999" s="6" t="str">
        <f t="shared" si="31"/>
        <v>Nov</v>
      </c>
      <c r="O999" s="1">
        <v>1334.25</v>
      </c>
      <c r="T999" s="4"/>
      <c r="U999" s="1" t="str">
        <f t="shared" si="32"/>
        <v>Normal</v>
      </c>
    </row>
    <row r="1000" spans="1:21" x14ac:dyDescent="0.25">
      <c r="A1000" s="1" t="s">
        <v>1012</v>
      </c>
      <c r="B1000" s="4">
        <v>45065</v>
      </c>
      <c r="C1000" s="1" t="s">
        <v>2205</v>
      </c>
      <c r="D1000" s="1" t="s">
        <v>2404</v>
      </c>
      <c r="E1000" s="1">
        <v>2</v>
      </c>
      <c r="F1000" s="1">
        <v>183.67</v>
      </c>
      <c r="G1000" s="1" t="s">
        <v>2614</v>
      </c>
      <c r="H1000" s="1" t="s">
        <v>3065</v>
      </c>
      <c r="I1000" s="1" t="s">
        <v>3071</v>
      </c>
      <c r="J1000" s="1" t="s">
        <v>4073</v>
      </c>
      <c r="K1000" s="1">
        <v>6</v>
      </c>
      <c r="L1000" s="1" t="s">
        <v>4275</v>
      </c>
      <c r="M1000" s="1" t="s">
        <v>4282</v>
      </c>
      <c r="N1000" s="6" t="str">
        <f t="shared" si="31"/>
        <v>May</v>
      </c>
      <c r="O1000" s="1">
        <v>367.34</v>
      </c>
      <c r="T1000" s="4"/>
      <c r="U1000" s="1" t="str">
        <f t="shared" si="32"/>
        <v>Normal</v>
      </c>
    </row>
    <row r="1001" spans="1:21" x14ac:dyDescent="0.25">
      <c r="A1001" s="1" t="s">
        <v>1013</v>
      </c>
      <c r="B1001" s="4">
        <v>45284</v>
      </c>
      <c r="C1001" s="1" t="s">
        <v>2206</v>
      </c>
      <c r="D1001" s="1" t="s">
        <v>2407</v>
      </c>
      <c r="E1001" s="1">
        <v>1</v>
      </c>
      <c r="F1001" s="1">
        <v>483.38</v>
      </c>
      <c r="G1001" s="1" t="s">
        <v>2741</v>
      </c>
      <c r="H1001" s="1" t="s">
        <v>3069</v>
      </c>
      <c r="I1001" s="1" t="s">
        <v>3074</v>
      </c>
      <c r="J1001" s="1" t="s">
        <v>4074</v>
      </c>
      <c r="K1001" s="1">
        <v>6</v>
      </c>
      <c r="L1001" s="1" t="s">
        <v>4276</v>
      </c>
      <c r="M1001" s="1" t="s">
        <v>4282</v>
      </c>
      <c r="N1001" s="6" t="str">
        <f t="shared" si="31"/>
        <v>Dec</v>
      </c>
      <c r="O1001" s="1">
        <v>483.38</v>
      </c>
      <c r="T1001" s="4"/>
      <c r="U1001" s="1" t="str">
        <f t="shared" si="32"/>
        <v>Normal</v>
      </c>
    </row>
    <row r="1002" spans="1:21" x14ac:dyDescent="0.25">
      <c r="A1002" s="1" t="s">
        <v>1014</v>
      </c>
      <c r="B1002" s="4">
        <v>45098</v>
      </c>
      <c r="C1002" s="1" t="s">
        <v>2207</v>
      </c>
      <c r="D1002" s="1" t="s">
        <v>2407</v>
      </c>
      <c r="E1002" s="1">
        <v>5</v>
      </c>
      <c r="F1002" s="1">
        <v>260.93</v>
      </c>
      <c r="G1002" s="1" t="s">
        <v>3001</v>
      </c>
      <c r="H1002" s="1" t="s">
        <v>3066</v>
      </c>
      <c r="I1002" s="1" t="s">
        <v>3073</v>
      </c>
      <c r="J1002" s="1" t="s">
        <v>4075</v>
      </c>
      <c r="K1002" s="1">
        <v>9</v>
      </c>
      <c r="L1002" s="1" t="s">
        <v>4275</v>
      </c>
      <c r="M1002" s="1" t="s">
        <v>4280</v>
      </c>
      <c r="N1002" s="6" t="str">
        <f t="shared" si="31"/>
        <v>Jun</v>
      </c>
      <c r="O1002" s="1">
        <v>1304.6500000000001</v>
      </c>
      <c r="T1002" s="4"/>
      <c r="U1002" s="1" t="str">
        <f t="shared" si="32"/>
        <v>Normal</v>
      </c>
    </row>
    <row r="1003" spans="1:21" x14ac:dyDescent="0.25">
      <c r="A1003" s="1" t="s">
        <v>1015</v>
      </c>
      <c r="B1003" s="4">
        <v>45268</v>
      </c>
      <c r="C1003" s="1" t="s">
        <v>2208</v>
      </c>
      <c r="D1003" s="1" t="s">
        <v>2407</v>
      </c>
      <c r="E1003" s="1">
        <v>2</v>
      </c>
      <c r="F1003" s="1">
        <v>253.68</v>
      </c>
      <c r="G1003" s="1" t="s">
        <v>2518</v>
      </c>
      <c r="H1003" s="1" t="s">
        <v>3068</v>
      </c>
      <c r="I1003" s="1" t="s">
        <v>3070</v>
      </c>
      <c r="J1003" s="1" t="s">
        <v>4076</v>
      </c>
      <c r="K1003" s="1">
        <v>6</v>
      </c>
      <c r="L1003" s="1" t="s">
        <v>4283</v>
      </c>
      <c r="M1003" s="1" t="s">
        <v>4279</v>
      </c>
      <c r="N1003" s="6" t="str">
        <f t="shared" si="31"/>
        <v>Dec</v>
      </c>
      <c r="O1003" s="1">
        <v>507.36</v>
      </c>
      <c r="T1003" s="4"/>
      <c r="U1003" s="1" t="str">
        <f t="shared" si="32"/>
        <v>Normal</v>
      </c>
    </row>
    <row r="1004" spans="1:21" x14ac:dyDescent="0.25">
      <c r="A1004" s="1" t="s">
        <v>1016</v>
      </c>
      <c r="B1004" s="4">
        <v>45827</v>
      </c>
      <c r="C1004" s="1" t="s">
        <v>2209</v>
      </c>
      <c r="D1004" s="1" t="s">
        <v>2405</v>
      </c>
      <c r="E1004" s="1">
        <v>4</v>
      </c>
      <c r="F1004" s="1">
        <v>699.88</v>
      </c>
      <c r="G1004" s="1" t="s">
        <v>2505</v>
      </c>
      <c r="H1004" s="1" t="s">
        <v>3069</v>
      </c>
      <c r="I1004" s="1" t="s">
        <v>3074</v>
      </c>
      <c r="J1004" s="1" t="s">
        <v>4077</v>
      </c>
      <c r="K1004" s="1">
        <v>5</v>
      </c>
      <c r="L1004" s="1" t="s">
        <v>4277</v>
      </c>
      <c r="M1004" s="1" t="s">
        <v>4279</v>
      </c>
      <c r="N1004" s="6" t="str">
        <f t="shared" si="31"/>
        <v>Jun</v>
      </c>
      <c r="O1004" s="1">
        <v>2799.52</v>
      </c>
      <c r="T1004" s="4"/>
      <c r="U1004" s="1" t="str">
        <f t="shared" si="32"/>
        <v>Normal</v>
      </c>
    </row>
    <row r="1005" spans="1:21" x14ac:dyDescent="0.25">
      <c r="A1005" s="1" t="s">
        <v>1017</v>
      </c>
      <c r="B1005" s="4">
        <v>44937</v>
      </c>
      <c r="C1005" s="1" t="s">
        <v>2210</v>
      </c>
      <c r="D1005" s="1" t="s">
        <v>2407</v>
      </c>
      <c r="E1005" s="1">
        <v>5</v>
      </c>
      <c r="F1005" s="1">
        <v>319.97000000000003</v>
      </c>
      <c r="G1005" s="1" t="s">
        <v>3001</v>
      </c>
      <c r="H1005" s="1" t="s">
        <v>3069</v>
      </c>
      <c r="I1005" s="1" t="s">
        <v>3070</v>
      </c>
      <c r="J1005" s="1" t="s">
        <v>4078</v>
      </c>
      <c r="K1005" s="1">
        <v>7</v>
      </c>
      <c r="L1005" s="1" t="s">
        <v>4275</v>
      </c>
      <c r="M1005" s="1" t="s">
        <v>4282</v>
      </c>
      <c r="N1005" s="6" t="str">
        <f t="shared" si="31"/>
        <v>Jan</v>
      </c>
      <c r="O1005" s="1">
        <v>1599.85</v>
      </c>
      <c r="T1005" s="4"/>
      <c r="U1005" s="1" t="str">
        <f t="shared" si="32"/>
        <v>Normal</v>
      </c>
    </row>
    <row r="1006" spans="1:21" x14ac:dyDescent="0.25">
      <c r="A1006" s="1" t="s">
        <v>1018</v>
      </c>
      <c r="B1006" s="4">
        <v>45817</v>
      </c>
      <c r="C1006" s="1" t="s">
        <v>2211</v>
      </c>
      <c r="D1006" s="1" t="s">
        <v>2406</v>
      </c>
      <c r="E1006" s="1">
        <v>4</v>
      </c>
      <c r="F1006" s="1">
        <v>246.91</v>
      </c>
      <c r="G1006" s="1" t="s">
        <v>2436</v>
      </c>
      <c r="H1006" s="1" t="s">
        <v>3066</v>
      </c>
      <c r="I1006" s="1" t="s">
        <v>3074</v>
      </c>
      <c r="J1006" s="1" t="s">
        <v>4079</v>
      </c>
      <c r="K1006" s="1">
        <v>8</v>
      </c>
      <c r="L1006" s="1" t="s">
        <v>4275</v>
      </c>
      <c r="M1006" s="1" t="s">
        <v>4279</v>
      </c>
      <c r="N1006" s="6" t="str">
        <f t="shared" si="31"/>
        <v>Jun</v>
      </c>
      <c r="O1006" s="1">
        <v>987.64</v>
      </c>
      <c r="T1006" s="4"/>
      <c r="U1006" s="1" t="str">
        <f t="shared" si="32"/>
        <v>Normal</v>
      </c>
    </row>
    <row r="1007" spans="1:21" x14ac:dyDescent="0.25">
      <c r="A1007" s="1" t="s">
        <v>1019</v>
      </c>
      <c r="B1007" s="4">
        <v>44987</v>
      </c>
      <c r="C1007" s="1" t="s">
        <v>2212</v>
      </c>
      <c r="D1007" s="1" t="s">
        <v>2407</v>
      </c>
      <c r="E1007" s="1">
        <v>3</v>
      </c>
      <c r="F1007" s="1">
        <v>392.85</v>
      </c>
      <c r="G1007" s="1" t="s">
        <v>2929</v>
      </c>
      <c r="H1007" s="1" t="s">
        <v>3067</v>
      </c>
      <c r="I1007" s="1" t="s">
        <v>3072</v>
      </c>
      <c r="J1007" s="1" t="s">
        <v>4080</v>
      </c>
      <c r="K1007" s="1">
        <v>6</v>
      </c>
      <c r="L1007" s="1" t="s">
        <v>4283</v>
      </c>
      <c r="M1007" s="1" t="s">
        <v>4282</v>
      </c>
      <c r="N1007" s="6" t="str">
        <f t="shared" si="31"/>
        <v>Mar</v>
      </c>
      <c r="O1007" s="1">
        <v>1178.55</v>
      </c>
      <c r="T1007" s="4"/>
      <c r="U1007" s="1" t="str">
        <f t="shared" si="32"/>
        <v>Normal</v>
      </c>
    </row>
    <row r="1008" spans="1:21" x14ac:dyDescent="0.25">
      <c r="A1008" s="1" t="s">
        <v>1020</v>
      </c>
      <c r="B1008" s="4">
        <v>45439</v>
      </c>
      <c r="C1008" s="1" t="s">
        <v>2213</v>
      </c>
      <c r="D1008" s="1" t="s">
        <v>2405</v>
      </c>
      <c r="E1008" s="1">
        <v>5</v>
      </c>
      <c r="F1008" s="1">
        <v>420.98</v>
      </c>
      <c r="G1008" s="1" t="s">
        <v>2868</v>
      </c>
      <c r="H1008" s="1" t="s">
        <v>3069</v>
      </c>
      <c r="I1008" s="1" t="s">
        <v>3073</v>
      </c>
      <c r="J1008" s="1" t="s">
        <v>4081</v>
      </c>
      <c r="K1008" s="1">
        <v>7</v>
      </c>
      <c r="L1008" s="1" t="s">
        <v>4275</v>
      </c>
      <c r="M1008" s="1" t="s">
        <v>4281</v>
      </c>
      <c r="N1008" s="6" t="str">
        <f t="shared" si="31"/>
        <v>May</v>
      </c>
      <c r="O1008" s="1">
        <v>2104.9</v>
      </c>
      <c r="T1008" s="4"/>
      <c r="U1008" s="1" t="str">
        <f t="shared" si="32"/>
        <v>Normal</v>
      </c>
    </row>
    <row r="1009" spans="1:21" x14ac:dyDescent="0.25">
      <c r="A1009" s="1" t="s">
        <v>1021</v>
      </c>
      <c r="B1009" s="4">
        <v>45371</v>
      </c>
      <c r="C1009" s="1" t="s">
        <v>1699</v>
      </c>
      <c r="D1009" s="1" t="s">
        <v>2403</v>
      </c>
      <c r="E1009" s="1">
        <v>2</v>
      </c>
      <c r="F1009" s="1">
        <v>73.260000000000005</v>
      </c>
      <c r="G1009" s="1" t="s">
        <v>2499</v>
      </c>
      <c r="H1009" s="1" t="s">
        <v>3069</v>
      </c>
      <c r="I1009" s="1" t="s">
        <v>3074</v>
      </c>
      <c r="J1009" s="1" t="s">
        <v>4082</v>
      </c>
      <c r="K1009" s="1">
        <v>4</v>
      </c>
      <c r="L1009" s="1" t="s">
        <v>4277</v>
      </c>
      <c r="M1009" s="1" t="s">
        <v>4281</v>
      </c>
      <c r="N1009" s="6" t="str">
        <f t="shared" si="31"/>
        <v>Mar</v>
      </c>
      <c r="O1009" s="1">
        <v>146.52000000000001</v>
      </c>
      <c r="T1009" s="4"/>
      <c r="U1009" s="1" t="str">
        <f t="shared" si="32"/>
        <v>Normal</v>
      </c>
    </row>
    <row r="1010" spans="1:21" x14ac:dyDescent="0.25">
      <c r="A1010" s="1" t="s">
        <v>1022</v>
      </c>
      <c r="B1010" s="4">
        <v>44939</v>
      </c>
      <c r="C1010" s="1" t="s">
        <v>2214</v>
      </c>
      <c r="D1010" s="1" t="s">
        <v>2403</v>
      </c>
      <c r="E1010" s="1">
        <v>3</v>
      </c>
      <c r="F1010" s="1">
        <v>410.88</v>
      </c>
      <c r="G1010" s="1" t="s">
        <v>2916</v>
      </c>
      <c r="H1010" s="1" t="s">
        <v>3069</v>
      </c>
      <c r="I1010" s="1" t="s">
        <v>3073</v>
      </c>
      <c r="J1010" s="1" t="s">
        <v>4083</v>
      </c>
      <c r="K1010" s="1">
        <v>8</v>
      </c>
      <c r="L1010" s="1" t="s">
        <v>4276</v>
      </c>
      <c r="M1010" s="1" t="s">
        <v>4278</v>
      </c>
      <c r="N1010" s="6" t="str">
        <f t="shared" si="31"/>
        <v>Jan</v>
      </c>
      <c r="O1010" s="1">
        <v>1232.6400000000001</v>
      </c>
      <c r="T1010" s="4"/>
      <c r="U1010" s="1" t="str">
        <f t="shared" si="32"/>
        <v>Normal</v>
      </c>
    </row>
    <row r="1011" spans="1:21" x14ac:dyDescent="0.25">
      <c r="A1011" s="1" t="s">
        <v>1023</v>
      </c>
      <c r="B1011" s="4">
        <v>45171</v>
      </c>
      <c r="C1011" s="1" t="s">
        <v>2215</v>
      </c>
      <c r="D1011" s="1" t="s">
        <v>2405</v>
      </c>
      <c r="E1011" s="1">
        <v>2</v>
      </c>
      <c r="F1011" s="1">
        <v>176.46</v>
      </c>
      <c r="G1011" s="1" t="s">
        <v>2796</v>
      </c>
      <c r="H1011" s="1" t="s">
        <v>3067</v>
      </c>
      <c r="I1011" s="1" t="s">
        <v>3073</v>
      </c>
      <c r="J1011" s="1" t="s">
        <v>4084</v>
      </c>
      <c r="K1011" s="1">
        <v>2</v>
      </c>
      <c r="L1011" s="1" t="s">
        <v>4276</v>
      </c>
      <c r="M1011" s="1" t="s">
        <v>4280</v>
      </c>
      <c r="N1011" s="6" t="str">
        <f t="shared" si="31"/>
        <v>Sep</v>
      </c>
      <c r="O1011" s="1">
        <v>352.92</v>
      </c>
      <c r="T1011" s="4"/>
      <c r="U1011" s="1" t="str">
        <f t="shared" si="32"/>
        <v>Normal</v>
      </c>
    </row>
    <row r="1012" spans="1:21" x14ac:dyDescent="0.25">
      <c r="A1012" s="1" t="s">
        <v>1024</v>
      </c>
      <c r="B1012" s="4">
        <v>45016</v>
      </c>
      <c r="C1012" s="1" t="s">
        <v>2216</v>
      </c>
      <c r="D1012" s="1" t="s">
        <v>2403</v>
      </c>
      <c r="E1012" s="1">
        <v>3</v>
      </c>
      <c r="F1012" s="1">
        <v>659.57</v>
      </c>
      <c r="G1012" s="1" t="s">
        <v>2501</v>
      </c>
      <c r="H1012" s="1" t="s">
        <v>3067</v>
      </c>
      <c r="I1012" s="1" t="s">
        <v>3071</v>
      </c>
      <c r="J1012" s="1" t="s">
        <v>4085</v>
      </c>
      <c r="K1012" s="1">
        <v>6</v>
      </c>
      <c r="L1012" s="1" t="s">
        <v>4275</v>
      </c>
      <c r="M1012" s="1" t="s">
        <v>4280</v>
      </c>
      <c r="N1012" s="6" t="str">
        <f t="shared" si="31"/>
        <v>Mar</v>
      </c>
      <c r="O1012" s="1">
        <v>1978.71</v>
      </c>
      <c r="T1012" s="4"/>
      <c r="U1012" s="1" t="str">
        <f t="shared" si="32"/>
        <v>Normal</v>
      </c>
    </row>
    <row r="1013" spans="1:21" x14ac:dyDescent="0.25">
      <c r="A1013" s="1" t="s">
        <v>1025</v>
      </c>
      <c r="B1013" s="4">
        <v>45629</v>
      </c>
      <c r="C1013" s="1" t="s">
        <v>2217</v>
      </c>
      <c r="D1013" s="1" t="s">
        <v>2404</v>
      </c>
      <c r="E1013" s="1">
        <v>2</v>
      </c>
      <c r="F1013" s="1">
        <v>478.36</v>
      </c>
      <c r="G1013" s="1" t="s">
        <v>2646</v>
      </c>
      <c r="H1013" s="1" t="s">
        <v>3066</v>
      </c>
      <c r="I1013" s="1" t="s">
        <v>3070</v>
      </c>
      <c r="J1013" s="1" t="s">
        <v>4086</v>
      </c>
      <c r="K1013" s="1">
        <v>3</v>
      </c>
      <c r="L1013" s="1" t="s">
        <v>4283</v>
      </c>
      <c r="M1013" s="1" t="s">
        <v>4282</v>
      </c>
      <c r="N1013" s="6" t="str">
        <f t="shared" si="31"/>
        <v>Dec</v>
      </c>
      <c r="O1013" s="1">
        <v>956.72</v>
      </c>
      <c r="T1013" s="4"/>
      <c r="U1013" s="1" t="str">
        <f t="shared" si="32"/>
        <v>Normal</v>
      </c>
    </row>
    <row r="1014" spans="1:21" x14ac:dyDescent="0.25">
      <c r="A1014" s="1" t="s">
        <v>1026</v>
      </c>
      <c r="B1014" s="4">
        <v>45629</v>
      </c>
      <c r="C1014" s="1" t="s">
        <v>2218</v>
      </c>
      <c r="D1014" s="1" t="s">
        <v>2407</v>
      </c>
      <c r="E1014" s="1">
        <v>4</v>
      </c>
      <c r="F1014" s="1">
        <v>30.05</v>
      </c>
      <c r="G1014" s="1" t="s">
        <v>2676</v>
      </c>
      <c r="H1014" s="1" t="s">
        <v>3066</v>
      </c>
      <c r="I1014" s="1" t="s">
        <v>3072</v>
      </c>
      <c r="J1014" s="1" t="s">
        <v>4087</v>
      </c>
      <c r="K1014" s="1">
        <v>6</v>
      </c>
      <c r="L1014" s="1" t="s">
        <v>4283</v>
      </c>
      <c r="M1014" s="1" t="s">
        <v>4281</v>
      </c>
      <c r="N1014" s="6" t="str">
        <f t="shared" si="31"/>
        <v>Dec</v>
      </c>
      <c r="O1014" s="1">
        <v>120.2</v>
      </c>
      <c r="T1014" s="4"/>
      <c r="U1014" s="1" t="str">
        <f t="shared" si="32"/>
        <v>Normal</v>
      </c>
    </row>
    <row r="1015" spans="1:21" x14ac:dyDescent="0.25">
      <c r="A1015" s="1" t="s">
        <v>1027</v>
      </c>
      <c r="B1015" s="4">
        <v>45773</v>
      </c>
      <c r="C1015" s="1" t="s">
        <v>2219</v>
      </c>
      <c r="D1015" s="1" t="s">
        <v>2408</v>
      </c>
      <c r="E1015" s="1">
        <v>4</v>
      </c>
      <c r="F1015" s="1">
        <v>300.56</v>
      </c>
      <c r="G1015" s="1" t="s">
        <v>2463</v>
      </c>
      <c r="H1015" s="1" t="s">
        <v>3069</v>
      </c>
      <c r="I1015" s="1" t="s">
        <v>3071</v>
      </c>
      <c r="J1015" s="1" t="s">
        <v>4088</v>
      </c>
      <c r="K1015" s="1">
        <v>9</v>
      </c>
      <c r="L1015" s="1" t="s">
        <v>4276</v>
      </c>
      <c r="M1015" s="1" t="s">
        <v>4281</v>
      </c>
      <c r="N1015" s="6" t="str">
        <f t="shared" si="31"/>
        <v>Apr</v>
      </c>
      <c r="O1015" s="1">
        <v>1202.24</v>
      </c>
      <c r="T1015" s="4"/>
      <c r="U1015" s="1" t="str">
        <f t="shared" si="32"/>
        <v>Normal</v>
      </c>
    </row>
    <row r="1016" spans="1:21" x14ac:dyDescent="0.25">
      <c r="A1016" s="1" t="s">
        <v>1028</v>
      </c>
      <c r="B1016" s="4">
        <v>45326</v>
      </c>
      <c r="C1016" s="1" t="s">
        <v>2220</v>
      </c>
      <c r="D1016" s="1" t="s">
        <v>2405</v>
      </c>
      <c r="E1016" s="1">
        <v>5</v>
      </c>
      <c r="F1016" s="1">
        <v>226.45</v>
      </c>
      <c r="G1016" s="1" t="s">
        <v>2762</v>
      </c>
      <c r="H1016" s="1" t="s">
        <v>3065</v>
      </c>
      <c r="I1016" s="1" t="s">
        <v>3072</v>
      </c>
      <c r="J1016" s="1" t="s">
        <v>4089</v>
      </c>
      <c r="K1016" s="1">
        <v>6</v>
      </c>
      <c r="L1016" s="1" t="s">
        <v>4276</v>
      </c>
      <c r="M1016" s="1" t="s">
        <v>4280</v>
      </c>
      <c r="N1016" s="6" t="str">
        <f t="shared" si="31"/>
        <v>Feb</v>
      </c>
      <c r="O1016" s="1">
        <v>1132.25</v>
      </c>
      <c r="T1016" s="4"/>
      <c r="U1016" s="1" t="str">
        <f t="shared" si="32"/>
        <v>Normal</v>
      </c>
    </row>
    <row r="1017" spans="1:21" x14ac:dyDescent="0.25">
      <c r="A1017" s="1" t="s">
        <v>1029</v>
      </c>
      <c r="B1017" s="4">
        <v>45317</v>
      </c>
      <c r="C1017" s="1" t="s">
        <v>2221</v>
      </c>
      <c r="D1017" s="1" t="s">
        <v>2407</v>
      </c>
      <c r="E1017" s="1">
        <v>2</v>
      </c>
      <c r="F1017" s="1">
        <v>349.4</v>
      </c>
      <c r="G1017" s="1" t="s">
        <v>2838</v>
      </c>
      <c r="H1017" s="1" t="s">
        <v>3066</v>
      </c>
      <c r="I1017" s="1" t="s">
        <v>3070</v>
      </c>
      <c r="J1017" s="1" t="s">
        <v>4090</v>
      </c>
      <c r="K1017" s="1">
        <v>2</v>
      </c>
      <c r="L1017" s="1" t="s">
        <v>4275</v>
      </c>
      <c r="M1017" s="1" t="s">
        <v>4278</v>
      </c>
      <c r="N1017" s="6" t="str">
        <f t="shared" si="31"/>
        <v>Jan</v>
      </c>
      <c r="O1017" s="1">
        <v>698.8</v>
      </c>
      <c r="T1017" s="4"/>
      <c r="U1017" s="1" t="str">
        <f t="shared" si="32"/>
        <v>Normal</v>
      </c>
    </row>
    <row r="1018" spans="1:21" x14ac:dyDescent="0.25">
      <c r="A1018" s="1" t="s">
        <v>1030</v>
      </c>
      <c r="B1018" s="4">
        <v>45289</v>
      </c>
      <c r="C1018" s="1" t="s">
        <v>2222</v>
      </c>
      <c r="D1018" s="1" t="s">
        <v>2405</v>
      </c>
      <c r="E1018" s="1">
        <v>5</v>
      </c>
      <c r="F1018" s="1">
        <v>268.77999999999997</v>
      </c>
      <c r="G1018" s="1" t="s">
        <v>3002</v>
      </c>
      <c r="H1018" s="1" t="s">
        <v>3065</v>
      </c>
      <c r="I1018" s="1" t="s">
        <v>3073</v>
      </c>
      <c r="J1018" s="1" t="s">
        <v>4091</v>
      </c>
      <c r="K1018" s="1">
        <v>7</v>
      </c>
      <c r="L1018" s="1" t="s">
        <v>4277</v>
      </c>
      <c r="M1018" s="1" t="s">
        <v>4280</v>
      </c>
      <c r="N1018" s="6" t="str">
        <f t="shared" si="31"/>
        <v>Dec</v>
      </c>
      <c r="O1018" s="1">
        <v>1343.9</v>
      </c>
      <c r="T1018" s="4"/>
      <c r="U1018" s="1" t="str">
        <f t="shared" si="32"/>
        <v>Normal</v>
      </c>
    </row>
    <row r="1019" spans="1:21" x14ac:dyDescent="0.25">
      <c r="A1019" s="1" t="s">
        <v>1031</v>
      </c>
      <c r="B1019" s="4">
        <v>45529</v>
      </c>
      <c r="C1019" s="1" t="s">
        <v>2223</v>
      </c>
      <c r="D1019" s="1" t="s">
        <v>2406</v>
      </c>
      <c r="E1019" s="1">
        <v>2</v>
      </c>
      <c r="F1019" s="1">
        <v>680.85</v>
      </c>
      <c r="G1019" s="1" t="s">
        <v>3003</v>
      </c>
      <c r="H1019" s="1" t="s">
        <v>3068</v>
      </c>
      <c r="I1019" s="1" t="s">
        <v>3073</v>
      </c>
      <c r="J1019" s="1" t="s">
        <v>4092</v>
      </c>
      <c r="K1019" s="1">
        <v>6</v>
      </c>
      <c r="L1019" s="1" t="s">
        <v>4276</v>
      </c>
      <c r="M1019" s="1" t="s">
        <v>4279</v>
      </c>
      <c r="N1019" s="6" t="str">
        <f t="shared" si="31"/>
        <v>Aug</v>
      </c>
      <c r="O1019" s="1">
        <v>1361.7</v>
      </c>
      <c r="T1019" s="4"/>
      <c r="U1019" s="1" t="str">
        <f t="shared" si="32"/>
        <v>Normal</v>
      </c>
    </row>
    <row r="1020" spans="1:21" x14ac:dyDescent="0.25">
      <c r="A1020" s="1" t="s">
        <v>1032</v>
      </c>
      <c r="B1020" s="4">
        <v>45115</v>
      </c>
      <c r="C1020" s="1" t="s">
        <v>2224</v>
      </c>
      <c r="D1020" s="1" t="s">
        <v>2408</v>
      </c>
      <c r="E1020" s="1">
        <v>3</v>
      </c>
      <c r="F1020" s="1">
        <v>182.48</v>
      </c>
      <c r="G1020" s="1" t="s">
        <v>3004</v>
      </c>
      <c r="H1020" s="1" t="s">
        <v>3069</v>
      </c>
      <c r="I1020" s="1" t="s">
        <v>3073</v>
      </c>
      <c r="J1020" s="1" t="s">
        <v>4093</v>
      </c>
      <c r="K1020" s="1">
        <v>3</v>
      </c>
      <c r="L1020" s="1" t="s">
        <v>4283</v>
      </c>
      <c r="M1020" s="1" t="s">
        <v>4278</v>
      </c>
      <c r="N1020" s="6" t="str">
        <f t="shared" si="31"/>
        <v>Jul</v>
      </c>
      <c r="O1020" s="1">
        <v>547.43999999999994</v>
      </c>
      <c r="T1020" s="4"/>
      <c r="U1020" s="1" t="str">
        <f t="shared" si="32"/>
        <v>Normal</v>
      </c>
    </row>
    <row r="1021" spans="1:21" x14ac:dyDescent="0.25">
      <c r="A1021" s="1" t="s">
        <v>1033</v>
      </c>
      <c r="B1021" s="4">
        <v>45388</v>
      </c>
      <c r="C1021" s="1" t="s">
        <v>2225</v>
      </c>
      <c r="D1021" s="1" t="s">
        <v>2409</v>
      </c>
      <c r="E1021" s="1">
        <v>1</v>
      </c>
      <c r="F1021" s="1">
        <v>277.08999999999997</v>
      </c>
      <c r="G1021" s="1" t="s">
        <v>2694</v>
      </c>
      <c r="H1021" s="1" t="s">
        <v>3069</v>
      </c>
      <c r="I1021" s="1" t="s">
        <v>3072</v>
      </c>
      <c r="J1021" s="1" t="s">
        <v>4094</v>
      </c>
      <c r="K1021" s="1">
        <v>2</v>
      </c>
      <c r="L1021" s="1" t="s">
        <v>4275</v>
      </c>
      <c r="M1021" s="1" t="s">
        <v>4279</v>
      </c>
      <c r="N1021" s="6" t="str">
        <f t="shared" si="31"/>
        <v>Apr</v>
      </c>
      <c r="O1021" s="1">
        <v>277.08999999999997</v>
      </c>
      <c r="T1021" s="4"/>
      <c r="U1021" s="1" t="str">
        <f t="shared" si="32"/>
        <v>Normal</v>
      </c>
    </row>
    <row r="1022" spans="1:21" x14ac:dyDescent="0.25">
      <c r="A1022" s="1" t="s">
        <v>1034</v>
      </c>
      <c r="B1022" s="4">
        <v>45404</v>
      </c>
      <c r="C1022" s="1" t="s">
        <v>2226</v>
      </c>
      <c r="D1022" s="1" t="s">
        <v>2405</v>
      </c>
      <c r="E1022" s="1">
        <v>2</v>
      </c>
      <c r="F1022" s="1">
        <v>26.5</v>
      </c>
      <c r="G1022" s="1" t="s">
        <v>2714</v>
      </c>
      <c r="H1022" s="1" t="s">
        <v>3066</v>
      </c>
      <c r="I1022" s="1" t="s">
        <v>3073</v>
      </c>
      <c r="J1022" s="1" t="s">
        <v>4095</v>
      </c>
      <c r="K1022" s="1">
        <v>3</v>
      </c>
      <c r="L1022" s="1" t="s">
        <v>4275</v>
      </c>
      <c r="M1022" s="1" t="s">
        <v>4278</v>
      </c>
      <c r="N1022" s="6" t="str">
        <f t="shared" si="31"/>
        <v>Apr</v>
      </c>
      <c r="O1022" s="1">
        <v>53</v>
      </c>
      <c r="T1022" s="4"/>
      <c r="U1022" s="1" t="str">
        <f t="shared" si="32"/>
        <v>Normal</v>
      </c>
    </row>
    <row r="1023" spans="1:21" x14ac:dyDescent="0.25">
      <c r="A1023" s="1" t="s">
        <v>1035</v>
      </c>
      <c r="B1023" s="4">
        <v>45222</v>
      </c>
      <c r="C1023" s="1" t="s">
        <v>2227</v>
      </c>
      <c r="D1023" s="1" t="s">
        <v>2404</v>
      </c>
      <c r="E1023" s="1">
        <v>3</v>
      </c>
      <c r="F1023" s="1">
        <v>315.27</v>
      </c>
      <c r="G1023" s="1" t="s">
        <v>2961</v>
      </c>
      <c r="H1023" s="1" t="s">
        <v>3067</v>
      </c>
      <c r="I1023" s="1" t="s">
        <v>3071</v>
      </c>
      <c r="J1023" s="1" t="s">
        <v>4096</v>
      </c>
      <c r="K1023" s="1">
        <v>4</v>
      </c>
      <c r="L1023" s="1" t="s">
        <v>4275</v>
      </c>
      <c r="M1023" s="1" t="s">
        <v>4280</v>
      </c>
      <c r="N1023" s="6" t="str">
        <f t="shared" si="31"/>
        <v>Oct</v>
      </c>
      <c r="O1023" s="1">
        <v>945.81</v>
      </c>
      <c r="T1023" s="4"/>
      <c r="U1023" s="1" t="str">
        <f t="shared" si="32"/>
        <v>Normal</v>
      </c>
    </row>
    <row r="1024" spans="1:21" x14ac:dyDescent="0.25">
      <c r="A1024" s="1" t="s">
        <v>1036</v>
      </c>
      <c r="B1024" s="4">
        <v>45712</v>
      </c>
      <c r="C1024" s="1" t="s">
        <v>2228</v>
      </c>
      <c r="D1024" s="1" t="s">
        <v>2405</v>
      </c>
      <c r="E1024" s="1">
        <v>3</v>
      </c>
      <c r="F1024" s="1">
        <v>450.98</v>
      </c>
      <c r="G1024" s="1" t="s">
        <v>2877</v>
      </c>
      <c r="H1024" s="1" t="s">
        <v>3067</v>
      </c>
      <c r="I1024" s="1" t="s">
        <v>3070</v>
      </c>
      <c r="J1024" s="1" t="s">
        <v>4097</v>
      </c>
      <c r="K1024" s="1">
        <v>8</v>
      </c>
      <c r="L1024" s="1" t="s">
        <v>4275</v>
      </c>
      <c r="M1024" s="1" t="s">
        <v>4279</v>
      </c>
      <c r="N1024" s="6" t="str">
        <f t="shared" si="31"/>
        <v>Feb</v>
      </c>
      <c r="O1024" s="1">
        <v>1352.94</v>
      </c>
      <c r="T1024" s="4"/>
      <c r="U1024" s="1" t="str">
        <f t="shared" si="32"/>
        <v>Normal</v>
      </c>
    </row>
    <row r="1025" spans="1:21" x14ac:dyDescent="0.25">
      <c r="A1025" s="1" t="s">
        <v>1037</v>
      </c>
      <c r="B1025" s="4">
        <v>45558</v>
      </c>
      <c r="C1025" s="1" t="s">
        <v>2229</v>
      </c>
      <c r="D1025" s="1" t="s">
        <v>2408</v>
      </c>
      <c r="E1025" s="1">
        <v>5</v>
      </c>
      <c r="F1025" s="1">
        <v>233.67</v>
      </c>
      <c r="G1025" s="1" t="s">
        <v>2493</v>
      </c>
      <c r="H1025" s="1" t="s">
        <v>3069</v>
      </c>
      <c r="I1025" s="1" t="s">
        <v>3070</v>
      </c>
      <c r="J1025" s="1" t="s">
        <v>4098</v>
      </c>
      <c r="K1025" s="1">
        <v>10</v>
      </c>
      <c r="L1025" s="1" t="s">
        <v>4283</v>
      </c>
      <c r="M1025" s="1" t="s">
        <v>4279</v>
      </c>
      <c r="N1025" s="6" t="str">
        <f t="shared" si="31"/>
        <v>Sep</v>
      </c>
      <c r="O1025" s="1">
        <v>1168.3499999999999</v>
      </c>
      <c r="T1025" s="4"/>
      <c r="U1025" s="1" t="str">
        <f t="shared" si="32"/>
        <v>Normal</v>
      </c>
    </row>
    <row r="1026" spans="1:21" x14ac:dyDescent="0.25">
      <c r="A1026" s="1" t="s">
        <v>1038</v>
      </c>
      <c r="B1026" s="4">
        <v>45320</v>
      </c>
      <c r="C1026" s="1" t="s">
        <v>2230</v>
      </c>
      <c r="D1026" s="1" t="s">
        <v>2406</v>
      </c>
      <c r="E1026" s="1">
        <v>3</v>
      </c>
      <c r="F1026" s="1">
        <v>367.75</v>
      </c>
      <c r="G1026" s="1" t="s">
        <v>2769</v>
      </c>
      <c r="H1026" s="1" t="s">
        <v>3069</v>
      </c>
      <c r="I1026" s="1" t="s">
        <v>3074</v>
      </c>
      <c r="J1026" s="1" t="s">
        <v>4099</v>
      </c>
      <c r="K1026" s="1">
        <v>7</v>
      </c>
      <c r="L1026" s="1" t="s">
        <v>4276</v>
      </c>
      <c r="M1026" s="1" t="s">
        <v>4281</v>
      </c>
      <c r="N1026" s="6" t="str">
        <f t="shared" ref="N1026:N1089" si="33">TEXT(B1026,"MMM")</f>
        <v>Jan</v>
      </c>
      <c r="O1026" s="1">
        <v>1103.25</v>
      </c>
      <c r="T1026" s="4"/>
      <c r="U1026" s="1" t="str">
        <f t="shared" si="32"/>
        <v>Normal</v>
      </c>
    </row>
    <row r="1027" spans="1:21" x14ac:dyDescent="0.25">
      <c r="A1027" s="1" t="s">
        <v>1039</v>
      </c>
      <c r="B1027" s="4">
        <v>45794</v>
      </c>
      <c r="C1027" s="1" t="s">
        <v>2231</v>
      </c>
      <c r="D1027" s="1" t="s">
        <v>2406</v>
      </c>
      <c r="E1027" s="1">
        <v>1</v>
      </c>
      <c r="F1027" s="1">
        <v>23.53</v>
      </c>
      <c r="G1027" s="1" t="s">
        <v>2548</v>
      </c>
      <c r="H1027" s="1" t="s">
        <v>3068</v>
      </c>
      <c r="I1027" s="1" t="s">
        <v>3073</v>
      </c>
      <c r="J1027" s="1" t="s">
        <v>4100</v>
      </c>
      <c r="K1027" s="1">
        <v>2</v>
      </c>
      <c r="L1027" s="1" t="s">
        <v>4276</v>
      </c>
      <c r="M1027" s="1" t="s">
        <v>4278</v>
      </c>
      <c r="N1027" s="6" t="str">
        <f t="shared" si="33"/>
        <v>May</v>
      </c>
      <c r="O1027" s="1">
        <v>23.53</v>
      </c>
      <c r="T1027" s="4"/>
      <c r="U1027" s="1" t="str">
        <f t="shared" ref="U1027:U1090" si="34">IF(O1027&gt;$S$2,"Outlier","Normal")</f>
        <v>Normal</v>
      </c>
    </row>
    <row r="1028" spans="1:21" x14ac:dyDescent="0.25">
      <c r="A1028" s="1" t="s">
        <v>1040</v>
      </c>
      <c r="B1028" s="4">
        <v>45047</v>
      </c>
      <c r="C1028" s="1" t="s">
        <v>2232</v>
      </c>
      <c r="D1028" s="1" t="s">
        <v>2403</v>
      </c>
      <c r="E1028" s="1">
        <v>1</v>
      </c>
      <c r="F1028" s="1">
        <v>677.48</v>
      </c>
      <c r="G1028" s="1" t="s">
        <v>2521</v>
      </c>
      <c r="H1028" s="1" t="s">
        <v>3066</v>
      </c>
      <c r="I1028" s="1" t="s">
        <v>3073</v>
      </c>
      <c r="J1028" s="1" t="s">
        <v>4101</v>
      </c>
      <c r="K1028" s="1">
        <v>1</v>
      </c>
      <c r="L1028" s="1" t="s">
        <v>4277</v>
      </c>
      <c r="M1028" s="1" t="s">
        <v>4281</v>
      </c>
      <c r="N1028" s="6" t="str">
        <f t="shared" si="33"/>
        <v>May</v>
      </c>
      <c r="O1028" s="1">
        <v>677.48</v>
      </c>
      <c r="T1028" s="4"/>
      <c r="U1028" s="1" t="str">
        <f t="shared" si="34"/>
        <v>Normal</v>
      </c>
    </row>
    <row r="1029" spans="1:21" x14ac:dyDescent="0.25">
      <c r="A1029" s="1" t="s">
        <v>1041</v>
      </c>
      <c r="B1029" s="4">
        <v>45433</v>
      </c>
      <c r="C1029" s="1" t="s">
        <v>2233</v>
      </c>
      <c r="D1029" s="1" t="s">
        <v>2408</v>
      </c>
      <c r="E1029" s="1">
        <v>4</v>
      </c>
      <c r="F1029" s="1">
        <v>554.83000000000004</v>
      </c>
      <c r="G1029" s="1" t="s">
        <v>2908</v>
      </c>
      <c r="H1029" s="1" t="s">
        <v>3069</v>
      </c>
      <c r="I1029" s="1" t="s">
        <v>3072</v>
      </c>
      <c r="J1029" s="1" t="s">
        <v>4102</v>
      </c>
      <c r="K1029" s="1">
        <v>6</v>
      </c>
      <c r="L1029" s="1" t="s">
        <v>4283</v>
      </c>
      <c r="M1029" s="1" t="s">
        <v>4282</v>
      </c>
      <c r="N1029" s="6" t="str">
        <f t="shared" si="33"/>
        <v>May</v>
      </c>
      <c r="O1029" s="1">
        <v>2219.3200000000002</v>
      </c>
      <c r="T1029" s="4"/>
      <c r="U1029" s="1" t="str">
        <f t="shared" si="34"/>
        <v>Normal</v>
      </c>
    </row>
    <row r="1030" spans="1:21" x14ac:dyDescent="0.25">
      <c r="A1030" s="1" t="s">
        <v>1042</v>
      </c>
      <c r="B1030" s="4">
        <v>44974</v>
      </c>
      <c r="C1030" s="1" t="s">
        <v>2234</v>
      </c>
      <c r="D1030" s="1" t="s">
        <v>2409</v>
      </c>
      <c r="E1030" s="1">
        <v>4</v>
      </c>
      <c r="F1030" s="1">
        <v>440.31</v>
      </c>
      <c r="G1030" s="1" t="s">
        <v>2610</v>
      </c>
      <c r="H1030" s="1" t="s">
        <v>3069</v>
      </c>
      <c r="I1030" s="1" t="s">
        <v>3071</v>
      </c>
      <c r="J1030" s="1" t="s">
        <v>4103</v>
      </c>
      <c r="K1030" s="1">
        <v>6</v>
      </c>
      <c r="L1030" s="1" t="s">
        <v>4283</v>
      </c>
      <c r="M1030" s="1" t="s">
        <v>4278</v>
      </c>
      <c r="N1030" s="6" t="str">
        <f t="shared" si="33"/>
        <v>Feb</v>
      </c>
      <c r="O1030" s="1">
        <v>1761.24</v>
      </c>
      <c r="T1030" s="4"/>
      <c r="U1030" s="1" t="str">
        <f t="shared" si="34"/>
        <v>Normal</v>
      </c>
    </row>
    <row r="1031" spans="1:21" x14ac:dyDescent="0.25">
      <c r="A1031" s="1" t="s">
        <v>1043</v>
      </c>
      <c r="B1031" s="4">
        <v>45717</v>
      </c>
      <c r="C1031" s="1" t="s">
        <v>2235</v>
      </c>
      <c r="D1031" s="1" t="s">
        <v>2409</v>
      </c>
      <c r="E1031" s="1">
        <v>1</v>
      </c>
      <c r="F1031" s="1">
        <v>87.06</v>
      </c>
      <c r="G1031" s="1" t="s">
        <v>2988</v>
      </c>
      <c r="H1031" s="1" t="s">
        <v>3067</v>
      </c>
      <c r="I1031" s="1" t="s">
        <v>3070</v>
      </c>
      <c r="J1031" s="1" t="s">
        <v>4104</v>
      </c>
      <c r="K1031" s="1">
        <v>4</v>
      </c>
      <c r="L1031" s="1" t="s">
        <v>4276</v>
      </c>
      <c r="M1031" s="1" t="s">
        <v>4280</v>
      </c>
      <c r="N1031" s="6" t="str">
        <f t="shared" si="33"/>
        <v>Mar</v>
      </c>
      <c r="O1031" s="1">
        <v>87.06</v>
      </c>
      <c r="T1031" s="4"/>
      <c r="U1031" s="1" t="str">
        <f t="shared" si="34"/>
        <v>Normal</v>
      </c>
    </row>
    <row r="1032" spans="1:21" x14ac:dyDescent="0.25">
      <c r="A1032" s="1" t="s">
        <v>1044</v>
      </c>
      <c r="B1032" s="4">
        <v>45201</v>
      </c>
      <c r="C1032" s="1" t="s">
        <v>2236</v>
      </c>
      <c r="D1032" s="1" t="s">
        <v>2404</v>
      </c>
      <c r="E1032" s="1">
        <v>4</v>
      </c>
      <c r="F1032" s="1">
        <v>245.28</v>
      </c>
      <c r="G1032" s="1" t="s">
        <v>3005</v>
      </c>
      <c r="H1032" s="1" t="s">
        <v>3067</v>
      </c>
      <c r="I1032" s="1" t="s">
        <v>3073</v>
      </c>
      <c r="J1032" s="1" t="s">
        <v>4105</v>
      </c>
      <c r="K1032" s="1">
        <v>6</v>
      </c>
      <c r="L1032" s="1" t="s">
        <v>4277</v>
      </c>
      <c r="M1032" s="1" t="s">
        <v>4280</v>
      </c>
      <c r="N1032" s="6" t="str">
        <f t="shared" si="33"/>
        <v>Oct</v>
      </c>
      <c r="O1032" s="1">
        <v>981.12</v>
      </c>
      <c r="T1032" s="4"/>
      <c r="U1032" s="1" t="str">
        <f t="shared" si="34"/>
        <v>Normal</v>
      </c>
    </row>
    <row r="1033" spans="1:21" x14ac:dyDescent="0.25">
      <c r="A1033" s="1" t="s">
        <v>1045</v>
      </c>
      <c r="B1033" s="4">
        <v>44985</v>
      </c>
      <c r="C1033" s="1" t="s">
        <v>2237</v>
      </c>
      <c r="D1033" s="1" t="s">
        <v>2404</v>
      </c>
      <c r="E1033" s="1">
        <v>5</v>
      </c>
      <c r="F1033" s="1">
        <v>664.51</v>
      </c>
      <c r="G1033" s="1" t="s">
        <v>3006</v>
      </c>
      <c r="H1033" s="1" t="s">
        <v>3065</v>
      </c>
      <c r="I1033" s="1" t="s">
        <v>3074</v>
      </c>
      <c r="J1033" s="1" t="s">
        <v>4106</v>
      </c>
      <c r="K1033" s="1">
        <v>8</v>
      </c>
      <c r="L1033" s="1" t="s">
        <v>4275</v>
      </c>
      <c r="M1033" s="1" t="s">
        <v>4280</v>
      </c>
      <c r="N1033" s="6" t="str">
        <f t="shared" si="33"/>
        <v>Feb</v>
      </c>
      <c r="O1033" s="1">
        <v>3322.55</v>
      </c>
      <c r="T1033" s="4"/>
      <c r="U1033" s="1" t="str">
        <f t="shared" si="34"/>
        <v>Normal</v>
      </c>
    </row>
    <row r="1034" spans="1:21" x14ac:dyDescent="0.25">
      <c r="A1034" s="1" t="s">
        <v>1046</v>
      </c>
      <c r="B1034" s="4">
        <v>45036</v>
      </c>
      <c r="C1034" s="1" t="s">
        <v>2238</v>
      </c>
      <c r="D1034" s="1" t="s">
        <v>2406</v>
      </c>
      <c r="E1034" s="1">
        <v>1</v>
      </c>
      <c r="F1034" s="1">
        <v>618.67999999999995</v>
      </c>
      <c r="G1034" s="1" t="s">
        <v>2653</v>
      </c>
      <c r="H1034" s="1" t="s">
        <v>3066</v>
      </c>
      <c r="I1034" s="1" t="s">
        <v>3073</v>
      </c>
      <c r="J1034" s="1" t="s">
        <v>4107</v>
      </c>
      <c r="K1034" s="1">
        <v>6</v>
      </c>
      <c r="L1034" s="1" t="s">
        <v>4277</v>
      </c>
      <c r="M1034" s="1" t="s">
        <v>4279</v>
      </c>
      <c r="N1034" s="6" t="str">
        <f t="shared" si="33"/>
        <v>Apr</v>
      </c>
      <c r="O1034" s="1">
        <v>618.67999999999995</v>
      </c>
      <c r="T1034" s="4"/>
      <c r="U1034" s="1" t="str">
        <f t="shared" si="34"/>
        <v>Normal</v>
      </c>
    </row>
    <row r="1035" spans="1:21" x14ac:dyDescent="0.25">
      <c r="A1035" s="1" t="s">
        <v>1047</v>
      </c>
      <c r="B1035" s="4">
        <v>45650</v>
      </c>
      <c r="C1035" s="1" t="s">
        <v>2239</v>
      </c>
      <c r="D1035" s="1" t="s">
        <v>2403</v>
      </c>
      <c r="E1035" s="1">
        <v>1</v>
      </c>
      <c r="F1035" s="1">
        <v>370.85</v>
      </c>
      <c r="G1035" s="1" t="s">
        <v>3007</v>
      </c>
      <c r="H1035" s="1" t="s">
        <v>3068</v>
      </c>
      <c r="I1035" s="1" t="s">
        <v>3073</v>
      </c>
      <c r="J1035" s="1" t="s">
        <v>4108</v>
      </c>
      <c r="K1035" s="1">
        <v>2</v>
      </c>
      <c r="L1035" s="1" t="s">
        <v>4276</v>
      </c>
      <c r="M1035" s="1" t="s">
        <v>4279</v>
      </c>
      <c r="N1035" s="6" t="str">
        <f t="shared" si="33"/>
        <v>Dec</v>
      </c>
      <c r="O1035" s="1">
        <v>370.85</v>
      </c>
      <c r="T1035" s="4"/>
      <c r="U1035" s="1" t="str">
        <f t="shared" si="34"/>
        <v>Normal</v>
      </c>
    </row>
    <row r="1036" spans="1:21" x14ac:dyDescent="0.25">
      <c r="A1036" s="1" t="s">
        <v>1048</v>
      </c>
      <c r="B1036" s="4">
        <v>45459</v>
      </c>
      <c r="C1036" s="1" t="s">
        <v>2240</v>
      </c>
      <c r="D1036" s="1" t="s">
        <v>2407</v>
      </c>
      <c r="E1036" s="1">
        <v>4</v>
      </c>
      <c r="F1036" s="1">
        <v>517.98</v>
      </c>
      <c r="G1036" s="1" t="s">
        <v>3008</v>
      </c>
      <c r="H1036" s="1" t="s">
        <v>3069</v>
      </c>
      <c r="I1036" s="1" t="s">
        <v>3071</v>
      </c>
      <c r="J1036" s="1" t="s">
        <v>4109</v>
      </c>
      <c r="K1036" s="1">
        <v>8</v>
      </c>
      <c r="L1036" s="1" t="s">
        <v>4276</v>
      </c>
      <c r="M1036" s="1" t="s">
        <v>4281</v>
      </c>
      <c r="N1036" s="6" t="str">
        <f t="shared" si="33"/>
        <v>Jun</v>
      </c>
      <c r="O1036" s="1">
        <v>2071.92</v>
      </c>
      <c r="T1036" s="4"/>
      <c r="U1036" s="1" t="str">
        <f t="shared" si="34"/>
        <v>Normal</v>
      </c>
    </row>
    <row r="1037" spans="1:21" x14ac:dyDescent="0.25">
      <c r="A1037" s="1" t="s">
        <v>1049</v>
      </c>
      <c r="B1037" s="4">
        <v>45242</v>
      </c>
      <c r="C1037" s="1" t="s">
        <v>2241</v>
      </c>
      <c r="D1037" s="1" t="s">
        <v>2408</v>
      </c>
      <c r="E1037" s="1">
        <v>4</v>
      </c>
      <c r="F1037" s="1">
        <v>506.11</v>
      </c>
      <c r="G1037" s="1" t="s">
        <v>3009</v>
      </c>
      <c r="H1037" s="1" t="s">
        <v>3069</v>
      </c>
      <c r="I1037" s="1" t="s">
        <v>3071</v>
      </c>
      <c r="J1037" s="1" t="s">
        <v>4110</v>
      </c>
      <c r="K1037" s="1">
        <v>5</v>
      </c>
      <c r="L1037" s="1" t="s">
        <v>4283</v>
      </c>
      <c r="M1037" s="1" t="s">
        <v>4279</v>
      </c>
      <c r="N1037" s="6" t="str">
        <f t="shared" si="33"/>
        <v>Nov</v>
      </c>
      <c r="O1037" s="1">
        <v>2024.44</v>
      </c>
      <c r="T1037" s="4"/>
      <c r="U1037" s="1" t="str">
        <f t="shared" si="34"/>
        <v>Normal</v>
      </c>
    </row>
    <row r="1038" spans="1:21" x14ac:dyDescent="0.25">
      <c r="A1038" s="1" t="s">
        <v>1050</v>
      </c>
      <c r="B1038" s="4">
        <v>45443</v>
      </c>
      <c r="C1038" s="1" t="s">
        <v>2242</v>
      </c>
      <c r="D1038" s="1" t="s">
        <v>2404</v>
      </c>
      <c r="E1038" s="1">
        <v>3</v>
      </c>
      <c r="F1038" s="1">
        <v>413.83</v>
      </c>
      <c r="G1038" s="1" t="s">
        <v>2474</v>
      </c>
      <c r="H1038" s="1" t="s">
        <v>3068</v>
      </c>
      <c r="I1038" s="1" t="s">
        <v>3070</v>
      </c>
      <c r="J1038" s="1" t="s">
        <v>4111</v>
      </c>
      <c r="K1038" s="1">
        <v>8</v>
      </c>
      <c r="L1038" s="1" t="s">
        <v>4275</v>
      </c>
      <c r="M1038" s="1" t="s">
        <v>4281</v>
      </c>
      <c r="N1038" s="6" t="str">
        <f t="shared" si="33"/>
        <v>May</v>
      </c>
      <c r="O1038" s="1">
        <v>1241.49</v>
      </c>
      <c r="T1038" s="4"/>
      <c r="U1038" s="1" t="str">
        <f t="shared" si="34"/>
        <v>Normal</v>
      </c>
    </row>
    <row r="1039" spans="1:21" x14ac:dyDescent="0.25">
      <c r="A1039" s="1" t="s">
        <v>1051</v>
      </c>
      <c r="B1039" s="4">
        <v>45273</v>
      </c>
      <c r="C1039" s="1" t="s">
        <v>2243</v>
      </c>
      <c r="D1039" s="1" t="s">
        <v>2407</v>
      </c>
      <c r="E1039" s="1">
        <v>1</v>
      </c>
      <c r="F1039" s="1">
        <v>249.81</v>
      </c>
      <c r="G1039" s="1" t="s">
        <v>2875</v>
      </c>
      <c r="H1039" s="1" t="s">
        <v>3069</v>
      </c>
      <c r="I1039" s="1" t="s">
        <v>3074</v>
      </c>
      <c r="J1039" s="1" t="s">
        <v>4112</v>
      </c>
      <c r="K1039" s="1">
        <v>1</v>
      </c>
      <c r="L1039" s="1" t="s">
        <v>4275</v>
      </c>
      <c r="M1039" s="1" t="s">
        <v>4282</v>
      </c>
      <c r="N1039" s="6" t="str">
        <f t="shared" si="33"/>
        <v>Dec</v>
      </c>
      <c r="O1039" s="1">
        <v>249.81</v>
      </c>
      <c r="T1039" s="4"/>
      <c r="U1039" s="1" t="str">
        <f t="shared" si="34"/>
        <v>Normal</v>
      </c>
    </row>
    <row r="1040" spans="1:21" x14ac:dyDescent="0.25">
      <c r="A1040" s="1" t="s">
        <v>1052</v>
      </c>
      <c r="B1040" s="4">
        <v>45731</v>
      </c>
      <c r="C1040" s="1" t="s">
        <v>2244</v>
      </c>
      <c r="D1040" s="1" t="s">
        <v>2405</v>
      </c>
      <c r="E1040" s="1">
        <v>3</v>
      </c>
      <c r="F1040" s="1">
        <v>362.53</v>
      </c>
      <c r="G1040" s="1" t="s">
        <v>3010</v>
      </c>
      <c r="H1040" s="1" t="s">
        <v>3065</v>
      </c>
      <c r="I1040" s="1" t="s">
        <v>3072</v>
      </c>
      <c r="J1040" s="1" t="s">
        <v>4113</v>
      </c>
      <c r="K1040" s="1">
        <v>5</v>
      </c>
      <c r="L1040" s="1" t="s">
        <v>4283</v>
      </c>
      <c r="M1040" s="1" t="s">
        <v>4281</v>
      </c>
      <c r="N1040" s="6" t="str">
        <f t="shared" si="33"/>
        <v>Mar</v>
      </c>
      <c r="O1040" s="1">
        <v>1087.5899999999999</v>
      </c>
      <c r="T1040" s="4"/>
      <c r="U1040" s="1" t="str">
        <f t="shared" si="34"/>
        <v>Normal</v>
      </c>
    </row>
    <row r="1041" spans="1:21" x14ac:dyDescent="0.25">
      <c r="A1041" s="1" t="s">
        <v>1053</v>
      </c>
      <c r="B1041" s="4">
        <v>45836</v>
      </c>
      <c r="C1041" s="1" t="s">
        <v>2245</v>
      </c>
      <c r="D1041" s="1" t="s">
        <v>2409</v>
      </c>
      <c r="E1041" s="1">
        <v>2</v>
      </c>
      <c r="F1041" s="1">
        <v>299.23</v>
      </c>
      <c r="G1041" s="1" t="s">
        <v>3011</v>
      </c>
      <c r="H1041" s="1" t="s">
        <v>3067</v>
      </c>
      <c r="I1041" s="1" t="s">
        <v>3071</v>
      </c>
      <c r="J1041" s="1" t="s">
        <v>4114</v>
      </c>
      <c r="K1041" s="1">
        <v>2</v>
      </c>
      <c r="L1041" s="1" t="s">
        <v>4277</v>
      </c>
      <c r="M1041" s="1" t="s">
        <v>4278</v>
      </c>
      <c r="N1041" s="6" t="str">
        <f t="shared" si="33"/>
        <v>Jun</v>
      </c>
      <c r="O1041" s="1">
        <v>598.46</v>
      </c>
      <c r="T1041" s="4"/>
      <c r="U1041" s="1" t="str">
        <f t="shared" si="34"/>
        <v>Normal</v>
      </c>
    </row>
    <row r="1042" spans="1:21" x14ac:dyDescent="0.25">
      <c r="A1042" s="1" t="s">
        <v>1054</v>
      </c>
      <c r="B1042" s="4">
        <v>45245</v>
      </c>
      <c r="C1042" s="1" t="s">
        <v>2246</v>
      </c>
      <c r="D1042" s="1" t="s">
        <v>2405</v>
      </c>
      <c r="E1042" s="1">
        <v>1</v>
      </c>
      <c r="F1042" s="1">
        <v>536.07000000000005</v>
      </c>
      <c r="G1042" s="1" t="s">
        <v>2817</v>
      </c>
      <c r="H1042" s="1" t="s">
        <v>3065</v>
      </c>
      <c r="I1042" s="1" t="s">
        <v>3073</v>
      </c>
      <c r="J1042" s="1" t="s">
        <v>4115</v>
      </c>
      <c r="K1042" s="1">
        <v>5</v>
      </c>
      <c r="L1042" s="1" t="s">
        <v>4276</v>
      </c>
      <c r="M1042" s="1" t="s">
        <v>4282</v>
      </c>
      <c r="N1042" s="6" t="str">
        <f t="shared" si="33"/>
        <v>Nov</v>
      </c>
      <c r="O1042" s="1">
        <v>536.07000000000005</v>
      </c>
      <c r="T1042" s="4"/>
      <c r="U1042" s="1" t="str">
        <f t="shared" si="34"/>
        <v>Normal</v>
      </c>
    </row>
    <row r="1043" spans="1:21" x14ac:dyDescent="0.25">
      <c r="A1043" s="1" t="s">
        <v>1055</v>
      </c>
      <c r="B1043" s="4">
        <v>44968</v>
      </c>
      <c r="C1043" s="1" t="s">
        <v>2247</v>
      </c>
      <c r="D1043" s="1" t="s">
        <v>2403</v>
      </c>
      <c r="E1043" s="1">
        <v>4</v>
      </c>
      <c r="F1043" s="1">
        <v>558.9</v>
      </c>
      <c r="G1043" s="1" t="s">
        <v>2608</v>
      </c>
      <c r="H1043" s="1" t="s">
        <v>3068</v>
      </c>
      <c r="I1043" s="1" t="s">
        <v>3070</v>
      </c>
      <c r="J1043" s="1" t="s">
        <v>4116</v>
      </c>
      <c r="K1043" s="1">
        <v>9</v>
      </c>
      <c r="L1043" s="1" t="s">
        <v>4277</v>
      </c>
      <c r="M1043" s="1" t="s">
        <v>4282</v>
      </c>
      <c r="N1043" s="6" t="str">
        <f t="shared" si="33"/>
        <v>Feb</v>
      </c>
      <c r="O1043" s="1">
        <v>2235.6</v>
      </c>
      <c r="T1043" s="4"/>
      <c r="U1043" s="1" t="str">
        <f t="shared" si="34"/>
        <v>Normal</v>
      </c>
    </row>
    <row r="1044" spans="1:21" x14ac:dyDescent="0.25">
      <c r="A1044" s="1" t="s">
        <v>1056</v>
      </c>
      <c r="B1044" s="4">
        <v>45635</v>
      </c>
      <c r="C1044" s="1" t="s">
        <v>2248</v>
      </c>
      <c r="D1044" s="1" t="s">
        <v>2405</v>
      </c>
      <c r="E1044" s="1">
        <v>2</v>
      </c>
      <c r="F1044" s="1">
        <v>409.75</v>
      </c>
      <c r="G1044" s="1" t="s">
        <v>2681</v>
      </c>
      <c r="H1044" s="1" t="s">
        <v>3065</v>
      </c>
      <c r="I1044" s="1" t="s">
        <v>3070</v>
      </c>
      <c r="J1044" s="1" t="s">
        <v>4117</v>
      </c>
      <c r="K1044" s="1">
        <v>2</v>
      </c>
      <c r="L1044" s="1" t="s">
        <v>4277</v>
      </c>
      <c r="M1044" s="1" t="s">
        <v>4281</v>
      </c>
      <c r="N1044" s="6" t="str">
        <f t="shared" si="33"/>
        <v>Dec</v>
      </c>
      <c r="O1044" s="1">
        <v>819.5</v>
      </c>
      <c r="T1044" s="4"/>
      <c r="U1044" s="1" t="str">
        <f t="shared" si="34"/>
        <v>Normal</v>
      </c>
    </row>
    <row r="1045" spans="1:21" x14ac:dyDescent="0.25">
      <c r="A1045" s="1" t="s">
        <v>1057</v>
      </c>
      <c r="B1045" s="4">
        <v>45668</v>
      </c>
      <c r="C1045" s="1" t="s">
        <v>2249</v>
      </c>
      <c r="D1045" s="1" t="s">
        <v>2405</v>
      </c>
      <c r="E1045" s="1">
        <v>2</v>
      </c>
      <c r="F1045" s="1">
        <v>179.96</v>
      </c>
      <c r="G1045" s="1" t="s">
        <v>2991</v>
      </c>
      <c r="H1045" s="1" t="s">
        <v>3068</v>
      </c>
      <c r="I1045" s="1" t="s">
        <v>3070</v>
      </c>
      <c r="J1045" s="1" t="s">
        <v>4118</v>
      </c>
      <c r="K1045" s="1">
        <v>5</v>
      </c>
      <c r="L1045" s="1" t="s">
        <v>4283</v>
      </c>
      <c r="M1045" s="1" t="s">
        <v>4278</v>
      </c>
      <c r="N1045" s="6" t="str">
        <f t="shared" si="33"/>
        <v>Jan</v>
      </c>
      <c r="O1045" s="1">
        <v>359.92</v>
      </c>
      <c r="T1045" s="4"/>
      <c r="U1045" s="1" t="str">
        <f t="shared" si="34"/>
        <v>Normal</v>
      </c>
    </row>
    <row r="1046" spans="1:21" x14ac:dyDescent="0.25">
      <c r="A1046" s="1" t="s">
        <v>1058</v>
      </c>
      <c r="B1046" s="4">
        <v>45830</v>
      </c>
      <c r="C1046" s="1" t="s">
        <v>2250</v>
      </c>
      <c r="D1046" s="1" t="s">
        <v>2407</v>
      </c>
      <c r="E1046" s="1">
        <v>1</v>
      </c>
      <c r="F1046" s="1">
        <v>38.49</v>
      </c>
      <c r="G1046" s="1" t="s">
        <v>3012</v>
      </c>
      <c r="H1046" s="1" t="s">
        <v>3067</v>
      </c>
      <c r="I1046" s="1" t="s">
        <v>3073</v>
      </c>
      <c r="J1046" s="1" t="s">
        <v>4119</v>
      </c>
      <c r="K1046" s="1">
        <v>4</v>
      </c>
      <c r="L1046" s="1" t="s">
        <v>4276</v>
      </c>
      <c r="M1046" s="1" t="s">
        <v>4279</v>
      </c>
      <c r="N1046" s="6" t="str">
        <f t="shared" si="33"/>
        <v>Jun</v>
      </c>
      <c r="O1046" s="1">
        <v>38.49</v>
      </c>
      <c r="T1046" s="4"/>
      <c r="U1046" s="1" t="str">
        <f t="shared" si="34"/>
        <v>Normal</v>
      </c>
    </row>
    <row r="1047" spans="1:21" x14ac:dyDescent="0.25">
      <c r="A1047" s="1" t="s">
        <v>1059</v>
      </c>
      <c r="B1047" s="4">
        <v>45555</v>
      </c>
      <c r="C1047" s="1" t="s">
        <v>2251</v>
      </c>
      <c r="D1047" s="1" t="s">
        <v>2408</v>
      </c>
      <c r="E1047" s="1">
        <v>5</v>
      </c>
      <c r="F1047" s="1">
        <v>316.39999999999998</v>
      </c>
      <c r="G1047" s="1" t="s">
        <v>3013</v>
      </c>
      <c r="H1047" s="1" t="s">
        <v>3068</v>
      </c>
      <c r="I1047" s="1" t="s">
        <v>3072</v>
      </c>
      <c r="J1047" s="1" t="s">
        <v>4120</v>
      </c>
      <c r="K1047" s="1">
        <v>7</v>
      </c>
      <c r="L1047" s="1" t="s">
        <v>4283</v>
      </c>
      <c r="M1047" s="1" t="s">
        <v>4280</v>
      </c>
      <c r="N1047" s="6" t="str">
        <f t="shared" si="33"/>
        <v>Sep</v>
      </c>
      <c r="O1047" s="1">
        <v>1582</v>
      </c>
      <c r="T1047" s="4"/>
      <c r="U1047" s="1" t="str">
        <f t="shared" si="34"/>
        <v>Normal</v>
      </c>
    </row>
    <row r="1048" spans="1:21" x14ac:dyDescent="0.25">
      <c r="A1048" s="1" t="s">
        <v>1060</v>
      </c>
      <c r="B1048" s="4">
        <v>45572</v>
      </c>
      <c r="C1048" s="1" t="s">
        <v>2252</v>
      </c>
      <c r="D1048" s="1" t="s">
        <v>2405</v>
      </c>
      <c r="E1048" s="1">
        <v>3</v>
      </c>
      <c r="F1048" s="1">
        <v>547.15</v>
      </c>
      <c r="G1048" s="1" t="s">
        <v>3014</v>
      </c>
      <c r="H1048" s="1" t="s">
        <v>3066</v>
      </c>
      <c r="I1048" s="1" t="s">
        <v>3070</v>
      </c>
      <c r="J1048" s="1" t="s">
        <v>4121</v>
      </c>
      <c r="K1048" s="1">
        <v>4</v>
      </c>
      <c r="L1048" s="1" t="s">
        <v>4277</v>
      </c>
      <c r="M1048" s="1" t="s">
        <v>4278</v>
      </c>
      <c r="N1048" s="6" t="str">
        <f t="shared" si="33"/>
        <v>Oct</v>
      </c>
      <c r="O1048" s="1">
        <v>1641.45</v>
      </c>
      <c r="T1048" s="4"/>
      <c r="U1048" s="1" t="str">
        <f t="shared" si="34"/>
        <v>Normal</v>
      </c>
    </row>
    <row r="1049" spans="1:21" x14ac:dyDescent="0.25">
      <c r="A1049" s="1" t="s">
        <v>1061</v>
      </c>
      <c r="B1049" s="4">
        <v>45100</v>
      </c>
      <c r="C1049" s="1" t="s">
        <v>2253</v>
      </c>
      <c r="D1049" s="1" t="s">
        <v>2406</v>
      </c>
      <c r="E1049" s="1">
        <v>4</v>
      </c>
      <c r="F1049" s="1">
        <v>540.34</v>
      </c>
      <c r="G1049" s="1" t="s">
        <v>3015</v>
      </c>
      <c r="H1049" s="1" t="s">
        <v>3068</v>
      </c>
      <c r="I1049" s="1" t="s">
        <v>3070</v>
      </c>
      <c r="J1049" s="1" t="s">
        <v>4122</v>
      </c>
      <c r="K1049" s="1">
        <v>6</v>
      </c>
      <c r="L1049" s="1" t="s">
        <v>4277</v>
      </c>
      <c r="M1049" s="1" t="s">
        <v>4279</v>
      </c>
      <c r="N1049" s="6" t="str">
        <f t="shared" si="33"/>
        <v>Jun</v>
      </c>
      <c r="O1049" s="1">
        <v>2161.36</v>
      </c>
      <c r="T1049" s="4"/>
      <c r="U1049" s="1" t="str">
        <f t="shared" si="34"/>
        <v>Normal</v>
      </c>
    </row>
    <row r="1050" spans="1:21" x14ac:dyDescent="0.25">
      <c r="A1050" s="1" t="s">
        <v>1062</v>
      </c>
      <c r="B1050" s="4">
        <v>45544</v>
      </c>
      <c r="C1050" s="1" t="s">
        <v>2254</v>
      </c>
      <c r="D1050" s="1" t="s">
        <v>2403</v>
      </c>
      <c r="E1050" s="1">
        <v>4</v>
      </c>
      <c r="F1050" s="1">
        <v>73.650000000000006</v>
      </c>
      <c r="G1050" s="1" t="s">
        <v>3016</v>
      </c>
      <c r="H1050" s="1" t="s">
        <v>3065</v>
      </c>
      <c r="I1050" s="1" t="s">
        <v>3070</v>
      </c>
      <c r="J1050" s="1" t="s">
        <v>4123</v>
      </c>
      <c r="K1050" s="1">
        <v>9</v>
      </c>
      <c r="L1050" s="1" t="s">
        <v>4283</v>
      </c>
      <c r="M1050" s="1" t="s">
        <v>4282</v>
      </c>
      <c r="N1050" s="6" t="str">
        <f t="shared" si="33"/>
        <v>Sep</v>
      </c>
      <c r="O1050" s="1">
        <v>294.60000000000002</v>
      </c>
      <c r="T1050" s="4"/>
      <c r="U1050" s="1" t="str">
        <f t="shared" si="34"/>
        <v>Normal</v>
      </c>
    </row>
    <row r="1051" spans="1:21" x14ac:dyDescent="0.25">
      <c r="A1051" s="1" t="s">
        <v>1063</v>
      </c>
      <c r="B1051" s="4">
        <v>45491</v>
      </c>
      <c r="C1051" s="1" t="s">
        <v>2255</v>
      </c>
      <c r="D1051" s="1" t="s">
        <v>2409</v>
      </c>
      <c r="E1051" s="1">
        <v>5</v>
      </c>
      <c r="F1051" s="1">
        <v>391.86</v>
      </c>
      <c r="G1051" s="1" t="s">
        <v>2430</v>
      </c>
      <c r="H1051" s="1" t="s">
        <v>3067</v>
      </c>
      <c r="I1051" s="1" t="s">
        <v>3070</v>
      </c>
      <c r="J1051" s="1" t="s">
        <v>4124</v>
      </c>
      <c r="K1051" s="1">
        <v>6</v>
      </c>
      <c r="L1051" s="1" t="s">
        <v>4283</v>
      </c>
      <c r="M1051" s="1" t="s">
        <v>4278</v>
      </c>
      <c r="N1051" s="6" t="str">
        <f t="shared" si="33"/>
        <v>Jul</v>
      </c>
      <c r="O1051" s="1">
        <v>1959.3</v>
      </c>
      <c r="T1051" s="4"/>
      <c r="U1051" s="1" t="str">
        <f t="shared" si="34"/>
        <v>Normal</v>
      </c>
    </row>
    <row r="1052" spans="1:21" x14ac:dyDescent="0.25">
      <c r="A1052" s="1" t="s">
        <v>1064</v>
      </c>
      <c r="B1052" s="4">
        <v>45158</v>
      </c>
      <c r="C1052" s="1" t="s">
        <v>2256</v>
      </c>
      <c r="D1052" s="1" t="s">
        <v>2408</v>
      </c>
      <c r="E1052" s="1">
        <v>5</v>
      </c>
      <c r="F1052" s="1">
        <v>69.7</v>
      </c>
      <c r="G1052" s="1" t="s">
        <v>2805</v>
      </c>
      <c r="H1052" s="1" t="s">
        <v>3066</v>
      </c>
      <c r="I1052" s="1" t="s">
        <v>3072</v>
      </c>
      <c r="J1052" s="1" t="s">
        <v>4125</v>
      </c>
      <c r="K1052" s="1">
        <v>9</v>
      </c>
      <c r="L1052" s="1" t="s">
        <v>4283</v>
      </c>
      <c r="M1052" s="1" t="s">
        <v>4278</v>
      </c>
      <c r="N1052" s="6" t="str">
        <f t="shared" si="33"/>
        <v>Aug</v>
      </c>
      <c r="O1052" s="1">
        <v>348.5</v>
      </c>
      <c r="T1052" s="4"/>
      <c r="U1052" s="1" t="str">
        <f t="shared" si="34"/>
        <v>Normal</v>
      </c>
    </row>
    <row r="1053" spans="1:21" x14ac:dyDescent="0.25">
      <c r="A1053" s="1" t="s">
        <v>1065</v>
      </c>
      <c r="B1053" s="4">
        <v>45721</v>
      </c>
      <c r="C1053" s="1" t="s">
        <v>2257</v>
      </c>
      <c r="D1053" s="1" t="s">
        <v>2403</v>
      </c>
      <c r="E1053" s="1">
        <v>5</v>
      </c>
      <c r="F1053" s="1">
        <v>26.43</v>
      </c>
      <c r="G1053" s="1" t="s">
        <v>3017</v>
      </c>
      <c r="H1053" s="1" t="s">
        <v>3068</v>
      </c>
      <c r="I1053" s="1" t="s">
        <v>3070</v>
      </c>
      <c r="J1053" s="1" t="s">
        <v>4126</v>
      </c>
      <c r="K1053" s="1">
        <v>5</v>
      </c>
      <c r="L1053" s="1" t="s">
        <v>4276</v>
      </c>
      <c r="M1053" s="1" t="s">
        <v>4281</v>
      </c>
      <c r="N1053" s="6" t="str">
        <f t="shared" si="33"/>
        <v>Mar</v>
      </c>
      <c r="O1053" s="1">
        <v>132.15</v>
      </c>
      <c r="T1053" s="4"/>
      <c r="U1053" s="1" t="str">
        <f t="shared" si="34"/>
        <v>Normal</v>
      </c>
    </row>
    <row r="1054" spans="1:21" x14ac:dyDescent="0.25">
      <c r="A1054" s="1" t="s">
        <v>1066</v>
      </c>
      <c r="B1054" s="4">
        <v>45180</v>
      </c>
      <c r="C1054" s="1" t="s">
        <v>2258</v>
      </c>
      <c r="D1054" s="1" t="s">
        <v>2405</v>
      </c>
      <c r="E1054" s="1">
        <v>1</v>
      </c>
      <c r="F1054" s="1">
        <v>531.74</v>
      </c>
      <c r="G1054" s="1" t="s">
        <v>3018</v>
      </c>
      <c r="H1054" s="1" t="s">
        <v>3066</v>
      </c>
      <c r="I1054" s="1" t="s">
        <v>3070</v>
      </c>
      <c r="J1054" s="1" t="s">
        <v>4127</v>
      </c>
      <c r="K1054" s="1">
        <v>1</v>
      </c>
      <c r="L1054" s="1" t="s">
        <v>4277</v>
      </c>
      <c r="M1054" s="1" t="s">
        <v>4282</v>
      </c>
      <c r="N1054" s="6" t="str">
        <f t="shared" si="33"/>
        <v>Sep</v>
      </c>
      <c r="O1054" s="1">
        <v>531.74</v>
      </c>
      <c r="T1054" s="4"/>
      <c r="U1054" s="1" t="str">
        <f t="shared" si="34"/>
        <v>Normal</v>
      </c>
    </row>
    <row r="1055" spans="1:21" x14ac:dyDescent="0.25">
      <c r="A1055" s="1" t="s">
        <v>1067</v>
      </c>
      <c r="B1055" s="4">
        <v>45550</v>
      </c>
      <c r="C1055" s="1" t="s">
        <v>2259</v>
      </c>
      <c r="D1055" s="1" t="s">
        <v>2404</v>
      </c>
      <c r="E1055" s="1">
        <v>2</v>
      </c>
      <c r="F1055" s="1">
        <v>496.62</v>
      </c>
      <c r="G1055" s="1" t="s">
        <v>2984</v>
      </c>
      <c r="H1055" s="1" t="s">
        <v>3066</v>
      </c>
      <c r="I1055" s="1" t="s">
        <v>3074</v>
      </c>
      <c r="J1055" s="1" t="s">
        <v>4128</v>
      </c>
      <c r="K1055" s="1">
        <v>2</v>
      </c>
      <c r="L1055" s="1" t="s">
        <v>4275</v>
      </c>
      <c r="M1055" s="1" t="s">
        <v>4278</v>
      </c>
      <c r="N1055" s="6" t="str">
        <f t="shared" si="33"/>
        <v>Sep</v>
      </c>
      <c r="O1055" s="1">
        <v>993.24</v>
      </c>
      <c r="T1055" s="4"/>
      <c r="U1055" s="1" t="str">
        <f t="shared" si="34"/>
        <v>Normal</v>
      </c>
    </row>
    <row r="1056" spans="1:21" x14ac:dyDescent="0.25">
      <c r="A1056" s="1" t="s">
        <v>1068</v>
      </c>
      <c r="B1056" s="4">
        <v>45259</v>
      </c>
      <c r="C1056" s="1" t="s">
        <v>2260</v>
      </c>
      <c r="D1056" s="1" t="s">
        <v>2407</v>
      </c>
      <c r="E1056" s="1">
        <v>1</v>
      </c>
      <c r="F1056" s="1">
        <v>660.66</v>
      </c>
      <c r="G1056" s="1" t="s">
        <v>2490</v>
      </c>
      <c r="H1056" s="1" t="s">
        <v>3065</v>
      </c>
      <c r="I1056" s="1" t="s">
        <v>3073</v>
      </c>
      <c r="J1056" s="1" t="s">
        <v>4129</v>
      </c>
      <c r="K1056" s="1">
        <v>3</v>
      </c>
      <c r="L1056" s="1" t="s">
        <v>4277</v>
      </c>
      <c r="M1056" s="1" t="s">
        <v>4278</v>
      </c>
      <c r="N1056" s="6" t="str">
        <f t="shared" si="33"/>
        <v>Nov</v>
      </c>
      <c r="O1056" s="1">
        <v>660.66</v>
      </c>
      <c r="T1056" s="4"/>
      <c r="U1056" s="1" t="str">
        <f t="shared" si="34"/>
        <v>Normal</v>
      </c>
    </row>
    <row r="1057" spans="1:21" x14ac:dyDescent="0.25">
      <c r="A1057" s="1" t="s">
        <v>1069</v>
      </c>
      <c r="B1057" s="4">
        <v>45222</v>
      </c>
      <c r="C1057" s="1" t="s">
        <v>2261</v>
      </c>
      <c r="D1057" s="1" t="s">
        <v>2403</v>
      </c>
      <c r="E1057" s="1">
        <v>4</v>
      </c>
      <c r="F1057" s="1">
        <v>274.82</v>
      </c>
      <c r="G1057" s="1" t="s">
        <v>2817</v>
      </c>
      <c r="H1057" s="1" t="s">
        <v>3065</v>
      </c>
      <c r="I1057" s="1" t="s">
        <v>3073</v>
      </c>
      <c r="J1057" s="1" t="s">
        <v>4130</v>
      </c>
      <c r="K1057" s="1">
        <v>9</v>
      </c>
      <c r="L1057" s="1" t="s">
        <v>4277</v>
      </c>
      <c r="M1057" s="1" t="s">
        <v>4280</v>
      </c>
      <c r="N1057" s="6" t="str">
        <f t="shared" si="33"/>
        <v>Oct</v>
      </c>
      <c r="O1057" s="1">
        <v>1099.28</v>
      </c>
      <c r="T1057" s="4"/>
      <c r="U1057" s="1" t="str">
        <f t="shared" si="34"/>
        <v>Normal</v>
      </c>
    </row>
    <row r="1058" spans="1:21" x14ac:dyDescent="0.25">
      <c r="A1058" s="1" t="s">
        <v>1070</v>
      </c>
      <c r="B1058" s="4">
        <v>45457</v>
      </c>
      <c r="C1058" s="1" t="s">
        <v>2262</v>
      </c>
      <c r="D1058" s="1" t="s">
        <v>2404</v>
      </c>
      <c r="E1058" s="1">
        <v>2</v>
      </c>
      <c r="F1058" s="1">
        <v>486.35</v>
      </c>
      <c r="G1058" s="1" t="s">
        <v>2566</v>
      </c>
      <c r="H1058" s="1" t="s">
        <v>3066</v>
      </c>
      <c r="I1058" s="1" t="s">
        <v>3074</v>
      </c>
      <c r="J1058" s="1" t="s">
        <v>4131</v>
      </c>
      <c r="K1058" s="1">
        <v>6</v>
      </c>
      <c r="L1058" s="1" t="s">
        <v>4275</v>
      </c>
      <c r="M1058" s="1" t="s">
        <v>4279</v>
      </c>
      <c r="N1058" s="6" t="str">
        <f t="shared" si="33"/>
        <v>Jun</v>
      </c>
      <c r="O1058" s="1">
        <v>972.7</v>
      </c>
      <c r="T1058" s="4"/>
      <c r="U1058" s="1" t="str">
        <f t="shared" si="34"/>
        <v>Normal</v>
      </c>
    </row>
    <row r="1059" spans="1:21" x14ac:dyDescent="0.25">
      <c r="A1059" s="1" t="s">
        <v>1071</v>
      </c>
      <c r="B1059" s="4">
        <v>45559</v>
      </c>
      <c r="C1059" s="1" t="s">
        <v>2263</v>
      </c>
      <c r="D1059" s="1" t="s">
        <v>2408</v>
      </c>
      <c r="E1059" s="1">
        <v>3</v>
      </c>
      <c r="F1059" s="1">
        <v>428.88</v>
      </c>
      <c r="G1059" s="1" t="s">
        <v>2563</v>
      </c>
      <c r="H1059" s="1" t="s">
        <v>3065</v>
      </c>
      <c r="I1059" s="1" t="s">
        <v>3070</v>
      </c>
      <c r="J1059" s="1" t="s">
        <v>4132</v>
      </c>
      <c r="K1059" s="1">
        <v>3</v>
      </c>
      <c r="L1059" s="1" t="s">
        <v>4277</v>
      </c>
      <c r="M1059" s="1" t="s">
        <v>4281</v>
      </c>
      <c r="N1059" s="6" t="str">
        <f t="shared" si="33"/>
        <v>Sep</v>
      </c>
      <c r="O1059" s="1">
        <v>1286.6400000000001</v>
      </c>
      <c r="T1059" s="4"/>
      <c r="U1059" s="1" t="str">
        <f t="shared" si="34"/>
        <v>Normal</v>
      </c>
    </row>
    <row r="1060" spans="1:21" x14ac:dyDescent="0.25">
      <c r="A1060" s="1" t="s">
        <v>1072</v>
      </c>
      <c r="B1060" s="4">
        <v>45177</v>
      </c>
      <c r="C1060" s="1" t="s">
        <v>2264</v>
      </c>
      <c r="D1060" s="1" t="s">
        <v>2409</v>
      </c>
      <c r="E1060" s="1">
        <v>2</v>
      </c>
      <c r="F1060" s="1">
        <v>412.14</v>
      </c>
      <c r="G1060" s="1" t="s">
        <v>2640</v>
      </c>
      <c r="H1060" s="1" t="s">
        <v>3067</v>
      </c>
      <c r="I1060" s="1" t="s">
        <v>3072</v>
      </c>
      <c r="J1060" s="1" t="s">
        <v>4133</v>
      </c>
      <c r="K1060" s="1">
        <v>2</v>
      </c>
      <c r="L1060" s="1" t="s">
        <v>4276</v>
      </c>
      <c r="M1060" s="1" t="s">
        <v>4278</v>
      </c>
      <c r="N1060" s="6" t="str">
        <f t="shared" si="33"/>
        <v>Sep</v>
      </c>
      <c r="O1060" s="1">
        <v>824.28</v>
      </c>
      <c r="T1060" s="4"/>
      <c r="U1060" s="1" t="str">
        <f t="shared" si="34"/>
        <v>Normal</v>
      </c>
    </row>
    <row r="1061" spans="1:21" x14ac:dyDescent="0.25">
      <c r="A1061" s="1" t="s">
        <v>1073</v>
      </c>
      <c r="B1061" s="4">
        <v>45557</v>
      </c>
      <c r="C1061" s="1" t="s">
        <v>2265</v>
      </c>
      <c r="D1061" s="1" t="s">
        <v>2409</v>
      </c>
      <c r="E1061" s="1">
        <v>1</v>
      </c>
      <c r="F1061" s="1">
        <v>265.64</v>
      </c>
      <c r="G1061" s="1" t="s">
        <v>3019</v>
      </c>
      <c r="H1061" s="1" t="s">
        <v>3067</v>
      </c>
      <c r="I1061" s="1" t="s">
        <v>3072</v>
      </c>
      <c r="J1061" s="1" t="s">
        <v>4134</v>
      </c>
      <c r="K1061" s="1">
        <v>3</v>
      </c>
      <c r="L1061" s="1" t="s">
        <v>4277</v>
      </c>
      <c r="M1061" s="1" t="s">
        <v>4278</v>
      </c>
      <c r="N1061" s="6" t="str">
        <f t="shared" si="33"/>
        <v>Sep</v>
      </c>
      <c r="O1061" s="1">
        <v>265.64</v>
      </c>
      <c r="T1061" s="4"/>
      <c r="U1061" s="1" t="str">
        <f t="shared" si="34"/>
        <v>Normal</v>
      </c>
    </row>
    <row r="1062" spans="1:21" x14ac:dyDescent="0.25">
      <c r="A1062" s="1" t="s">
        <v>1074</v>
      </c>
      <c r="B1062" s="4">
        <v>45419</v>
      </c>
      <c r="C1062" s="1" t="s">
        <v>2266</v>
      </c>
      <c r="D1062" s="1" t="s">
        <v>2405</v>
      </c>
      <c r="E1062" s="1">
        <v>2</v>
      </c>
      <c r="F1062" s="1">
        <v>273.43</v>
      </c>
      <c r="G1062" s="1" t="s">
        <v>2702</v>
      </c>
      <c r="H1062" s="1" t="s">
        <v>3069</v>
      </c>
      <c r="I1062" s="1" t="s">
        <v>3070</v>
      </c>
      <c r="J1062" s="1" t="s">
        <v>4135</v>
      </c>
      <c r="K1062" s="1">
        <v>7</v>
      </c>
      <c r="L1062" s="1" t="s">
        <v>4277</v>
      </c>
      <c r="M1062" s="1" t="s">
        <v>4279</v>
      </c>
      <c r="N1062" s="6" t="str">
        <f t="shared" si="33"/>
        <v>May</v>
      </c>
      <c r="O1062" s="1">
        <v>546.86</v>
      </c>
      <c r="T1062" s="4"/>
      <c r="U1062" s="1" t="str">
        <f t="shared" si="34"/>
        <v>Normal</v>
      </c>
    </row>
    <row r="1063" spans="1:21" x14ac:dyDescent="0.25">
      <c r="A1063" s="1" t="s">
        <v>1075</v>
      </c>
      <c r="B1063" s="4">
        <v>45686</v>
      </c>
      <c r="C1063" s="1" t="s">
        <v>2267</v>
      </c>
      <c r="D1063" s="1" t="s">
        <v>2408</v>
      </c>
      <c r="E1063" s="1">
        <v>5</v>
      </c>
      <c r="F1063" s="1">
        <v>131.69999999999999</v>
      </c>
      <c r="G1063" s="1" t="s">
        <v>2442</v>
      </c>
      <c r="H1063" s="1" t="s">
        <v>3069</v>
      </c>
      <c r="I1063" s="1" t="s">
        <v>3070</v>
      </c>
      <c r="J1063" s="1" t="s">
        <v>4136</v>
      </c>
      <c r="K1063" s="1">
        <v>8</v>
      </c>
      <c r="L1063" s="1" t="s">
        <v>4276</v>
      </c>
      <c r="M1063" s="1" t="s">
        <v>4282</v>
      </c>
      <c r="N1063" s="6" t="str">
        <f t="shared" si="33"/>
        <v>Jan</v>
      </c>
      <c r="O1063" s="1">
        <v>658.5</v>
      </c>
      <c r="T1063" s="4"/>
      <c r="U1063" s="1" t="str">
        <f t="shared" si="34"/>
        <v>Normal</v>
      </c>
    </row>
    <row r="1064" spans="1:21" x14ac:dyDescent="0.25">
      <c r="A1064" s="1" t="s">
        <v>1076</v>
      </c>
      <c r="B1064" s="4">
        <v>45161</v>
      </c>
      <c r="C1064" s="1" t="s">
        <v>2268</v>
      </c>
      <c r="D1064" s="1" t="s">
        <v>2406</v>
      </c>
      <c r="E1064" s="1">
        <v>5</v>
      </c>
      <c r="F1064" s="1">
        <v>85.52</v>
      </c>
      <c r="G1064" s="1" t="s">
        <v>2676</v>
      </c>
      <c r="H1064" s="1" t="s">
        <v>3068</v>
      </c>
      <c r="I1064" s="1" t="s">
        <v>3071</v>
      </c>
      <c r="J1064" s="1" t="s">
        <v>4137</v>
      </c>
      <c r="K1064" s="1">
        <v>5</v>
      </c>
      <c r="L1064" s="1" t="s">
        <v>4283</v>
      </c>
      <c r="M1064" s="1" t="s">
        <v>4281</v>
      </c>
      <c r="N1064" s="6" t="str">
        <f t="shared" si="33"/>
        <v>Aug</v>
      </c>
      <c r="O1064" s="1">
        <v>427.6</v>
      </c>
      <c r="T1064" s="4"/>
      <c r="U1064" s="1" t="str">
        <f t="shared" si="34"/>
        <v>Normal</v>
      </c>
    </row>
    <row r="1065" spans="1:21" x14ac:dyDescent="0.25">
      <c r="A1065" s="1" t="s">
        <v>1077</v>
      </c>
      <c r="B1065" s="4">
        <v>45462</v>
      </c>
      <c r="C1065" s="1" t="s">
        <v>2269</v>
      </c>
      <c r="D1065" s="1" t="s">
        <v>2409</v>
      </c>
      <c r="E1065" s="1">
        <v>2</v>
      </c>
      <c r="F1065" s="1">
        <v>320.68</v>
      </c>
      <c r="G1065" s="1" t="s">
        <v>2564</v>
      </c>
      <c r="H1065" s="1" t="s">
        <v>3067</v>
      </c>
      <c r="I1065" s="1" t="s">
        <v>3070</v>
      </c>
      <c r="J1065" s="1" t="s">
        <v>4138</v>
      </c>
      <c r="K1065" s="1">
        <v>5</v>
      </c>
      <c r="L1065" s="1" t="s">
        <v>4276</v>
      </c>
      <c r="M1065" s="1" t="s">
        <v>4279</v>
      </c>
      <c r="N1065" s="6" t="str">
        <f t="shared" si="33"/>
        <v>Jun</v>
      </c>
      <c r="O1065" s="1">
        <v>641.36</v>
      </c>
      <c r="T1065" s="4"/>
      <c r="U1065" s="1" t="str">
        <f t="shared" si="34"/>
        <v>Normal</v>
      </c>
    </row>
    <row r="1066" spans="1:21" x14ac:dyDescent="0.25">
      <c r="A1066" s="1" t="s">
        <v>1078</v>
      </c>
      <c r="B1066" s="4">
        <v>45700</v>
      </c>
      <c r="C1066" s="1" t="s">
        <v>2270</v>
      </c>
      <c r="D1066" s="1" t="s">
        <v>2408</v>
      </c>
      <c r="E1066" s="1">
        <v>4</v>
      </c>
      <c r="F1066" s="1">
        <v>198.81</v>
      </c>
      <c r="G1066" s="1" t="s">
        <v>2646</v>
      </c>
      <c r="H1066" s="1" t="s">
        <v>3069</v>
      </c>
      <c r="I1066" s="1" t="s">
        <v>3072</v>
      </c>
      <c r="J1066" s="1" t="s">
        <v>4139</v>
      </c>
      <c r="K1066" s="1">
        <v>9</v>
      </c>
      <c r="L1066" s="1" t="s">
        <v>4276</v>
      </c>
      <c r="M1066" s="1" t="s">
        <v>4279</v>
      </c>
      <c r="N1066" s="6" t="str">
        <f t="shared" si="33"/>
        <v>Feb</v>
      </c>
      <c r="O1066" s="1">
        <v>795.24</v>
      </c>
      <c r="T1066" s="4"/>
      <c r="U1066" s="1" t="str">
        <f t="shared" si="34"/>
        <v>Normal</v>
      </c>
    </row>
    <row r="1067" spans="1:21" x14ac:dyDescent="0.25">
      <c r="A1067" s="1" t="s">
        <v>1079</v>
      </c>
      <c r="B1067" s="4">
        <v>45229</v>
      </c>
      <c r="C1067" s="1" t="s">
        <v>2271</v>
      </c>
      <c r="D1067" s="1" t="s">
        <v>2407</v>
      </c>
      <c r="E1067" s="1">
        <v>5</v>
      </c>
      <c r="F1067" s="1">
        <v>666.8</v>
      </c>
      <c r="G1067" s="1" t="s">
        <v>2746</v>
      </c>
      <c r="H1067" s="1" t="s">
        <v>3065</v>
      </c>
      <c r="I1067" s="1" t="s">
        <v>3073</v>
      </c>
      <c r="J1067" s="1" t="s">
        <v>4140</v>
      </c>
      <c r="K1067" s="1">
        <v>7</v>
      </c>
      <c r="L1067" s="1" t="s">
        <v>4275</v>
      </c>
      <c r="M1067" s="1" t="s">
        <v>4279</v>
      </c>
      <c r="N1067" s="6" t="str">
        <f t="shared" si="33"/>
        <v>Oct</v>
      </c>
      <c r="O1067" s="1">
        <v>3334</v>
      </c>
      <c r="T1067" s="4"/>
      <c r="U1067" s="1" t="str">
        <f t="shared" si="34"/>
        <v>Outlier</v>
      </c>
    </row>
    <row r="1068" spans="1:21" x14ac:dyDescent="0.25">
      <c r="A1068" s="1" t="s">
        <v>1080</v>
      </c>
      <c r="B1068" s="4">
        <v>45280</v>
      </c>
      <c r="C1068" s="1" t="s">
        <v>2272</v>
      </c>
      <c r="D1068" s="1" t="s">
        <v>2409</v>
      </c>
      <c r="E1068" s="1">
        <v>1</v>
      </c>
      <c r="F1068" s="1">
        <v>355.09</v>
      </c>
      <c r="G1068" s="1" t="s">
        <v>2878</v>
      </c>
      <c r="H1068" s="1" t="s">
        <v>3065</v>
      </c>
      <c r="I1068" s="1" t="s">
        <v>3071</v>
      </c>
      <c r="J1068" s="1" t="s">
        <v>4141</v>
      </c>
      <c r="K1068" s="1">
        <v>5</v>
      </c>
      <c r="L1068" s="1" t="s">
        <v>4275</v>
      </c>
      <c r="M1068" s="1" t="s">
        <v>4278</v>
      </c>
      <c r="N1068" s="6" t="str">
        <f t="shared" si="33"/>
        <v>Dec</v>
      </c>
      <c r="O1068" s="1">
        <v>355.09</v>
      </c>
      <c r="T1068" s="4"/>
      <c r="U1068" s="1" t="str">
        <f t="shared" si="34"/>
        <v>Normal</v>
      </c>
    </row>
    <row r="1069" spans="1:21" x14ac:dyDescent="0.25">
      <c r="A1069" s="1" t="s">
        <v>1081</v>
      </c>
      <c r="B1069" s="4">
        <v>45083</v>
      </c>
      <c r="C1069" s="1" t="s">
        <v>2273</v>
      </c>
      <c r="D1069" s="1" t="s">
        <v>2404</v>
      </c>
      <c r="E1069" s="1">
        <v>2</v>
      </c>
      <c r="F1069" s="1">
        <v>316.2</v>
      </c>
      <c r="G1069" s="1" t="s">
        <v>2475</v>
      </c>
      <c r="H1069" s="1" t="s">
        <v>3066</v>
      </c>
      <c r="I1069" s="1" t="s">
        <v>3072</v>
      </c>
      <c r="J1069" s="1" t="s">
        <v>4142</v>
      </c>
      <c r="K1069" s="1">
        <v>2</v>
      </c>
      <c r="L1069" s="1" t="s">
        <v>4283</v>
      </c>
      <c r="M1069" s="1" t="s">
        <v>4278</v>
      </c>
      <c r="N1069" s="6" t="str">
        <f t="shared" si="33"/>
        <v>Jun</v>
      </c>
      <c r="O1069" s="1">
        <v>632.4</v>
      </c>
      <c r="T1069" s="4"/>
      <c r="U1069" s="1" t="str">
        <f t="shared" si="34"/>
        <v>Normal</v>
      </c>
    </row>
    <row r="1070" spans="1:21" x14ac:dyDescent="0.25">
      <c r="A1070" s="1" t="s">
        <v>1082</v>
      </c>
      <c r="B1070" s="4">
        <v>45507</v>
      </c>
      <c r="C1070" s="1" t="s">
        <v>2274</v>
      </c>
      <c r="D1070" s="1" t="s">
        <v>2408</v>
      </c>
      <c r="E1070" s="1">
        <v>1</v>
      </c>
      <c r="F1070" s="1">
        <v>133.38999999999999</v>
      </c>
      <c r="G1070" s="1" t="s">
        <v>3020</v>
      </c>
      <c r="H1070" s="1" t="s">
        <v>3065</v>
      </c>
      <c r="I1070" s="1" t="s">
        <v>3070</v>
      </c>
      <c r="J1070" s="1" t="s">
        <v>4143</v>
      </c>
      <c r="K1070" s="1">
        <v>2</v>
      </c>
      <c r="L1070" s="1" t="s">
        <v>4275</v>
      </c>
      <c r="M1070" s="1" t="s">
        <v>4279</v>
      </c>
      <c r="N1070" s="6" t="str">
        <f t="shared" si="33"/>
        <v>Aug</v>
      </c>
      <c r="O1070" s="1">
        <v>133.38999999999999</v>
      </c>
      <c r="T1070" s="4"/>
      <c r="U1070" s="1" t="str">
        <f t="shared" si="34"/>
        <v>Normal</v>
      </c>
    </row>
    <row r="1071" spans="1:21" x14ac:dyDescent="0.25">
      <c r="A1071" s="1" t="s">
        <v>1083</v>
      </c>
      <c r="B1071" s="4">
        <v>44982</v>
      </c>
      <c r="C1071" s="1" t="s">
        <v>2275</v>
      </c>
      <c r="D1071" s="1" t="s">
        <v>2403</v>
      </c>
      <c r="E1071" s="1">
        <v>1</v>
      </c>
      <c r="F1071" s="1">
        <v>454.23</v>
      </c>
      <c r="G1071" s="1" t="s">
        <v>2617</v>
      </c>
      <c r="H1071" s="1" t="s">
        <v>3068</v>
      </c>
      <c r="I1071" s="1" t="s">
        <v>3072</v>
      </c>
      <c r="J1071" s="1" t="s">
        <v>4144</v>
      </c>
      <c r="K1071" s="1">
        <v>3</v>
      </c>
      <c r="L1071" s="1" t="s">
        <v>4283</v>
      </c>
      <c r="M1071" s="1" t="s">
        <v>4281</v>
      </c>
      <c r="N1071" s="6" t="str">
        <f t="shared" si="33"/>
        <v>Feb</v>
      </c>
      <c r="O1071" s="1">
        <v>454.23</v>
      </c>
      <c r="T1071" s="4"/>
      <c r="U1071" s="1" t="str">
        <f t="shared" si="34"/>
        <v>Normal</v>
      </c>
    </row>
    <row r="1072" spans="1:21" x14ac:dyDescent="0.25">
      <c r="A1072" s="1" t="s">
        <v>1084</v>
      </c>
      <c r="B1072" s="4">
        <v>45541</v>
      </c>
      <c r="C1072" s="1" t="s">
        <v>2276</v>
      </c>
      <c r="D1072" s="1" t="s">
        <v>2409</v>
      </c>
      <c r="E1072" s="1">
        <v>4</v>
      </c>
      <c r="F1072" s="1">
        <v>491.29</v>
      </c>
      <c r="G1072" s="1" t="s">
        <v>2485</v>
      </c>
      <c r="H1072" s="1" t="s">
        <v>3065</v>
      </c>
      <c r="I1072" s="1" t="s">
        <v>3074</v>
      </c>
      <c r="J1072" s="1" t="s">
        <v>4145</v>
      </c>
      <c r="K1072" s="1">
        <v>6</v>
      </c>
      <c r="L1072" s="1" t="s">
        <v>4283</v>
      </c>
      <c r="M1072" s="1" t="s">
        <v>4280</v>
      </c>
      <c r="N1072" s="6" t="str">
        <f t="shared" si="33"/>
        <v>Sep</v>
      </c>
      <c r="O1072" s="1">
        <v>1965.16</v>
      </c>
      <c r="T1072" s="4"/>
      <c r="U1072" s="1" t="str">
        <f t="shared" si="34"/>
        <v>Normal</v>
      </c>
    </row>
    <row r="1073" spans="1:21" x14ac:dyDescent="0.25">
      <c r="A1073" s="1" t="s">
        <v>1085</v>
      </c>
      <c r="B1073" s="4">
        <v>45832</v>
      </c>
      <c r="C1073" s="1" t="s">
        <v>2277</v>
      </c>
      <c r="D1073" s="1" t="s">
        <v>2404</v>
      </c>
      <c r="E1073" s="1">
        <v>2</v>
      </c>
      <c r="F1073" s="1">
        <v>255.14</v>
      </c>
      <c r="G1073" s="1" t="s">
        <v>2717</v>
      </c>
      <c r="H1073" s="1" t="s">
        <v>3069</v>
      </c>
      <c r="I1073" s="1" t="s">
        <v>3070</v>
      </c>
      <c r="J1073" s="1" t="s">
        <v>4146</v>
      </c>
      <c r="K1073" s="1">
        <v>2</v>
      </c>
      <c r="L1073" s="1" t="s">
        <v>4283</v>
      </c>
      <c r="M1073" s="1" t="s">
        <v>4282</v>
      </c>
      <c r="N1073" s="6" t="str">
        <f t="shared" si="33"/>
        <v>Jun</v>
      </c>
      <c r="O1073" s="1">
        <v>510.28</v>
      </c>
      <c r="T1073" s="4"/>
      <c r="U1073" s="1" t="str">
        <f t="shared" si="34"/>
        <v>Normal</v>
      </c>
    </row>
    <row r="1074" spans="1:21" x14ac:dyDescent="0.25">
      <c r="A1074" s="1" t="s">
        <v>1086</v>
      </c>
      <c r="B1074" s="4">
        <v>44983</v>
      </c>
      <c r="C1074" s="1" t="s">
        <v>2278</v>
      </c>
      <c r="D1074" s="1" t="s">
        <v>2403</v>
      </c>
      <c r="E1074" s="1">
        <v>1</v>
      </c>
      <c r="F1074" s="1">
        <v>392.61</v>
      </c>
      <c r="G1074" s="1" t="s">
        <v>2635</v>
      </c>
      <c r="H1074" s="1" t="s">
        <v>3068</v>
      </c>
      <c r="I1074" s="1" t="s">
        <v>3071</v>
      </c>
      <c r="J1074" s="1" t="s">
        <v>4147</v>
      </c>
      <c r="K1074" s="1">
        <v>4</v>
      </c>
      <c r="L1074" s="1" t="s">
        <v>4275</v>
      </c>
      <c r="M1074" s="1" t="s">
        <v>4279</v>
      </c>
      <c r="N1074" s="6" t="str">
        <f t="shared" si="33"/>
        <v>Feb</v>
      </c>
      <c r="O1074" s="1">
        <v>392.61</v>
      </c>
      <c r="T1074" s="4"/>
      <c r="U1074" s="1" t="str">
        <f t="shared" si="34"/>
        <v>Normal</v>
      </c>
    </row>
    <row r="1075" spans="1:21" x14ac:dyDescent="0.25">
      <c r="A1075" s="1" t="s">
        <v>1087</v>
      </c>
      <c r="B1075" s="4">
        <v>45576</v>
      </c>
      <c r="C1075" s="1" t="s">
        <v>2279</v>
      </c>
      <c r="D1075" s="1" t="s">
        <v>2405</v>
      </c>
      <c r="E1075" s="1">
        <v>4</v>
      </c>
      <c r="F1075" s="1">
        <v>362.06</v>
      </c>
      <c r="G1075" s="1" t="s">
        <v>2631</v>
      </c>
      <c r="H1075" s="1" t="s">
        <v>3065</v>
      </c>
      <c r="I1075" s="1" t="s">
        <v>3072</v>
      </c>
      <c r="J1075" s="1" t="s">
        <v>4148</v>
      </c>
      <c r="K1075" s="1">
        <v>4</v>
      </c>
      <c r="L1075" s="1" t="s">
        <v>4283</v>
      </c>
      <c r="M1075" s="1" t="s">
        <v>4281</v>
      </c>
      <c r="N1075" s="6" t="str">
        <f t="shared" si="33"/>
        <v>Oct</v>
      </c>
      <c r="O1075" s="1">
        <v>1448.24</v>
      </c>
      <c r="T1075" s="4"/>
      <c r="U1075" s="1" t="str">
        <f t="shared" si="34"/>
        <v>Normal</v>
      </c>
    </row>
    <row r="1076" spans="1:21" x14ac:dyDescent="0.25">
      <c r="A1076" s="1" t="s">
        <v>1088</v>
      </c>
      <c r="B1076" s="4">
        <v>45422</v>
      </c>
      <c r="C1076" s="1" t="s">
        <v>2280</v>
      </c>
      <c r="D1076" s="1" t="s">
        <v>2404</v>
      </c>
      <c r="E1076" s="1">
        <v>1</v>
      </c>
      <c r="F1076" s="1">
        <v>222.73</v>
      </c>
      <c r="G1076" s="1" t="s">
        <v>3021</v>
      </c>
      <c r="H1076" s="1" t="s">
        <v>3066</v>
      </c>
      <c r="I1076" s="1" t="s">
        <v>3072</v>
      </c>
      <c r="J1076" s="1" t="s">
        <v>4149</v>
      </c>
      <c r="K1076" s="1">
        <v>4</v>
      </c>
      <c r="L1076" s="1" t="s">
        <v>4283</v>
      </c>
      <c r="M1076" s="1" t="s">
        <v>4282</v>
      </c>
      <c r="N1076" s="6" t="str">
        <f t="shared" si="33"/>
        <v>May</v>
      </c>
      <c r="O1076" s="1">
        <v>222.73</v>
      </c>
      <c r="T1076" s="4"/>
      <c r="U1076" s="1" t="str">
        <f t="shared" si="34"/>
        <v>Normal</v>
      </c>
    </row>
    <row r="1077" spans="1:21" x14ac:dyDescent="0.25">
      <c r="A1077" s="1" t="s">
        <v>1089</v>
      </c>
      <c r="B1077" s="4">
        <v>45535</v>
      </c>
      <c r="C1077" s="1" t="s">
        <v>2281</v>
      </c>
      <c r="D1077" s="1" t="s">
        <v>2403</v>
      </c>
      <c r="E1077" s="1">
        <v>2</v>
      </c>
      <c r="F1077" s="1">
        <v>552.63</v>
      </c>
      <c r="G1077" s="1" t="s">
        <v>2591</v>
      </c>
      <c r="H1077" s="1" t="s">
        <v>3065</v>
      </c>
      <c r="I1077" s="1" t="s">
        <v>3073</v>
      </c>
      <c r="J1077" s="1" t="s">
        <v>4150</v>
      </c>
      <c r="K1077" s="1">
        <v>7</v>
      </c>
      <c r="L1077" s="1" t="s">
        <v>4277</v>
      </c>
      <c r="M1077" s="1" t="s">
        <v>4278</v>
      </c>
      <c r="N1077" s="6" t="str">
        <f t="shared" si="33"/>
        <v>Aug</v>
      </c>
      <c r="O1077" s="1">
        <v>1105.26</v>
      </c>
      <c r="T1077" s="4"/>
      <c r="U1077" s="1" t="str">
        <f t="shared" si="34"/>
        <v>Normal</v>
      </c>
    </row>
    <row r="1078" spans="1:21" x14ac:dyDescent="0.25">
      <c r="A1078" s="1" t="s">
        <v>1090</v>
      </c>
      <c r="B1078" s="4">
        <v>45054</v>
      </c>
      <c r="C1078" s="1" t="s">
        <v>2282</v>
      </c>
      <c r="D1078" s="1" t="s">
        <v>2408</v>
      </c>
      <c r="E1078" s="1">
        <v>4</v>
      </c>
      <c r="F1078" s="1">
        <v>686.61</v>
      </c>
      <c r="G1078" s="1" t="s">
        <v>3005</v>
      </c>
      <c r="H1078" s="1" t="s">
        <v>3069</v>
      </c>
      <c r="I1078" s="1" t="s">
        <v>3070</v>
      </c>
      <c r="J1078" s="1" t="s">
        <v>4151</v>
      </c>
      <c r="K1078" s="1">
        <v>6</v>
      </c>
      <c r="L1078" s="1" t="s">
        <v>4283</v>
      </c>
      <c r="M1078" s="1" t="s">
        <v>4279</v>
      </c>
      <c r="N1078" s="6" t="str">
        <f t="shared" si="33"/>
        <v>May</v>
      </c>
      <c r="O1078" s="1">
        <v>2746.44</v>
      </c>
      <c r="T1078" s="4"/>
      <c r="U1078" s="1" t="str">
        <f t="shared" si="34"/>
        <v>Normal</v>
      </c>
    </row>
    <row r="1079" spans="1:21" x14ac:dyDescent="0.25">
      <c r="A1079" s="1" t="s">
        <v>1091</v>
      </c>
      <c r="B1079" s="4">
        <v>45723</v>
      </c>
      <c r="C1079" s="1" t="s">
        <v>2283</v>
      </c>
      <c r="D1079" s="1" t="s">
        <v>2407</v>
      </c>
      <c r="E1079" s="1">
        <v>3</v>
      </c>
      <c r="F1079" s="1">
        <v>305.16000000000003</v>
      </c>
      <c r="G1079" s="1" t="s">
        <v>2517</v>
      </c>
      <c r="H1079" s="1" t="s">
        <v>3067</v>
      </c>
      <c r="I1079" s="1" t="s">
        <v>3071</v>
      </c>
      <c r="J1079" s="1" t="s">
        <v>4152</v>
      </c>
      <c r="K1079" s="1">
        <v>8</v>
      </c>
      <c r="L1079" s="1" t="s">
        <v>4275</v>
      </c>
      <c r="M1079" s="1" t="s">
        <v>4279</v>
      </c>
      <c r="N1079" s="6" t="str">
        <f t="shared" si="33"/>
        <v>Mar</v>
      </c>
      <c r="O1079" s="1">
        <v>915.48</v>
      </c>
      <c r="T1079" s="4"/>
      <c r="U1079" s="1" t="str">
        <f t="shared" si="34"/>
        <v>Normal</v>
      </c>
    </row>
    <row r="1080" spans="1:21" x14ac:dyDescent="0.25">
      <c r="A1080" s="1" t="s">
        <v>1092</v>
      </c>
      <c r="B1080" s="4">
        <v>45003</v>
      </c>
      <c r="C1080" s="1" t="s">
        <v>2284</v>
      </c>
      <c r="D1080" s="1" t="s">
        <v>2409</v>
      </c>
      <c r="E1080" s="1">
        <v>1</v>
      </c>
      <c r="F1080" s="1">
        <v>41.09</v>
      </c>
      <c r="G1080" s="1" t="s">
        <v>2437</v>
      </c>
      <c r="H1080" s="1" t="s">
        <v>3066</v>
      </c>
      <c r="I1080" s="1" t="s">
        <v>3072</v>
      </c>
      <c r="J1080" s="1" t="s">
        <v>4153</v>
      </c>
      <c r="K1080" s="1">
        <v>4</v>
      </c>
      <c r="L1080" s="1" t="s">
        <v>4277</v>
      </c>
      <c r="M1080" s="1" t="s">
        <v>4280</v>
      </c>
      <c r="N1080" s="6" t="str">
        <f t="shared" si="33"/>
        <v>Mar</v>
      </c>
      <c r="O1080" s="1">
        <v>41.09</v>
      </c>
      <c r="T1080" s="4"/>
      <c r="U1080" s="1" t="str">
        <f t="shared" si="34"/>
        <v>Normal</v>
      </c>
    </row>
    <row r="1081" spans="1:21" x14ac:dyDescent="0.25">
      <c r="A1081" s="1" t="s">
        <v>1093</v>
      </c>
      <c r="B1081" s="4">
        <v>45463</v>
      </c>
      <c r="C1081" s="1" t="s">
        <v>2285</v>
      </c>
      <c r="D1081" s="1" t="s">
        <v>2404</v>
      </c>
      <c r="E1081" s="1">
        <v>5</v>
      </c>
      <c r="F1081" s="1">
        <v>634</v>
      </c>
      <c r="G1081" s="1" t="s">
        <v>2980</v>
      </c>
      <c r="H1081" s="1" t="s">
        <v>3068</v>
      </c>
      <c r="I1081" s="1" t="s">
        <v>3073</v>
      </c>
      <c r="J1081" s="1" t="s">
        <v>4154</v>
      </c>
      <c r="K1081" s="1">
        <v>8</v>
      </c>
      <c r="L1081" s="1" t="s">
        <v>4283</v>
      </c>
      <c r="M1081" s="1" t="s">
        <v>4280</v>
      </c>
      <c r="N1081" s="6" t="str">
        <f t="shared" si="33"/>
        <v>Jun</v>
      </c>
      <c r="O1081" s="1">
        <v>3170</v>
      </c>
      <c r="T1081" s="4"/>
      <c r="U1081" s="1" t="str">
        <f t="shared" si="34"/>
        <v>Normal</v>
      </c>
    </row>
    <row r="1082" spans="1:21" x14ac:dyDescent="0.25">
      <c r="A1082" s="1" t="s">
        <v>1094</v>
      </c>
      <c r="B1082" s="4">
        <v>44946</v>
      </c>
      <c r="C1082" s="1" t="s">
        <v>2286</v>
      </c>
      <c r="D1082" s="1" t="s">
        <v>2408</v>
      </c>
      <c r="E1082" s="1">
        <v>5</v>
      </c>
      <c r="F1082" s="1">
        <v>464.74</v>
      </c>
      <c r="G1082" s="1" t="s">
        <v>3022</v>
      </c>
      <c r="H1082" s="1" t="s">
        <v>3068</v>
      </c>
      <c r="I1082" s="1" t="s">
        <v>3073</v>
      </c>
      <c r="J1082" s="1" t="s">
        <v>4155</v>
      </c>
      <c r="K1082" s="1">
        <v>7</v>
      </c>
      <c r="L1082" s="1" t="s">
        <v>4283</v>
      </c>
      <c r="M1082" s="1" t="s">
        <v>4279</v>
      </c>
      <c r="N1082" s="6" t="str">
        <f t="shared" si="33"/>
        <v>Jan</v>
      </c>
      <c r="O1082" s="1">
        <v>2323.6999999999998</v>
      </c>
      <c r="T1082" s="4"/>
      <c r="U1082" s="1" t="str">
        <f t="shared" si="34"/>
        <v>Normal</v>
      </c>
    </row>
    <row r="1083" spans="1:21" x14ac:dyDescent="0.25">
      <c r="A1083" s="1" t="s">
        <v>1095</v>
      </c>
      <c r="B1083" s="4">
        <v>45037</v>
      </c>
      <c r="C1083" s="1" t="s">
        <v>2287</v>
      </c>
      <c r="D1083" s="1" t="s">
        <v>2403</v>
      </c>
      <c r="E1083" s="1">
        <v>4</v>
      </c>
      <c r="F1083" s="1">
        <v>425.6</v>
      </c>
      <c r="G1083" s="1" t="s">
        <v>2704</v>
      </c>
      <c r="H1083" s="1" t="s">
        <v>3067</v>
      </c>
      <c r="I1083" s="1" t="s">
        <v>3074</v>
      </c>
      <c r="J1083" s="1" t="s">
        <v>4156</v>
      </c>
      <c r="K1083" s="1">
        <v>5</v>
      </c>
      <c r="L1083" s="1" t="s">
        <v>4276</v>
      </c>
      <c r="M1083" s="1" t="s">
        <v>4282</v>
      </c>
      <c r="N1083" s="6" t="str">
        <f t="shared" si="33"/>
        <v>Apr</v>
      </c>
      <c r="O1083" s="1">
        <v>1702.4</v>
      </c>
      <c r="T1083" s="4"/>
      <c r="U1083" s="1" t="str">
        <f t="shared" si="34"/>
        <v>Normal</v>
      </c>
    </row>
    <row r="1084" spans="1:21" x14ac:dyDescent="0.25">
      <c r="A1084" s="1" t="s">
        <v>1096</v>
      </c>
      <c r="B1084" s="4">
        <v>45205</v>
      </c>
      <c r="C1084" s="1" t="s">
        <v>2288</v>
      </c>
      <c r="D1084" s="1" t="s">
        <v>2406</v>
      </c>
      <c r="E1084" s="1">
        <v>3</v>
      </c>
      <c r="F1084" s="1">
        <v>573.22</v>
      </c>
      <c r="G1084" s="1" t="s">
        <v>3011</v>
      </c>
      <c r="H1084" s="1" t="s">
        <v>3065</v>
      </c>
      <c r="I1084" s="1" t="s">
        <v>3074</v>
      </c>
      <c r="J1084" s="1" t="s">
        <v>4157</v>
      </c>
      <c r="K1084" s="1">
        <v>5</v>
      </c>
      <c r="L1084" s="1" t="s">
        <v>4275</v>
      </c>
      <c r="M1084" s="1" t="s">
        <v>4280</v>
      </c>
      <c r="N1084" s="6" t="str">
        <f t="shared" si="33"/>
        <v>Oct</v>
      </c>
      <c r="O1084" s="1">
        <v>1719.66</v>
      </c>
      <c r="T1084" s="4"/>
      <c r="U1084" s="1" t="str">
        <f t="shared" si="34"/>
        <v>Normal</v>
      </c>
    </row>
    <row r="1085" spans="1:21" x14ac:dyDescent="0.25">
      <c r="A1085" s="1" t="s">
        <v>1097</v>
      </c>
      <c r="B1085" s="4">
        <v>45482</v>
      </c>
      <c r="C1085" s="1" t="s">
        <v>2289</v>
      </c>
      <c r="D1085" s="1" t="s">
        <v>2406</v>
      </c>
      <c r="E1085" s="1">
        <v>1</v>
      </c>
      <c r="F1085" s="1">
        <v>123.28</v>
      </c>
      <c r="G1085" s="1" t="s">
        <v>2440</v>
      </c>
      <c r="H1085" s="1" t="s">
        <v>3067</v>
      </c>
      <c r="I1085" s="1" t="s">
        <v>3073</v>
      </c>
      <c r="J1085" s="1" t="s">
        <v>4158</v>
      </c>
      <c r="K1085" s="1">
        <v>3</v>
      </c>
      <c r="L1085" s="1" t="s">
        <v>4275</v>
      </c>
      <c r="M1085" s="1" t="s">
        <v>4280</v>
      </c>
      <c r="N1085" s="6" t="str">
        <f t="shared" si="33"/>
        <v>Jul</v>
      </c>
      <c r="O1085" s="1">
        <v>123.28</v>
      </c>
      <c r="T1085" s="4"/>
      <c r="U1085" s="1" t="str">
        <f t="shared" si="34"/>
        <v>Normal</v>
      </c>
    </row>
    <row r="1086" spans="1:21" x14ac:dyDescent="0.25">
      <c r="A1086" s="1" t="s">
        <v>1098</v>
      </c>
      <c r="B1086" s="4">
        <v>44934</v>
      </c>
      <c r="C1086" s="1" t="s">
        <v>2290</v>
      </c>
      <c r="D1086" s="1" t="s">
        <v>2404</v>
      </c>
      <c r="E1086" s="1">
        <v>1</v>
      </c>
      <c r="F1086" s="1">
        <v>70.819999999999993</v>
      </c>
      <c r="G1086" s="1" t="s">
        <v>2445</v>
      </c>
      <c r="H1086" s="1" t="s">
        <v>3068</v>
      </c>
      <c r="I1086" s="1" t="s">
        <v>3074</v>
      </c>
      <c r="J1086" s="1" t="s">
        <v>4159</v>
      </c>
      <c r="K1086" s="1">
        <v>1</v>
      </c>
      <c r="L1086" s="1" t="s">
        <v>4277</v>
      </c>
      <c r="M1086" s="1" t="s">
        <v>4278</v>
      </c>
      <c r="N1086" s="6" t="str">
        <f t="shared" si="33"/>
        <v>Jan</v>
      </c>
      <c r="O1086" s="1">
        <v>70.819999999999993</v>
      </c>
      <c r="T1086" s="4"/>
      <c r="U1086" s="1" t="str">
        <f t="shared" si="34"/>
        <v>Normal</v>
      </c>
    </row>
    <row r="1087" spans="1:21" x14ac:dyDescent="0.25">
      <c r="A1087" s="1" t="s">
        <v>1099</v>
      </c>
      <c r="B1087" s="4">
        <v>45067</v>
      </c>
      <c r="C1087" s="1" t="s">
        <v>2291</v>
      </c>
      <c r="D1087" s="1" t="s">
        <v>2407</v>
      </c>
      <c r="E1087" s="1">
        <v>2</v>
      </c>
      <c r="F1087" s="1">
        <v>646.69000000000005</v>
      </c>
      <c r="G1087" s="1" t="s">
        <v>2545</v>
      </c>
      <c r="H1087" s="1" t="s">
        <v>3065</v>
      </c>
      <c r="I1087" s="1" t="s">
        <v>3070</v>
      </c>
      <c r="J1087" s="1" t="s">
        <v>4160</v>
      </c>
      <c r="K1087" s="1">
        <v>7</v>
      </c>
      <c r="L1087" s="1" t="s">
        <v>4277</v>
      </c>
      <c r="M1087" s="1" t="s">
        <v>4278</v>
      </c>
      <c r="N1087" s="6" t="str">
        <f t="shared" si="33"/>
        <v>May</v>
      </c>
      <c r="O1087" s="1">
        <v>1293.3800000000001</v>
      </c>
      <c r="T1087" s="4"/>
      <c r="U1087" s="1" t="str">
        <f t="shared" si="34"/>
        <v>Normal</v>
      </c>
    </row>
    <row r="1088" spans="1:21" x14ac:dyDescent="0.25">
      <c r="A1088" s="1" t="s">
        <v>1100</v>
      </c>
      <c r="B1088" s="4">
        <v>45283</v>
      </c>
      <c r="C1088" s="1" t="s">
        <v>2292</v>
      </c>
      <c r="D1088" s="1" t="s">
        <v>2405</v>
      </c>
      <c r="E1088" s="1">
        <v>2</v>
      </c>
      <c r="F1088" s="1">
        <v>513.41999999999996</v>
      </c>
      <c r="G1088" s="1" t="s">
        <v>3023</v>
      </c>
      <c r="H1088" s="1" t="s">
        <v>3066</v>
      </c>
      <c r="I1088" s="1" t="s">
        <v>3074</v>
      </c>
      <c r="J1088" s="1" t="s">
        <v>4161</v>
      </c>
      <c r="K1088" s="1">
        <v>5</v>
      </c>
      <c r="L1088" s="1" t="s">
        <v>4277</v>
      </c>
      <c r="M1088" s="1" t="s">
        <v>4278</v>
      </c>
      <c r="N1088" s="6" t="str">
        <f t="shared" si="33"/>
        <v>Dec</v>
      </c>
      <c r="O1088" s="1">
        <v>1026.8399999999999</v>
      </c>
      <c r="T1088" s="4"/>
      <c r="U1088" s="1" t="str">
        <f t="shared" si="34"/>
        <v>Normal</v>
      </c>
    </row>
    <row r="1089" spans="1:21" x14ac:dyDescent="0.25">
      <c r="A1089" s="1" t="s">
        <v>1101</v>
      </c>
      <c r="B1089" s="4">
        <v>45739</v>
      </c>
      <c r="C1089" s="1" t="s">
        <v>2293</v>
      </c>
      <c r="D1089" s="1" t="s">
        <v>2408</v>
      </c>
      <c r="E1089" s="1">
        <v>4</v>
      </c>
      <c r="F1089" s="1">
        <v>693.07</v>
      </c>
      <c r="G1089" s="1" t="s">
        <v>3024</v>
      </c>
      <c r="H1089" s="1" t="s">
        <v>3066</v>
      </c>
      <c r="I1089" s="1" t="s">
        <v>3070</v>
      </c>
      <c r="J1089" s="1" t="s">
        <v>4162</v>
      </c>
      <c r="K1089" s="1">
        <v>8</v>
      </c>
      <c r="L1089" s="1" t="s">
        <v>4275</v>
      </c>
      <c r="M1089" s="1" t="s">
        <v>4278</v>
      </c>
      <c r="N1089" s="6" t="str">
        <f t="shared" si="33"/>
        <v>Mar</v>
      </c>
      <c r="O1089" s="1">
        <v>2772.28</v>
      </c>
      <c r="T1089" s="4"/>
      <c r="U1089" s="1" t="str">
        <f t="shared" si="34"/>
        <v>Normal</v>
      </c>
    </row>
    <row r="1090" spans="1:21" x14ac:dyDescent="0.25">
      <c r="A1090" s="1" t="s">
        <v>1102</v>
      </c>
      <c r="B1090" s="4">
        <v>45260</v>
      </c>
      <c r="C1090" s="1" t="s">
        <v>2294</v>
      </c>
      <c r="D1090" s="1" t="s">
        <v>2409</v>
      </c>
      <c r="E1090" s="1">
        <v>3</v>
      </c>
      <c r="F1090" s="1">
        <v>491.43</v>
      </c>
      <c r="G1090" s="1" t="s">
        <v>3025</v>
      </c>
      <c r="H1090" s="1" t="s">
        <v>3068</v>
      </c>
      <c r="I1090" s="1" t="s">
        <v>3070</v>
      </c>
      <c r="J1090" s="1" t="s">
        <v>4163</v>
      </c>
      <c r="K1090" s="1">
        <v>6</v>
      </c>
      <c r="L1090" s="1" t="s">
        <v>4277</v>
      </c>
      <c r="M1090" s="1" t="s">
        <v>4278</v>
      </c>
      <c r="N1090" s="6" t="str">
        <f t="shared" ref="N1090:N1153" si="35">TEXT(B1090,"MMM")</f>
        <v>Nov</v>
      </c>
      <c r="O1090" s="1">
        <v>1474.29</v>
      </c>
      <c r="T1090" s="4"/>
      <c r="U1090" s="1" t="str">
        <f t="shared" si="34"/>
        <v>Normal</v>
      </c>
    </row>
    <row r="1091" spans="1:21" x14ac:dyDescent="0.25">
      <c r="A1091" s="1" t="s">
        <v>1103</v>
      </c>
      <c r="B1091" s="4">
        <v>45731</v>
      </c>
      <c r="C1091" s="1" t="s">
        <v>2295</v>
      </c>
      <c r="D1091" s="1" t="s">
        <v>2405</v>
      </c>
      <c r="E1091" s="1">
        <v>2</v>
      </c>
      <c r="F1091" s="1">
        <v>599.74</v>
      </c>
      <c r="G1091" s="1" t="s">
        <v>2473</v>
      </c>
      <c r="H1091" s="1" t="s">
        <v>3068</v>
      </c>
      <c r="I1091" s="1" t="s">
        <v>3070</v>
      </c>
      <c r="J1091" s="1" t="s">
        <v>4164</v>
      </c>
      <c r="K1091" s="1">
        <v>2</v>
      </c>
      <c r="L1091" s="1" t="s">
        <v>4283</v>
      </c>
      <c r="M1091" s="1" t="s">
        <v>4278</v>
      </c>
      <c r="N1091" s="6" t="str">
        <f t="shared" si="35"/>
        <v>Mar</v>
      </c>
      <c r="O1091" s="1">
        <v>1199.48</v>
      </c>
      <c r="T1091" s="4"/>
      <c r="U1091" s="1" t="str">
        <f t="shared" ref="U1091:U1154" si="36">IF(O1091&gt;$S$2,"Outlier","Normal")</f>
        <v>Normal</v>
      </c>
    </row>
    <row r="1092" spans="1:21" x14ac:dyDescent="0.25">
      <c r="A1092" s="1" t="s">
        <v>1104</v>
      </c>
      <c r="B1092" s="4">
        <v>44982</v>
      </c>
      <c r="C1092" s="1" t="s">
        <v>2296</v>
      </c>
      <c r="D1092" s="1" t="s">
        <v>2403</v>
      </c>
      <c r="E1092" s="1">
        <v>2</v>
      </c>
      <c r="F1092" s="1">
        <v>650.25</v>
      </c>
      <c r="G1092" s="1" t="s">
        <v>2441</v>
      </c>
      <c r="H1092" s="1" t="s">
        <v>3068</v>
      </c>
      <c r="I1092" s="1" t="s">
        <v>3072</v>
      </c>
      <c r="J1092" s="1" t="s">
        <v>4165</v>
      </c>
      <c r="K1092" s="1">
        <v>6</v>
      </c>
      <c r="L1092" s="1" t="s">
        <v>4283</v>
      </c>
      <c r="M1092" s="1" t="s">
        <v>4278</v>
      </c>
      <c r="N1092" s="6" t="str">
        <f t="shared" si="35"/>
        <v>Feb</v>
      </c>
      <c r="O1092" s="1">
        <v>1300.5</v>
      </c>
      <c r="T1092" s="4"/>
      <c r="U1092" s="1" t="str">
        <f t="shared" si="36"/>
        <v>Normal</v>
      </c>
    </row>
    <row r="1093" spans="1:21" x14ac:dyDescent="0.25">
      <c r="A1093" s="1" t="s">
        <v>1105</v>
      </c>
      <c r="B1093" s="4">
        <v>45573</v>
      </c>
      <c r="C1093" s="1" t="s">
        <v>2297</v>
      </c>
      <c r="D1093" s="1" t="s">
        <v>2408</v>
      </c>
      <c r="E1093" s="1">
        <v>3</v>
      </c>
      <c r="F1093" s="1">
        <v>209.48</v>
      </c>
      <c r="G1093" s="1" t="s">
        <v>2739</v>
      </c>
      <c r="H1093" s="1" t="s">
        <v>3065</v>
      </c>
      <c r="I1093" s="1" t="s">
        <v>3074</v>
      </c>
      <c r="J1093" s="1" t="s">
        <v>4166</v>
      </c>
      <c r="K1093" s="1">
        <v>4</v>
      </c>
      <c r="L1093" s="1" t="s">
        <v>4283</v>
      </c>
      <c r="M1093" s="1" t="s">
        <v>4280</v>
      </c>
      <c r="N1093" s="6" t="str">
        <f t="shared" si="35"/>
        <v>Oct</v>
      </c>
      <c r="O1093" s="1">
        <v>628.43999999999994</v>
      </c>
      <c r="T1093" s="4"/>
      <c r="U1093" s="1" t="str">
        <f t="shared" si="36"/>
        <v>Normal</v>
      </c>
    </row>
    <row r="1094" spans="1:21" x14ac:dyDescent="0.25">
      <c r="A1094" s="1" t="s">
        <v>1106</v>
      </c>
      <c r="B1094" s="4">
        <v>45159</v>
      </c>
      <c r="C1094" s="1" t="s">
        <v>2298</v>
      </c>
      <c r="D1094" s="1" t="s">
        <v>2408</v>
      </c>
      <c r="E1094" s="1">
        <v>5</v>
      </c>
      <c r="F1094" s="1">
        <v>209.2</v>
      </c>
      <c r="G1094" s="1" t="s">
        <v>2439</v>
      </c>
      <c r="H1094" s="1" t="s">
        <v>3065</v>
      </c>
      <c r="I1094" s="1" t="s">
        <v>3073</v>
      </c>
      <c r="J1094" s="1" t="s">
        <v>4167</v>
      </c>
      <c r="K1094" s="1">
        <v>6</v>
      </c>
      <c r="L1094" s="1" t="s">
        <v>4277</v>
      </c>
      <c r="M1094" s="1" t="s">
        <v>4280</v>
      </c>
      <c r="N1094" s="6" t="str">
        <f t="shared" si="35"/>
        <v>Aug</v>
      </c>
      <c r="O1094" s="1">
        <v>1046</v>
      </c>
      <c r="T1094" s="4"/>
      <c r="U1094" s="1" t="str">
        <f t="shared" si="36"/>
        <v>Normal</v>
      </c>
    </row>
    <row r="1095" spans="1:21" x14ac:dyDescent="0.25">
      <c r="A1095" s="1" t="s">
        <v>1107</v>
      </c>
      <c r="B1095" s="4">
        <v>45086</v>
      </c>
      <c r="C1095" s="1" t="s">
        <v>2299</v>
      </c>
      <c r="D1095" s="1" t="s">
        <v>2404</v>
      </c>
      <c r="E1095" s="1">
        <v>4</v>
      </c>
      <c r="F1095" s="1">
        <v>197.36</v>
      </c>
      <c r="G1095" s="1" t="s">
        <v>3026</v>
      </c>
      <c r="H1095" s="1" t="s">
        <v>3068</v>
      </c>
      <c r="I1095" s="1" t="s">
        <v>3072</v>
      </c>
      <c r="J1095" s="1" t="s">
        <v>4168</v>
      </c>
      <c r="K1095" s="1">
        <v>9</v>
      </c>
      <c r="L1095" s="1" t="s">
        <v>4276</v>
      </c>
      <c r="M1095" s="1" t="s">
        <v>4278</v>
      </c>
      <c r="N1095" s="6" t="str">
        <f t="shared" si="35"/>
        <v>Jun</v>
      </c>
      <c r="O1095" s="1">
        <v>789.44</v>
      </c>
      <c r="T1095" s="4"/>
      <c r="U1095" s="1" t="str">
        <f t="shared" si="36"/>
        <v>Normal</v>
      </c>
    </row>
    <row r="1096" spans="1:21" x14ac:dyDescent="0.25">
      <c r="A1096" s="1" t="s">
        <v>1108</v>
      </c>
      <c r="B1096" s="4">
        <v>45105</v>
      </c>
      <c r="C1096" s="1" t="s">
        <v>2300</v>
      </c>
      <c r="D1096" s="1" t="s">
        <v>2407</v>
      </c>
      <c r="E1096" s="1">
        <v>4</v>
      </c>
      <c r="F1096" s="1">
        <v>648.91</v>
      </c>
      <c r="G1096" s="1" t="s">
        <v>3027</v>
      </c>
      <c r="H1096" s="1" t="s">
        <v>3067</v>
      </c>
      <c r="I1096" s="1" t="s">
        <v>3070</v>
      </c>
      <c r="J1096" s="1" t="s">
        <v>4169</v>
      </c>
      <c r="K1096" s="1">
        <v>6</v>
      </c>
      <c r="L1096" s="1" t="s">
        <v>4275</v>
      </c>
      <c r="M1096" s="1" t="s">
        <v>4278</v>
      </c>
      <c r="N1096" s="6" t="str">
        <f t="shared" si="35"/>
        <v>Jun</v>
      </c>
      <c r="O1096" s="1">
        <v>2595.64</v>
      </c>
      <c r="T1096" s="4"/>
      <c r="U1096" s="1" t="str">
        <f t="shared" si="36"/>
        <v>Normal</v>
      </c>
    </row>
    <row r="1097" spans="1:21" x14ac:dyDescent="0.25">
      <c r="A1097" s="1" t="s">
        <v>1109</v>
      </c>
      <c r="B1097" s="4">
        <v>45405</v>
      </c>
      <c r="C1097" s="1" t="s">
        <v>2301</v>
      </c>
      <c r="D1097" s="1" t="s">
        <v>2404</v>
      </c>
      <c r="E1097" s="1">
        <v>2</v>
      </c>
      <c r="F1097" s="1">
        <v>441.54</v>
      </c>
      <c r="G1097" s="1" t="s">
        <v>3028</v>
      </c>
      <c r="H1097" s="1" t="s">
        <v>3066</v>
      </c>
      <c r="I1097" s="1" t="s">
        <v>3073</v>
      </c>
      <c r="J1097" s="1" t="s">
        <v>4170</v>
      </c>
      <c r="K1097" s="1">
        <v>2</v>
      </c>
      <c r="L1097" s="1" t="s">
        <v>4275</v>
      </c>
      <c r="M1097" s="1" t="s">
        <v>4280</v>
      </c>
      <c r="N1097" s="6" t="str">
        <f t="shared" si="35"/>
        <v>Apr</v>
      </c>
      <c r="O1097" s="1">
        <v>883.08</v>
      </c>
      <c r="T1097" s="4"/>
      <c r="U1097" s="1" t="str">
        <f t="shared" si="36"/>
        <v>Normal</v>
      </c>
    </row>
    <row r="1098" spans="1:21" x14ac:dyDescent="0.25">
      <c r="A1098" s="1" t="s">
        <v>1110</v>
      </c>
      <c r="B1098" s="4">
        <v>45780</v>
      </c>
      <c r="C1098" s="1" t="s">
        <v>2302</v>
      </c>
      <c r="D1098" s="1" t="s">
        <v>2405</v>
      </c>
      <c r="E1098" s="1">
        <v>2</v>
      </c>
      <c r="F1098" s="1">
        <v>464.92</v>
      </c>
      <c r="G1098" s="1" t="s">
        <v>3029</v>
      </c>
      <c r="H1098" s="1" t="s">
        <v>3065</v>
      </c>
      <c r="I1098" s="1" t="s">
        <v>3072</v>
      </c>
      <c r="J1098" s="1" t="s">
        <v>4171</v>
      </c>
      <c r="K1098" s="1">
        <v>2</v>
      </c>
      <c r="L1098" s="1" t="s">
        <v>4283</v>
      </c>
      <c r="M1098" s="1" t="s">
        <v>4281</v>
      </c>
      <c r="N1098" s="6" t="str">
        <f t="shared" si="35"/>
        <v>May</v>
      </c>
      <c r="O1098" s="1">
        <v>929.84</v>
      </c>
      <c r="T1098" s="4"/>
      <c r="U1098" s="1" t="str">
        <f t="shared" si="36"/>
        <v>Normal</v>
      </c>
    </row>
    <row r="1099" spans="1:21" x14ac:dyDescent="0.25">
      <c r="A1099" s="1" t="s">
        <v>1111</v>
      </c>
      <c r="B1099" s="4">
        <v>45652</v>
      </c>
      <c r="C1099" s="1" t="s">
        <v>2303</v>
      </c>
      <c r="D1099" s="1" t="s">
        <v>2403</v>
      </c>
      <c r="E1099" s="1">
        <v>5</v>
      </c>
      <c r="F1099" s="1">
        <v>506.45</v>
      </c>
      <c r="G1099" s="1" t="s">
        <v>3030</v>
      </c>
      <c r="H1099" s="1" t="s">
        <v>3068</v>
      </c>
      <c r="I1099" s="1" t="s">
        <v>3070</v>
      </c>
      <c r="J1099" s="1" t="s">
        <v>4172</v>
      </c>
      <c r="K1099" s="1">
        <v>7</v>
      </c>
      <c r="L1099" s="1" t="s">
        <v>4277</v>
      </c>
      <c r="M1099" s="1" t="s">
        <v>4282</v>
      </c>
      <c r="N1099" s="6" t="str">
        <f t="shared" si="35"/>
        <v>Dec</v>
      </c>
      <c r="O1099" s="1">
        <v>2532.25</v>
      </c>
      <c r="T1099" s="4"/>
      <c r="U1099" s="1" t="str">
        <f t="shared" si="36"/>
        <v>Normal</v>
      </c>
    </row>
    <row r="1100" spans="1:21" x14ac:dyDescent="0.25">
      <c r="A1100" s="1" t="s">
        <v>1112</v>
      </c>
      <c r="B1100" s="4">
        <v>45094</v>
      </c>
      <c r="C1100" s="1" t="s">
        <v>2304</v>
      </c>
      <c r="D1100" s="1" t="s">
        <v>2403</v>
      </c>
      <c r="E1100" s="1">
        <v>4</v>
      </c>
      <c r="F1100" s="1">
        <v>255.86</v>
      </c>
      <c r="G1100" s="1" t="s">
        <v>3031</v>
      </c>
      <c r="H1100" s="1" t="s">
        <v>3067</v>
      </c>
      <c r="I1100" s="1" t="s">
        <v>3073</v>
      </c>
      <c r="J1100" s="1" t="s">
        <v>4173</v>
      </c>
      <c r="K1100" s="1">
        <v>7</v>
      </c>
      <c r="L1100" s="1" t="s">
        <v>4283</v>
      </c>
      <c r="M1100" s="1" t="s">
        <v>4280</v>
      </c>
      <c r="N1100" s="6" t="str">
        <f t="shared" si="35"/>
        <v>Jun</v>
      </c>
      <c r="O1100" s="1">
        <v>1023.44</v>
      </c>
      <c r="T1100" s="4"/>
      <c r="U1100" s="1" t="str">
        <f t="shared" si="36"/>
        <v>Normal</v>
      </c>
    </row>
    <row r="1101" spans="1:21" x14ac:dyDescent="0.25">
      <c r="A1101" s="1" t="s">
        <v>1113</v>
      </c>
      <c r="B1101" s="4">
        <v>45554</v>
      </c>
      <c r="C1101" s="1" t="s">
        <v>2305</v>
      </c>
      <c r="D1101" s="1" t="s">
        <v>2408</v>
      </c>
      <c r="E1101" s="1">
        <v>2</v>
      </c>
      <c r="F1101" s="1">
        <v>125.23</v>
      </c>
      <c r="G1101" s="1" t="s">
        <v>2724</v>
      </c>
      <c r="H1101" s="1" t="s">
        <v>3069</v>
      </c>
      <c r="I1101" s="1" t="s">
        <v>3071</v>
      </c>
      <c r="J1101" s="1" t="s">
        <v>4174</v>
      </c>
      <c r="K1101" s="1">
        <v>3</v>
      </c>
      <c r="L1101" s="1" t="s">
        <v>4276</v>
      </c>
      <c r="M1101" s="1" t="s">
        <v>4280</v>
      </c>
      <c r="N1101" s="6" t="str">
        <f t="shared" si="35"/>
        <v>Sep</v>
      </c>
      <c r="O1101" s="1">
        <v>250.46</v>
      </c>
      <c r="T1101" s="4"/>
      <c r="U1101" s="1" t="str">
        <f t="shared" si="36"/>
        <v>Normal</v>
      </c>
    </row>
    <row r="1102" spans="1:21" x14ac:dyDescent="0.25">
      <c r="A1102" s="1" t="s">
        <v>1114</v>
      </c>
      <c r="B1102" s="4">
        <v>45155</v>
      </c>
      <c r="C1102" s="1" t="s">
        <v>2306</v>
      </c>
      <c r="D1102" s="1" t="s">
        <v>2408</v>
      </c>
      <c r="E1102" s="1">
        <v>5</v>
      </c>
      <c r="F1102" s="1">
        <v>38.11</v>
      </c>
      <c r="G1102" s="1" t="s">
        <v>3032</v>
      </c>
      <c r="H1102" s="1" t="s">
        <v>3065</v>
      </c>
      <c r="I1102" s="1" t="s">
        <v>3071</v>
      </c>
      <c r="J1102" s="1" t="s">
        <v>4175</v>
      </c>
      <c r="K1102" s="1">
        <v>6</v>
      </c>
      <c r="L1102" s="1" t="s">
        <v>4277</v>
      </c>
      <c r="M1102" s="1" t="s">
        <v>4278</v>
      </c>
      <c r="N1102" s="6" t="str">
        <f t="shared" si="35"/>
        <v>Aug</v>
      </c>
      <c r="O1102" s="1">
        <v>190.55</v>
      </c>
      <c r="T1102" s="4"/>
      <c r="U1102" s="1" t="str">
        <f t="shared" si="36"/>
        <v>Normal</v>
      </c>
    </row>
    <row r="1103" spans="1:21" x14ac:dyDescent="0.25">
      <c r="A1103" s="1" t="s">
        <v>1115</v>
      </c>
      <c r="B1103" s="4">
        <v>45816</v>
      </c>
      <c r="C1103" s="1" t="s">
        <v>2307</v>
      </c>
      <c r="D1103" s="1" t="s">
        <v>2403</v>
      </c>
      <c r="E1103" s="1">
        <v>3</v>
      </c>
      <c r="F1103" s="1">
        <v>161.97</v>
      </c>
      <c r="G1103" s="1" t="s">
        <v>2418</v>
      </c>
      <c r="H1103" s="1" t="s">
        <v>3069</v>
      </c>
      <c r="I1103" s="1" t="s">
        <v>3074</v>
      </c>
      <c r="J1103" s="1" t="s">
        <v>4176</v>
      </c>
      <c r="K1103" s="1">
        <v>4</v>
      </c>
      <c r="L1103" s="1" t="s">
        <v>4275</v>
      </c>
      <c r="M1103" s="1" t="s">
        <v>4280</v>
      </c>
      <c r="N1103" s="6" t="str">
        <f t="shared" si="35"/>
        <v>Jun</v>
      </c>
      <c r="O1103" s="1">
        <v>485.91</v>
      </c>
      <c r="T1103" s="4"/>
      <c r="U1103" s="1" t="str">
        <f t="shared" si="36"/>
        <v>Normal</v>
      </c>
    </row>
    <row r="1104" spans="1:21" x14ac:dyDescent="0.25">
      <c r="A1104" s="1" t="s">
        <v>1116</v>
      </c>
      <c r="B1104" s="4">
        <v>45446</v>
      </c>
      <c r="C1104" s="1" t="s">
        <v>1228</v>
      </c>
      <c r="D1104" s="1" t="s">
        <v>2406</v>
      </c>
      <c r="E1104" s="1">
        <v>4</v>
      </c>
      <c r="F1104" s="1">
        <v>347.17</v>
      </c>
      <c r="G1104" s="1" t="s">
        <v>2904</v>
      </c>
      <c r="H1104" s="1" t="s">
        <v>3065</v>
      </c>
      <c r="I1104" s="1" t="s">
        <v>3070</v>
      </c>
      <c r="J1104" s="1" t="s">
        <v>4177</v>
      </c>
      <c r="K1104" s="1">
        <v>8</v>
      </c>
      <c r="L1104" s="1" t="s">
        <v>4283</v>
      </c>
      <c r="M1104" s="1" t="s">
        <v>4278</v>
      </c>
      <c r="N1104" s="6" t="str">
        <f t="shared" si="35"/>
        <v>Jun</v>
      </c>
      <c r="O1104" s="1">
        <v>1388.68</v>
      </c>
      <c r="T1104" s="4"/>
      <c r="U1104" s="1" t="str">
        <f t="shared" si="36"/>
        <v>Normal</v>
      </c>
    </row>
    <row r="1105" spans="1:21" x14ac:dyDescent="0.25">
      <c r="A1105" s="1" t="s">
        <v>1117</v>
      </c>
      <c r="B1105" s="4">
        <v>45040</v>
      </c>
      <c r="C1105" s="1" t="s">
        <v>2308</v>
      </c>
      <c r="D1105" s="1" t="s">
        <v>2408</v>
      </c>
      <c r="E1105" s="1">
        <v>4</v>
      </c>
      <c r="F1105" s="1">
        <v>276.32</v>
      </c>
      <c r="G1105" s="1" t="s">
        <v>2477</v>
      </c>
      <c r="H1105" s="1" t="s">
        <v>3066</v>
      </c>
      <c r="I1105" s="1" t="s">
        <v>3073</v>
      </c>
      <c r="J1105" s="1" t="s">
        <v>4178</v>
      </c>
      <c r="K1105" s="1">
        <v>5</v>
      </c>
      <c r="L1105" s="1" t="s">
        <v>4283</v>
      </c>
      <c r="M1105" s="1" t="s">
        <v>4282</v>
      </c>
      <c r="N1105" s="6" t="str">
        <f t="shared" si="35"/>
        <v>Apr</v>
      </c>
      <c r="O1105" s="1">
        <v>1105.28</v>
      </c>
      <c r="T1105" s="4"/>
      <c r="U1105" s="1" t="str">
        <f t="shared" si="36"/>
        <v>Normal</v>
      </c>
    </row>
    <row r="1106" spans="1:21" x14ac:dyDescent="0.25">
      <c r="A1106" s="1" t="s">
        <v>1118</v>
      </c>
      <c r="B1106" s="4">
        <v>45498</v>
      </c>
      <c r="C1106" s="1" t="s">
        <v>2309</v>
      </c>
      <c r="D1106" s="1" t="s">
        <v>2405</v>
      </c>
      <c r="E1106" s="1">
        <v>4</v>
      </c>
      <c r="F1106" s="1">
        <v>314.76</v>
      </c>
      <c r="G1106" s="1" t="s">
        <v>3033</v>
      </c>
      <c r="H1106" s="1" t="s">
        <v>3066</v>
      </c>
      <c r="I1106" s="1" t="s">
        <v>3070</v>
      </c>
      <c r="J1106" s="1" t="s">
        <v>4179</v>
      </c>
      <c r="K1106" s="1">
        <v>8</v>
      </c>
      <c r="L1106" s="1" t="s">
        <v>4283</v>
      </c>
      <c r="M1106" s="1" t="s">
        <v>4278</v>
      </c>
      <c r="N1106" s="6" t="str">
        <f t="shared" si="35"/>
        <v>Jul</v>
      </c>
      <c r="O1106" s="1">
        <v>1259.04</v>
      </c>
      <c r="T1106" s="4"/>
      <c r="U1106" s="1" t="str">
        <f t="shared" si="36"/>
        <v>Normal</v>
      </c>
    </row>
    <row r="1107" spans="1:21" x14ac:dyDescent="0.25">
      <c r="A1107" s="1" t="s">
        <v>1119</v>
      </c>
      <c r="B1107" s="4">
        <v>45299</v>
      </c>
      <c r="C1107" s="1" t="s">
        <v>2310</v>
      </c>
      <c r="D1107" s="1" t="s">
        <v>2405</v>
      </c>
      <c r="E1107" s="1">
        <v>3</v>
      </c>
      <c r="F1107" s="1">
        <v>475.69</v>
      </c>
      <c r="G1107" s="1" t="s">
        <v>2644</v>
      </c>
      <c r="H1107" s="1" t="s">
        <v>3068</v>
      </c>
      <c r="I1107" s="1" t="s">
        <v>3071</v>
      </c>
      <c r="J1107" s="1" t="s">
        <v>4180</v>
      </c>
      <c r="K1107" s="1">
        <v>3</v>
      </c>
      <c r="L1107" s="1" t="s">
        <v>4276</v>
      </c>
      <c r="M1107" s="1" t="s">
        <v>4282</v>
      </c>
      <c r="N1107" s="6" t="str">
        <f t="shared" si="35"/>
        <v>Jan</v>
      </c>
      <c r="O1107" s="1">
        <v>1427.07</v>
      </c>
      <c r="T1107" s="4"/>
      <c r="U1107" s="1" t="str">
        <f t="shared" si="36"/>
        <v>Normal</v>
      </c>
    </row>
    <row r="1108" spans="1:21" x14ac:dyDescent="0.25">
      <c r="A1108" s="1" t="s">
        <v>1120</v>
      </c>
      <c r="B1108" s="4">
        <v>44997</v>
      </c>
      <c r="C1108" s="1" t="s">
        <v>2311</v>
      </c>
      <c r="D1108" s="1" t="s">
        <v>2406</v>
      </c>
      <c r="E1108" s="1">
        <v>1</v>
      </c>
      <c r="F1108" s="1">
        <v>372.8</v>
      </c>
      <c r="G1108" s="1" t="s">
        <v>2423</v>
      </c>
      <c r="H1108" s="1" t="s">
        <v>3069</v>
      </c>
      <c r="I1108" s="1" t="s">
        <v>3071</v>
      </c>
      <c r="J1108" s="1" t="s">
        <v>4181</v>
      </c>
      <c r="K1108" s="1">
        <v>6</v>
      </c>
      <c r="L1108" s="1" t="s">
        <v>4275</v>
      </c>
      <c r="M1108" s="1" t="s">
        <v>4281</v>
      </c>
      <c r="N1108" s="6" t="str">
        <f t="shared" si="35"/>
        <v>Mar</v>
      </c>
      <c r="O1108" s="1">
        <v>372.8</v>
      </c>
      <c r="T1108" s="4"/>
      <c r="U1108" s="1" t="str">
        <f t="shared" si="36"/>
        <v>Normal</v>
      </c>
    </row>
    <row r="1109" spans="1:21" x14ac:dyDescent="0.25">
      <c r="A1109" s="1" t="s">
        <v>1121</v>
      </c>
      <c r="B1109" s="4">
        <v>45838</v>
      </c>
      <c r="C1109" s="1" t="s">
        <v>2312</v>
      </c>
      <c r="D1109" s="1" t="s">
        <v>2405</v>
      </c>
      <c r="E1109" s="1">
        <v>2</v>
      </c>
      <c r="F1109" s="1">
        <v>63.21</v>
      </c>
      <c r="G1109" s="1" t="s">
        <v>2839</v>
      </c>
      <c r="H1109" s="1" t="s">
        <v>3066</v>
      </c>
      <c r="I1109" s="1" t="s">
        <v>3071</v>
      </c>
      <c r="J1109" s="1" t="s">
        <v>4182</v>
      </c>
      <c r="K1109" s="1">
        <v>4</v>
      </c>
      <c r="L1109" s="1" t="s">
        <v>4275</v>
      </c>
      <c r="M1109" s="1" t="s">
        <v>4282</v>
      </c>
      <c r="N1109" s="6" t="str">
        <f t="shared" si="35"/>
        <v>Jun</v>
      </c>
      <c r="O1109" s="1">
        <v>126.42</v>
      </c>
      <c r="T1109" s="4"/>
      <c r="U1109" s="1" t="str">
        <f t="shared" si="36"/>
        <v>Normal</v>
      </c>
    </row>
    <row r="1110" spans="1:21" x14ac:dyDescent="0.25">
      <c r="A1110" s="1" t="s">
        <v>1122</v>
      </c>
      <c r="B1110" s="4">
        <v>45005</v>
      </c>
      <c r="C1110" s="1" t="s">
        <v>2313</v>
      </c>
      <c r="D1110" s="1" t="s">
        <v>2408</v>
      </c>
      <c r="E1110" s="1">
        <v>1</v>
      </c>
      <c r="F1110" s="1">
        <v>634.94000000000005</v>
      </c>
      <c r="G1110" s="1" t="s">
        <v>3034</v>
      </c>
      <c r="H1110" s="1" t="s">
        <v>3066</v>
      </c>
      <c r="I1110" s="1" t="s">
        <v>3071</v>
      </c>
      <c r="J1110" s="1" t="s">
        <v>4183</v>
      </c>
      <c r="K1110" s="1">
        <v>5</v>
      </c>
      <c r="L1110" s="1" t="s">
        <v>4277</v>
      </c>
      <c r="M1110" s="1" t="s">
        <v>4278</v>
      </c>
      <c r="N1110" s="6" t="str">
        <f t="shared" si="35"/>
        <v>Mar</v>
      </c>
      <c r="O1110" s="1">
        <v>634.94000000000005</v>
      </c>
      <c r="T1110" s="4"/>
      <c r="U1110" s="1" t="str">
        <f t="shared" si="36"/>
        <v>Normal</v>
      </c>
    </row>
    <row r="1111" spans="1:21" x14ac:dyDescent="0.25">
      <c r="A1111" s="1" t="s">
        <v>1123</v>
      </c>
      <c r="B1111" s="4">
        <v>45390</v>
      </c>
      <c r="C1111" s="1" t="s">
        <v>2314</v>
      </c>
      <c r="D1111" s="1" t="s">
        <v>2407</v>
      </c>
      <c r="E1111" s="1">
        <v>4</v>
      </c>
      <c r="F1111" s="1">
        <v>77.47</v>
      </c>
      <c r="G1111" s="1" t="s">
        <v>2768</v>
      </c>
      <c r="H1111" s="1" t="s">
        <v>3068</v>
      </c>
      <c r="I1111" s="1" t="s">
        <v>3072</v>
      </c>
      <c r="J1111" s="1" t="s">
        <v>4184</v>
      </c>
      <c r="K1111" s="1">
        <v>7</v>
      </c>
      <c r="L1111" s="1" t="s">
        <v>4275</v>
      </c>
      <c r="M1111" s="1" t="s">
        <v>4278</v>
      </c>
      <c r="N1111" s="6" t="str">
        <f t="shared" si="35"/>
        <v>Apr</v>
      </c>
      <c r="O1111" s="1">
        <v>309.88</v>
      </c>
      <c r="T1111" s="4"/>
      <c r="U1111" s="1" t="str">
        <f t="shared" si="36"/>
        <v>Normal</v>
      </c>
    </row>
    <row r="1112" spans="1:21" x14ac:dyDescent="0.25">
      <c r="A1112" s="1" t="s">
        <v>1124</v>
      </c>
      <c r="B1112" s="4">
        <v>45347</v>
      </c>
      <c r="C1112" s="1" t="s">
        <v>2315</v>
      </c>
      <c r="D1112" s="1" t="s">
        <v>2406</v>
      </c>
      <c r="E1112" s="1">
        <v>3</v>
      </c>
      <c r="F1112" s="1">
        <v>84.31</v>
      </c>
      <c r="G1112" s="1" t="s">
        <v>2443</v>
      </c>
      <c r="H1112" s="1" t="s">
        <v>3067</v>
      </c>
      <c r="I1112" s="1" t="s">
        <v>3070</v>
      </c>
      <c r="J1112" s="1" t="s">
        <v>4185</v>
      </c>
      <c r="K1112" s="1">
        <v>3</v>
      </c>
      <c r="L1112" s="1" t="s">
        <v>4275</v>
      </c>
      <c r="M1112" s="1" t="s">
        <v>4280</v>
      </c>
      <c r="N1112" s="6" t="str">
        <f t="shared" si="35"/>
        <v>Feb</v>
      </c>
      <c r="O1112" s="1">
        <v>252.93</v>
      </c>
      <c r="T1112" s="4"/>
      <c r="U1112" s="1" t="str">
        <f t="shared" si="36"/>
        <v>Normal</v>
      </c>
    </row>
    <row r="1113" spans="1:21" x14ac:dyDescent="0.25">
      <c r="A1113" s="1" t="s">
        <v>1125</v>
      </c>
      <c r="B1113" s="4">
        <v>45052</v>
      </c>
      <c r="C1113" s="1" t="s">
        <v>2316</v>
      </c>
      <c r="D1113" s="1" t="s">
        <v>2403</v>
      </c>
      <c r="E1113" s="1">
        <v>4</v>
      </c>
      <c r="F1113" s="1">
        <v>234.45</v>
      </c>
      <c r="G1113" s="1" t="s">
        <v>3035</v>
      </c>
      <c r="H1113" s="1" t="s">
        <v>3066</v>
      </c>
      <c r="I1113" s="1" t="s">
        <v>3071</v>
      </c>
      <c r="J1113" s="1" t="s">
        <v>4186</v>
      </c>
      <c r="K1113" s="1">
        <v>9</v>
      </c>
      <c r="L1113" s="1" t="s">
        <v>4276</v>
      </c>
      <c r="M1113" s="1" t="s">
        <v>4278</v>
      </c>
      <c r="N1113" s="6" t="str">
        <f t="shared" si="35"/>
        <v>May</v>
      </c>
      <c r="O1113" s="1">
        <v>937.8</v>
      </c>
      <c r="T1113" s="4"/>
      <c r="U1113" s="1" t="str">
        <f t="shared" si="36"/>
        <v>Normal</v>
      </c>
    </row>
    <row r="1114" spans="1:21" x14ac:dyDescent="0.25">
      <c r="A1114" s="1" t="s">
        <v>1126</v>
      </c>
      <c r="B1114" s="4">
        <v>45212</v>
      </c>
      <c r="C1114" s="1" t="s">
        <v>2317</v>
      </c>
      <c r="D1114" s="1" t="s">
        <v>2409</v>
      </c>
      <c r="E1114" s="1">
        <v>1</v>
      </c>
      <c r="F1114" s="1">
        <v>356.81</v>
      </c>
      <c r="G1114" s="1" t="s">
        <v>2526</v>
      </c>
      <c r="H1114" s="1" t="s">
        <v>3066</v>
      </c>
      <c r="I1114" s="1" t="s">
        <v>3073</v>
      </c>
      <c r="J1114" s="1" t="s">
        <v>4187</v>
      </c>
      <c r="K1114" s="1">
        <v>1</v>
      </c>
      <c r="L1114" s="1" t="s">
        <v>4277</v>
      </c>
      <c r="M1114" s="1" t="s">
        <v>4278</v>
      </c>
      <c r="N1114" s="6" t="str">
        <f t="shared" si="35"/>
        <v>Oct</v>
      </c>
      <c r="O1114" s="1">
        <v>356.81</v>
      </c>
      <c r="T1114" s="4"/>
      <c r="U1114" s="1" t="str">
        <f t="shared" si="36"/>
        <v>Normal</v>
      </c>
    </row>
    <row r="1115" spans="1:21" x14ac:dyDescent="0.25">
      <c r="A1115" s="1" t="s">
        <v>1127</v>
      </c>
      <c r="B1115" s="4">
        <v>45004</v>
      </c>
      <c r="C1115" s="1" t="s">
        <v>2318</v>
      </c>
      <c r="D1115" s="1" t="s">
        <v>2409</v>
      </c>
      <c r="E1115" s="1">
        <v>4</v>
      </c>
      <c r="F1115" s="1">
        <v>209.99</v>
      </c>
      <c r="G1115" s="1" t="s">
        <v>2982</v>
      </c>
      <c r="H1115" s="1" t="s">
        <v>3069</v>
      </c>
      <c r="I1115" s="1" t="s">
        <v>3073</v>
      </c>
      <c r="J1115" s="1" t="s">
        <v>4188</v>
      </c>
      <c r="K1115" s="1">
        <v>8</v>
      </c>
      <c r="L1115" s="1" t="s">
        <v>4283</v>
      </c>
      <c r="M1115" s="1" t="s">
        <v>4282</v>
      </c>
      <c r="N1115" s="6" t="str">
        <f t="shared" si="35"/>
        <v>Mar</v>
      </c>
      <c r="O1115" s="1">
        <v>839.96</v>
      </c>
      <c r="T1115" s="4"/>
      <c r="U1115" s="1" t="str">
        <f t="shared" si="36"/>
        <v>Normal</v>
      </c>
    </row>
    <row r="1116" spans="1:21" x14ac:dyDescent="0.25">
      <c r="A1116" s="1" t="s">
        <v>1128</v>
      </c>
      <c r="B1116" s="4">
        <v>45001</v>
      </c>
      <c r="C1116" s="1" t="s">
        <v>2319</v>
      </c>
      <c r="D1116" s="1" t="s">
        <v>2405</v>
      </c>
      <c r="E1116" s="1">
        <v>3</v>
      </c>
      <c r="F1116" s="1">
        <v>659.88</v>
      </c>
      <c r="G1116" s="1" t="s">
        <v>2591</v>
      </c>
      <c r="H1116" s="1" t="s">
        <v>3068</v>
      </c>
      <c r="I1116" s="1" t="s">
        <v>3071</v>
      </c>
      <c r="J1116" s="1" t="s">
        <v>4189</v>
      </c>
      <c r="K1116" s="1">
        <v>3</v>
      </c>
      <c r="L1116" s="1" t="s">
        <v>4283</v>
      </c>
      <c r="M1116" s="1" t="s">
        <v>4282</v>
      </c>
      <c r="N1116" s="6" t="str">
        <f t="shared" si="35"/>
        <v>Mar</v>
      </c>
      <c r="O1116" s="1">
        <v>1979.64</v>
      </c>
      <c r="T1116" s="4"/>
      <c r="U1116" s="1" t="str">
        <f t="shared" si="36"/>
        <v>Normal</v>
      </c>
    </row>
    <row r="1117" spans="1:21" x14ac:dyDescent="0.25">
      <c r="A1117" s="1" t="s">
        <v>1129</v>
      </c>
      <c r="B1117" s="4">
        <v>45828</v>
      </c>
      <c r="C1117" s="1" t="s">
        <v>2320</v>
      </c>
      <c r="D1117" s="1" t="s">
        <v>2408</v>
      </c>
      <c r="E1117" s="1">
        <v>2</v>
      </c>
      <c r="F1117" s="1">
        <v>336.32</v>
      </c>
      <c r="G1117" s="1" t="s">
        <v>2613</v>
      </c>
      <c r="H1117" s="1" t="s">
        <v>3066</v>
      </c>
      <c r="I1117" s="1" t="s">
        <v>3072</v>
      </c>
      <c r="J1117" s="1" t="s">
        <v>4190</v>
      </c>
      <c r="K1117" s="1">
        <v>3</v>
      </c>
      <c r="L1117" s="1" t="s">
        <v>4283</v>
      </c>
      <c r="M1117" s="1" t="s">
        <v>4282</v>
      </c>
      <c r="N1117" s="6" t="str">
        <f t="shared" si="35"/>
        <v>Jun</v>
      </c>
      <c r="O1117" s="1">
        <v>672.64</v>
      </c>
      <c r="T1117" s="4"/>
      <c r="U1117" s="1" t="str">
        <f t="shared" si="36"/>
        <v>Normal</v>
      </c>
    </row>
    <row r="1118" spans="1:21" x14ac:dyDescent="0.25">
      <c r="A1118" s="1" t="s">
        <v>1130</v>
      </c>
      <c r="B1118" s="4">
        <v>45213</v>
      </c>
      <c r="C1118" s="1" t="s">
        <v>2321</v>
      </c>
      <c r="D1118" s="1" t="s">
        <v>2407</v>
      </c>
      <c r="E1118" s="1">
        <v>2</v>
      </c>
      <c r="F1118" s="1">
        <v>531.49</v>
      </c>
      <c r="G1118" s="1" t="s">
        <v>2613</v>
      </c>
      <c r="H1118" s="1" t="s">
        <v>3067</v>
      </c>
      <c r="I1118" s="1" t="s">
        <v>3073</v>
      </c>
      <c r="J1118" s="1" t="s">
        <v>4191</v>
      </c>
      <c r="K1118" s="1">
        <v>7</v>
      </c>
      <c r="L1118" s="1" t="s">
        <v>4277</v>
      </c>
      <c r="M1118" s="1" t="s">
        <v>4281</v>
      </c>
      <c r="N1118" s="6" t="str">
        <f t="shared" si="35"/>
        <v>Oct</v>
      </c>
      <c r="O1118" s="1">
        <v>1062.98</v>
      </c>
      <c r="T1118" s="4"/>
      <c r="U1118" s="1" t="str">
        <f t="shared" si="36"/>
        <v>Normal</v>
      </c>
    </row>
    <row r="1119" spans="1:21" x14ac:dyDescent="0.25">
      <c r="A1119" s="1" t="s">
        <v>1131</v>
      </c>
      <c r="B1119" s="4">
        <v>45432</v>
      </c>
      <c r="C1119" s="1" t="s">
        <v>2322</v>
      </c>
      <c r="D1119" s="1" t="s">
        <v>2406</v>
      </c>
      <c r="E1119" s="1">
        <v>3</v>
      </c>
      <c r="F1119" s="1">
        <v>588.44000000000005</v>
      </c>
      <c r="G1119" s="1" t="s">
        <v>2734</v>
      </c>
      <c r="H1119" s="1" t="s">
        <v>3068</v>
      </c>
      <c r="I1119" s="1" t="s">
        <v>3070</v>
      </c>
      <c r="J1119" s="1" t="s">
        <v>4192</v>
      </c>
      <c r="K1119" s="1">
        <v>8</v>
      </c>
      <c r="L1119" s="1" t="s">
        <v>4277</v>
      </c>
      <c r="M1119" s="1" t="s">
        <v>4282</v>
      </c>
      <c r="N1119" s="6" t="str">
        <f t="shared" si="35"/>
        <v>May</v>
      </c>
      <c r="O1119" s="1">
        <v>1765.32</v>
      </c>
      <c r="T1119" s="4"/>
      <c r="U1119" s="1" t="str">
        <f t="shared" si="36"/>
        <v>Normal</v>
      </c>
    </row>
    <row r="1120" spans="1:21" x14ac:dyDescent="0.25">
      <c r="A1120" s="1" t="s">
        <v>1132</v>
      </c>
      <c r="B1120" s="4">
        <v>45436</v>
      </c>
      <c r="C1120" s="1" t="s">
        <v>2323</v>
      </c>
      <c r="D1120" s="1" t="s">
        <v>2404</v>
      </c>
      <c r="E1120" s="1">
        <v>3</v>
      </c>
      <c r="F1120" s="1">
        <v>251.48</v>
      </c>
      <c r="G1120" s="1" t="s">
        <v>2729</v>
      </c>
      <c r="H1120" s="1" t="s">
        <v>3067</v>
      </c>
      <c r="I1120" s="1" t="s">
        <v>3072</v>
      </c>
      <c r="J1120" s="1" t="s">
        <v>4193</v>
      </c>
      <c r="K1120" s="1">
        <v>4</v>
      </c>
      <c r="L1120" s="1" t="s">
        <v>4283</v>
      </c>
      <c r="M1120" s="1" t="s">
        <v>4280</v>
      </c>
      <c r="N1120" s="6" t="str">
        <f t="shared" si="35"/>
        <v>May</v>
      </c>
      <c r="O1120" s="1">
        <v>754.43999999999994</v>
      </c>
      <c r="T1120" s="4"/>
      <c r="U1120" s="1" t="str">
        <f t="shared" si="36"/>
        <v>Normal</v>
      </c>
    </row>
    <row r="1121" spans="1:21" x14ac:dyDescent="0.25">
      <c r="A1121" s="1" t="s">
        <v>1133</v>
      </c>
      <c r="B1121" s="4">
        <v>45620</v>
      </c>
      <c r="C1121" s="1" t="s">
        <v>2324</v>
      </c>
      <c r="D1121" s="1" t="s">
        <v>2408</v>
      </c>
      <c r="E1121" s="1">
        <v>1</v>
      </c>
      <c r="F1121" s="1">
        <v>684.65</v>
      </c>
      <c r="G1121" s="1" t="s">
        <v>2634</v>
      </c>
      <c r="H1121" s="1" t="s">
        <v>3067</v>
      </c>
      <c r="I1121" s="1" t="s">
        <v>3073</v>
      </c>
      <c r="J1121" s="1" t="s">
        <v>4194</v>
      </c>
      <c r="K1121" s="1">
        <v>1</v>
      </c>
      <c r="L1121" s="1" t="s">
        <v>4276</v>
      </c>
      <c r="M1121" s="1" t="s">
        <v>4280</v>
      </c>
      <c r="N1121" s="6" t="str">
        <f t="shared" si="35"/>
        <v>Nov</v>
      </c>
      <c r="O1121" s="1">
        <v>684.65</v>
      </c>
      <c r="T1121" s="4"/>
      <c r="U1121" s="1" t="str">
        <f t="shared" si="36"/>
        <v>Normal</v>
      </c>
    </row>
    <row r="1122" spans="1:21" x14ac:dyDescent="0.25">
      <c r="A1122" s="1" t="s">
        <v>1134</v>
      </c>
      <c r="B1122" s="4">
        <v>45787</v>
      </c>
      <c r="C1122" s="1" t="s">
        <v>2325</v>
      </c>
      <c r="D1122" s="1" t="s">
        <v>2405</v>
      </c>
      <c r="E1122" s="1">
        <v>1</v>
      </c>
      <c r="F1122" s="1">
        <v>195.86</v>
      </c>
      <c r="G1122" s="1" t="s">
        <v>2450</v>
      </c>
      <c r="H1122" s="1" t="s">
        <v>3066</v>
      </c>
      <c r="I1122" s="1" t="s">
        <v>3074</v>
      </c>
      <c r="J1122" s="1" t="s">
        <v>4195</v>
      </c>
      <c r="K1122" s="1">
        <v>3</v>
      </c>
      <c r="L1122" s="1" t="s">
        <v>4283</v>
      </c>
      <c r="M1122" s="1" t="s">
        <v>4281</v>
      </c>
      <c r="N1122" s="6" t="str">
        <f t="shared" si="35"/>
        <v>May</v>
      </c>
      <c r="O1122" s="1">
        <v>195.86</v>
      </c>
      <c r="T1122" s="4"/>
      <c r="U1122" s="1" t="str">
        <f t="shared" si="36"/>
        <v>Normal</v>
      </c>
    </row>
    <row r="1123" spans="1:21" x14ac:dyDescent="0.25">
      <c r="A1123" s="1" t="s">
        <v>1135</v>
      </c>
      <c r="B1123" s="4">
        <v>45074</v>
      </c>
      <c r="C1123" s="1" t="s">
        <v>2326</v>
      </c>
      <c r="D1123" s="1" t="s">
        <v>2404</v>
      </c>
      <c r="E1123" s="1">
        <v>3</v>
      </c>
      <c r="F1123" s="1">
        <v>50.34</v>
      </c>
      <c r="G1123" s="1" t="s">
        <v>2965</v>
      </c>
      <c r="H1123" s="1" t="s">
        <v>3068</v>
      </c>
      <c r="I1123" s="1" t="s">
        <v>3072</v>
      </c>
      <c r="J1123" s="1" t="s">
        <v>4196</v>
      </c>
      <c r="K1123" s="1">
        <v>3</v>
      </c>
      <c r="L1123" s="1" t="s">
        <v>4276</v>
      </c>
      <c r="M1123" s="1" t="s">
        <v>4278</v>
      </c>
      <c r="N1123" s="6" t="str">
        <f t="shared" si="35"/>
        <v>May</v>
      </c>
      <c r="O1123" s="1">
        <v>151.02000000000001</v>
      </c>
      <c r="T1123" s="4"/>
      <c r="U1123" s="1" t="str">
        <f t="shared" si="36"/>
        <v>Normal</v>
      </c>
    </row>
    <row r="1124" spans="1:21" x14ac:dyDescent="0.25">
      <c r="A1124" s="1" t="s">
        <v>1136</v>
      </c>
      <c r="B1124" s="4">
        <v>45084</v>
      </c>
      <c r="C1124" s="1" t="s">
        <v>1480</v>
      </c>
      <c r="D1124" s="1" t="s">
        <v>2403</v>
      </c>
      <c r="E1124" s="1">
        <v>5</v>
      </c>
      <c r="F1124" s="1">
        <v>678.19</v>
      </c>
      <c r="G1124" s="1" t="s">
        <v>3008</v>
      </c>
      <c r="H1124" s="1" t="s">
        <v>3066</v>
      </c>
      <c r="I1124" s="1" t="s">
        <v>3072</v>
      </c>
      <c r="J1124" s="1" t="s">
        <v>4197</v>
      </c>
      <c r="K1124" s="1">
        <v>8</v>
      </c>
      <c r="L1124" s="1" t="s">
        <v>4283</v>
      </c>
      <c r="M1124" s="1" t="s">
        <v>4281</v>
      </c>
      <c r="N1124" s="6" t="str">
        <f t="shared" si="35"/>
        <v>Jun</v>
      </c>
      <c r="O1124" s="1">
        <v>3390.95</v>
      </c>
      <c r="T1124" s="4"/>
      <c r="U1124" s="1" t="str">
        <f t="shared" si="36"/>
        <v>Outlier</v>
      </c>
    </row>
    <row r="1125" spans="1:21" x14ac:dyDescent="0.25">
      <c r="A1125" s="1" t="s">
        <v>1137</v>
      </c>
      <c r="B1125" s="4">
        <v>45030</v>
      </c>
      <c r="C1125" s="1" t="s">
        <v>2327</v>
      </c>
      <c r="D1125" s="1" t="s">
        <v>2405</v>
      </c>
      <c r="E1125" s="1">
        <v>3</v>
      </c>
      <c r="F1125" s="1">
        <v>554.25</v>
      </c>
      <c r="G1125" s="1" t="s">
        <v>3036</v>
      </c>
      <c r="H1125" s="1" t="s">
        <v>3065</v>
      </c>
      <c r="I1125" s="1" t="s">
        <v>3070</v>
      </c>
      <c r="J1125" s="1" t="s">
        <v>4198</v>
      </c>
      <c r="K1125" s="1">
        <v>6</v>
      </c>
      <c r="L1125" s="1" t="s">
        <v>4277</v>
      </c>
      <c r="M1125" s="1" t="s">
        <v>4279</v>
      </c>
      <c r="N1125" s="6" t="str">
        <f t="shared" si="35"/>
        <v>Apr</v>
      </c>
      <c r="O1125" s="1">
        <v>1662.75</v>
      </c>
      <c r="T1125" s="4"/>
      <c r="U1125" s="1" t="str">
        <f t="shared" si="36"/>
        <v>Normal</v>
      </c>
    </row>
    <row r="1126" spans="1:21" x14ac:dyDescent="0.25">
      <c r="A1126" s="1" t="s">
        <v>1138</v>
      </c>
      <c r="B1126" s="4">
        <v>45055</v>
      </c>
      <c r="C1126" s="1" t="s">
        <v>2328</v>
      </c>
      <c r="D1126" s="1" t="s">
        <v>2406</v>
      </c>
      <c r="E1126" s="1">
        <v>4</v>
      </c>
      <c r="F1126" s="1">
        <v>576.87</v>
      </c>
      <c r="G1126" s="1" t="s">
        <v>3037</v>
      </c>
      <c r="H1126" s="1" t="s">
        <v>3068</v>
      </c>
      <c r="I1126" s="1" t="s">
        <v>3072</v>
      </c>
      <c r="J1126" s="1" t="s">
        <v>4199</v>
      </c>
      <c r="K1126" s="1">
        <v>5</v>
      </c>
      <c r="L1126" s="1" t="s">
        <v>4283</v>
      </c>
      <c r="M1126" s="1" t="s">
        <v>4278</v>
      </c>
      <c r="N1126" s="6" t="str">
        <f t="shared" si="35"/>
        <v>May</v>
      </c>
      <c r="O1126" s="1">
        <v>2307.48</v>
      </c>
      <c r="T1126" s="4"/>
      <c r="U1126" s="1" t="str">
        <f t="shared" si="36"/>
        <v>Normal</v>
      </c>
    </row>
    <row r="1127" spans="1:21" x14ac:dyDescent="0.25">
      <c r="A1127" s="1" t="s">
        <v>1139</v>
      </c>
      <c r="B1127" s="4">
        <v>45215</v>
      </c>
      <c r="C1127" s="1" t="s">
        <v>2329</v>
      </c>
      <c r="D1127" s="1" t="s">
        <v>2409</v>
      </c>
      <c r="E1127" s="1">
        <v>4</v>
      </c>
      <c r="F1127" s="1">
        <v>408.36</v>
      </c>
      <c r="G1127" s="1" t="s">
        <v>2958</v>
      </c>
      <c r="H1127" s="1" t="s">
        <v>3068</v>
      </c>
      <c r="I1127" s="1" t="s">
        <v>3071</v>
      </c>
      <c r="J1127" s="1" t="s">
        <v>4200</v>
      </c>
      <c r="K1127" s="1">
        <v>4</v>
      </c>
      <c r="L1127" s="1" t="s">
        <v>4276</v>
      </c>
      <c r="M1127" s="1" t="s">
        <v>4279</v>
      </c>
      <c r="N1127" s="6" t="str">
        <f t="shared" si="35"/>
        <v>Oct</v>
      </c>
      <c r="O1127" s="1">
        <v>1633.44</v>
      </c>
      <c r="T1127" s="4"/>
      <c r="U1127" s="1" t="str">
        <f t="shared" si="36"/>
        <v>Normal</v>
      </c>
    </row>
    <row r="1128" spans="1:21" x14ac:dyDescent="0.25">
      <c r="A1128" s="1" t="s">
        <v>1140</v>
      </c>
      <c r="B1128" s="4">
        <v>45495</v>
      </c>
      <c r="C1128" s="1" t="s">
        <v>2330</v>
      </c>
      <c r="D1128" s="1" t="s">
        <v>2404</v>
      </c>
      <c r="E1128" s="1">
        <v>5</v>
      </c>
      <c r="F1128" s="1">
        <v>190.11</v>
      </c>
      <c r="G1128" s="1" t="s">
        <v>3038</v>
      </c>
      <c r="H1128" s="1" t="s">
        <v>3069</v>
      </c>
      <c r="I1128" s="1" t="s">
        <v>3073</v>
      </c>
      <c r="J1128" s="1" t="s">
        <v>4201</v>
      </c>
      <c r="K1128" s="1">
        <v>7</v>
      </c>
      <c r="L1128" s="1" t="s">
        <v>4275</v>
      </c>
      <c r="M1128" s="1" t="s">
        <v>4282</v>
      </c>
      <c r="N1128" s="6" t="str">
        <f t="shared" si="35"/>
        <v>Jul</v>
      </c>
      <c r="O1128" s="1">
        <v>950.55000000000007</v>
      </c>
      <c r="T1128" s="4"/>
      <c r="U1128" s="1" t="str">
        <f t="shared" si="36"/>
        <v>Normal</v>
      </c>
    </row>
    <row r="1129" spans="1:21" x14ac:dyDescent="0.25">
      <c r="A1129" s="1" t="s">
        <v>1141</v>
      </c>
      <c r="B1129" s="4">
        <v>45731</v>
      </c>
      <c r="C1129" s="1" t="s">
        <v>2331</v>
      </c>
      <c r="D1129" s="1" t="s">
        <v>2407</v>
      </c>
      <c r="E1129" s="1">
        <v>3</v>
      </c>
      <c r="F1129" s="1">
        <v>602.75</v>
      </c>
      <c r="G1129" s="1" t="s">
        <v>2939</v>
      </c>
      <c r="H1129" s="1" t="s">
        <v>3067</v>
      </c>
      <c r="I1129" s="1" t="s">
        <v>3070</v>
      </c>
      <c r="J1129" s="1" t="s">
        <v>4202</v>
      </c>
      <c r="K1129" s="1">
        <v>6</v>
      </c>
      <c r="L1129" s="1" t="s">
        <v>4275</v>
      </c>
      <c r="M1129" s="1" t="s">
        <v>4280</v>
      </c>
      <c r="N1129" s="6" t="str">
        <f t="shared" si="35"/>
        <v>Mar</v>
      </c>
      <c r="O1129" s="1">
        <v>1808.25</v>
      </c>
      <c r="T1129" s="4"/>
      <c r="U1129" s="1" t="str">
        <f t="shared" si="36"/>
        <v>Normal</v>
      </c>
    </row>
    <row r="1130" spans="1:21" x14ac:dyDescent="0.25">
      <c r="A1130" s="1" t="s">
        <v>1142</v>
      </c>
      <c r="B1130" s="4">
        <v>45155</v>
      </c>
      <c r="C1130" s="1" t="s">
        <v>2332</v>
      </c>
      <c r="D1130" s="1" t="s">
        <v>2403</v>
      </c>
      <c r="E1130" s="1">
        <v>3</v>
      </c>
      <c r="F1130" s="1">
        <v>646.79</v>
      </c>
      <c r="G1130" s="1" t="s">
        <v>2490</v>
      </c>
      <c r="H1130" s="1" t="s">
        <v>3069</v>
      </c>
      <c r="I1130" s="1" t="s">
        <v>3071</v>
      </c>
      <c r="J1130" s="1" t="s">
        <v>4203</v>
      </c>
      <c r="K1130" s="1">
        <v>5</v>
      </c>
      <c r="L1130" s="1" t="s">
        <v>4277</v>
      </c>
      <c r="M1130" s="1" t="s">
        <v>4282</v>
      </c>
      <c r="N1130" s="6" t="str">
        <f t="shared" si="35"/>
        <v>Aug</v>
      </c>
      <c r="O1130" s="1">
        <v>1940.37</v>
      </c>
      <c r="T1130" s="4"/>
      <c r="U1130" s="1" t="str">
        <f t="shared" si="36"/>
        <v>Normal</v>
      </c>
    </row>
    <row r="1131" spans="1:21" x14ac:dyDescent="0.25">
      <c r="A1131" s="1" t="s">
        <v>1143</v>
      </c>
      <c r="B1131" s="4">
        <v>45088</v>
      </c>
      <c r="C1131" s="1" t="s">
        <v>2333</v>
      </c>
      <c r="D1131" s="1" t="s">
        <v>2406</v>
      </c>
      <c r="E1131" s="1">
        <v>4</v>
      </c>
      <c r="F1131" s="1">
        <v>418.71</v>
      </c>
      <c r="G1131" s="1" t="s">
        <v>2480</v>
      </c>
      <c r="H1131" s="1" t="s">
        <v>3069</v>
      </c>
      <c r="I1131" s="1" t="s">
        <v>3074</v>
      </c>
      <c r="J1131" s="1" t="s">
        <v>4204</v>
      </c>
      <c r="K1131" s="1">
        <v>8</v>
      </c>
      <c r="L1131" s="1" t="s">
        <v>4276</v>
      </c>
      <c r="M1131" s="1" t="s">
        <v>4278</v>
      </c>
      <c r="N1131" s="6" t="str">
        <f t="shared" si="35"/>
        <v>Jun</v>
      </c>
      <c r="O1131" s="1">
        <v>1674.84</v>
      </c>
      <c r="T1131" s="4"/>
      <c r="U1131" s="1" t="str">
        <f t="shared" si="36"/>
        <v>Normal</v>
      </c>
    </row>
    <row r="1132" spans="1:21" x14ac:dyDescent="0.25">
      <c r="A1132" s="1" t="s">
        <v>1144</v>
      </c>
      <c r="B1132" s="4">
        <v>45704</v>
      </c>
      <c r="C1132" s="1" t="s">
        <v>2334</v>
      </c>
      <c r="D1132" s="1" t="s">
        <v>2408</v>
      </c>
      <c r="E1132" s="1">
        <v>2</v>
      </c>
      <c r="F1132" s="1">
        <v>323.45</v>
      </c>
      <c r="G1132" s="1" t="s">
        <v>2501</v>
      </c>
      <c r="H1132" s="1" t="s">
        <v>3067</v>
      </c>
      <c r="I1132" s="1" t="s">
        <v>3072</v>
      </c>
      <c r="J1132" s="1" t="s">
        <v>4205</v>
      </c>
      <c r="K1132" s="1">
        <v>5</v>
      </c>
      <c r="L1132" s="1" t="s">
        <v>4276</v>
      </c>
      <c r="M1132" s="1" t="s">
        <v>4278</v>
      </c>
      <c r="N1132" s="6" t="str">
        <f t="shared" si="35"/>
        <v>Feb</v>
      </c>
      <c r="O1132" s="1">
        <v>646.9</v>
      </c>
      <c r="T1132" s="4"/>
      <c r="U1132" s="1" t="str">
        <f t="shared" si="36"/>
        <v>Normal</v>
      </c>
    </row>
    <row r="1133" spans="1:21" x14ac:dyDescent="0.25">
      <c r="A1133" s="1" t="s">
        <v>1145</v>
      </c>
      <c r="B1133" s="4">
        <v>45491</v>
      </c>
      <c r="C1133" s="1" t="s">
        <v>2335</v>
      </c>
      <c r="D1133" s="1" t="s">
        <v>2404</v>
      </c>
      <c r="E1133" s="1">
        <v>1</v>
      </c>
      <c r="F1133" s="1">
        <v>694.5</v>
      </c>
      <c r="G1133" s="1" t="s">
        <v>2651</v>
      </c>
      <c r="H1133" s="1" t="s">
        <v>3067</v>
      </c>
      <c r="I1133" s="1" t="s">
        <v>3074</v>
      </c>
      <c r="J1133" s="1" t="s">
        <v>4206</v>
      </c>
      <c r="K1133" s="1">
        <v>3</v>
      </c>
      <c r="L1133" s="1" t="s">
        <v>4277</v>
      </c>
      <c r="M1133" s="1" t="s">
        <v>4281</v>
      </c>
      <c r="N1133" s="6" t="str">
        <f t="shared" si="35"/>
        <v>Jul</v>
      </c>
      <c r="O1133" s="1">
        <v>694.5</v>
      </c>
      <c r="T1133" s="4"/>
      <c r="U1133" s="1" t="str">
        <f t="shared" si="36"/>
        <v>Normal</v>
      </c>
    </row>
    <row r="1134" spans="1:21" x14ac:dyDescent="0.25">
      <c r="A1134" s="1" t="s">
        <v>1146</v>
      </c>
      <c r="B1134" s="4">
        <v>45628</v>
      </c>
      <c r="C1134" s="1" t="s">
        <v>2336</v>
      </c>
      <c r="D1134" s="1" t="s">
        <v>2406</v>
      </c>
      <c r="E1134" s="1">
        <v>2</v>
      </c>
      <c r="F1134" s="1">
        <v>337.32</v>
      </c>
      <c r="G1134" s="1" t="s">
        <v>2608</v>
      </c>
      <c r="H1134" s="1" t="s">
        <v>3067</v>
      </c>
      <c r="I1134" s="1" t="s">
        <v>3071</v>
      </c>
      <c r="J1134" s="1" t="s">
        <v>4207</v>
      </c>
      <c r="K1134" s="1">
        <v>4</v>
      </c>
      <c r="L1134" s="1" t="s">
        <v>4275</v>
      </c>
      <c r="M1134" s="1" t="s">
        <v>4280</v>
      </c>
      <c r="N1134" s="6" t="str">
        <f t="shared" si="35"/>
        <v>Dec</v>
      </c>
      <c r="O1134" s="1">
        <v>674.64</v>
      </c>
      <c r="T1134" s="4"/>
      <c r="U1134" s="1" t="str">
        <f t="shared" si="36"/>
        <v>Normal</v>
      </c>
    </row>
    <row r="1135" spans="1:21" x14ac:dyDescent="0.25">
      <c r="A1135" s="1" t="s">
        <v>1147</v>
      </c>
      <c r="B1135" s="4">
        <v>45391</v>
      </c>
      <c r="C1135" s="1" t="s">
        <v>2337</v>
      </c>
      <c r="D1135" s="1" t="s">
        <v>2407</v>
      </c>
      <c r="E1135" s="1">
        <v>2</v>
      </c>
      <c r="F1135" s="1">
        <v>467.91</v>
      </c>
      <c r="G1135" s="1" t="s">
        <v>2597</v>
      </c>
      <c r="H1135" s="1" t="s">
        <v>3068</v>
      </c>
      <c r="I1135" s="1" t="s">
        <v>3072</v>
      </c>
      <c r="J1135" s="1" t="s">
        <v>4208</v>
      </c>
      <c r="K1135" s="1">
        <v>5</v>
      </c>
      <c r="L1135" s="1" t="s">
        <v>4277</v>
      </c>
      <c r="M1135" s="1" t="s">
        <v>4281</v>
      </c>
      <c r="N1135" s="6" t="str">
        <f t="shared" si="35"/>
        <v>Apr</v>
      </c>
      <c r="O1135" s="1">
        <v>935.82</v>
      </c>
      <c r="T1135" s="4"/>
      <c r="U1135" s="1" t="str">
        <f t="shared" si="36"/>
        <v>Normal</v>
      </c>
    </row>
    <row r="1136" spans="1:21" x14ac:dyDescent="0.25">
      <c r="A1136" s="1" t="s">
        <v>1148</v>
      </c>
      <c r="B1136" s="4">
        <v>45451</v>
      </c>
      <c r="C1136" s="1" t="s">
        <v>2338</v>
      </c>
      <c r="D1136" s="1" t="s">
        <v>2409</v>
      </c>
      <c r="E1136" s="1">
        <v>4</v>
      </c>
      <c r="F1136" s="1">
        <v>38.28</v>
      </c>
      <c r="G1136" s="1" t="s">
        <v>3039</v>
      </c>
      <c r="H1136" s="1" t="s">
        <v>3065</v>
      </c>
      <c r="I1136" s="1" t="s">
        <v>3071</v>
      </c>
      <c r="J1136" s="1" t="s">
        <v>4209</v>
      </c>
      <c r="K1136" s="1">
        <v>4</v>
      </c>
      <c r="L1136" s="1" t="s">
        <v>4277</v>
      </c>
      <c r="M1136" s="1" t="s">
        <v>4281</v>
      </c>
      <c r="N1136" s="6" t="str">
        <f t="shared" si="35"/>
        <v>Jun</v>
      </c>
      <c r="O1136" s="1">
        <v>153.12</v>
      </c>
      <c r="T1136" s="4"/>
      <c r="U1136" s="1" t="str">
        <f t="shared" si="36"/>
        <v>Normal</v>
      </c>
    </row>
    <row r="1137" spans="1:21" x14ac:dyDescent="0.25">
      <c r="A1137" s="1" t="s">
        <v>1149</v>
      </c>
      <c r="B1137" s="4">
        <v>45288</v>
      </c>
      <c r="C1137" s="1" t="s">
        <v>2339</v>
      </c>
      <c r="D1137" s="1" t="s">
        <v>2407</v>
      </c>
      <c r="E1137" s="1">
        <v>2</v>
      </c>
      <c r="F1137" s="1">
        <v>73.41</v>
      </c>
      <c r="G1137" s="1" t="s">
        <v>2613</v>
      </c>
      <c r="H1137" s="1" t="s">
        <v>3066</v>
      </c>
      <c r="I1137" s="1" t="s">
        <v>3070</v>
      </c>
      <c r="J1137" s="1" t="s">
        <v>4210</v>
      </c>
      <c r="K1137" s="1">
        <v>2</v>
      </c>
      <c r="L1137" s="1" t="s">
        <v>4275</v>
      </c>
      <c r="M1137" s="1" t="s">
        <v>4282</v>
      </c>
      <c r="N1137" s="6" t="str">
        <f t="shared" si="35"/>
        <v>Dec</v>
      </c>
      <c r="O1137" s="1">
        <v>146.82</v>
      </c>
      <c r="T1137" s="4"/>
      <c r="U1137" s="1" t="str">
        <f t="shared" si="36"/>
        <v>Normal</v>
      </c>
    </row>
    <row r="1138" spans="1:21" x14ac:dyDescent="0.25">
      <c r="A1138" s="1" t="s">
        <v>1150</v>
      </c>
      <c r="B1138" s="4">
        <v>45193</v>
      </c>
      <c r="C1138" s="1" t="s">
        <v>2340</v>
      </c>
      <c r="D1138" s="1" t="s">
        <v>2405</v>
      </c>
      <c r="E1138" s="1">
        <v>3</v>
      </c>
      <c r="F1138" s="1">
        <v>668.33</v>
      </c>
      <c r="G1138" s="1" t="s">
        <v>2882</v>
      </c>
      <c r="H1138" s="1" t="s">
        <v>3068</v>
      </c>
      <c r="I1138" s="1" t="s">
        <v>3074</v>
      </c>
      <c r="J1138" s="1" t="s">
        <v>4211</v>
      </c>
      <c r="K1138" s="1">
        <v>4</v>
      </c>
      <c r="L1138" s="1" t="s">
        <v>4277</v>
      </c>
      <c r="M1138" s="1" t="s">
        <v>4281</v>
      </c>
      <c r="N1138" s="6" t="str">
        <f t="shared" si="35"/>
        <v>Sep</v>
      </c>
      <c r="O1138" s="1">
        <v>2004.99</v>
      </c>
      <c r="T1138" s="4"/>
      <c r="U1138" s="1" t="str">
        <f t="shared" si="36"/>
        <v>Normal</v>
      </c>
    </row>
    <row r="1139" spans="1:21" x14ac:dyDescent="0.25">
      <c r="A1139" s="1" t="s">
        <v>1151</v>
      </c>
      <c r="B1139" s="4">
        <v>45502</v>
      </c>
      <c r="C1139" s="1" t="s">
        <v>2341</v>
      </c>
      <c r="D1139" s="1" t="s">
        <v>2407</v>
      </c>
      <c r="E1139" s="1">
        <v>4</v>
      </c>
      <c r="F1139" s="1">
        <v>410.21</v>
      </c>
      <c r="G1139" s="1" t="s">
        <v>3040</v>
      </c>
      <c r="H1139" s="1" t="s">
        <v>3069</v>
      </c>
      <c r="I1139" s="1" t="s">
        <v>3074</v>
      </c>
      <c r="J1139" s="1" t="s">
        <v>4212</v>
      </c>
      <c r="K1139" s="1">
        <v>5</v>
      </c>
      <c r="L1139" s="1" t="s">
        <v>4277</v>
      </c>
      <c r="M1139" s="1" t="s">
        <v>4278</v>
      </c>
      <c r="N1139" s="6" t="str">
        <f t="shared" si="35"/>
        <v>Jul</v>
      </c>
      <c r="O1139" s="1">
        <v>1640.84</v>
      </c>
      <c r="T1139" s="4"/>
      <c r="U1139" s="1" t="str">
        <f t="shared" si="36"/>
        <v>Normal</v>
      </c>
    </row>
    <row r="1140" spans="1:21" x14ac:dyDescent="0.25">
      <c r="A1140" s="1" t="s">
        <v>1152</v>
      </c>
      <c r="B1140" s="4">
        <v>45278</v>
      </c>
      <c r="C1140" s="1" t="s">
        <v>2342</v>
      </c>
      <c r="D1140" s="1" t="s">
        <v>2409</v>
      </c>
      <c r="E1140" s="1">
        <v>4</v>
      </c>
      <c r="F1140" s="1">
        <v>294.41000000000003</v>
      </c>
      <c r="G1140" s="1" t="s">
        <v>2865</v>
      </c>
      <c r="H1140" s="1" t="s">
        <v>3065</v>
      </c>
      <c r="I1140" s="1" t="s">
        <v>3074</v>
      </c>
      <c r="J1140" s="1" t="s">
        <v>4213</v>
      </c>
      <c r="K1140" s="1">
        <v>4</v>
      </c>
      <c r="L1140" s="1" t="s">
        <v>4283</v>
      </c>
      <c r="M1140" s="1" t="s">
        <v>4278</v>
      </c>
      <c r="N1140" s="6" t="str">
        <f t="shared" si="35"/>
        <v>Dec</v>
      </c>
      <c r="O1140" s="1">
        <v>1177.6400000000001</v>
      </c>
      <c r="T1140" s="4"/>
      <c r="U1140" s="1" t="str">
        <f t="shared" si="36"/>
        <v>Normal</v>
      </c>
    </row>
    <row r="1141" spans="1:21" x14ac:dyDescent="0.25">
      <c r="A1141" s="1" t="s">
        <v>1153</v>
      </c>
      <c r="B1141" s="4">
        <v>45717</v>
      </c>
      <c r="C1141" s="1" t="s">
        <v>2256</v>
      </c>
      <c r="D1141" s="1" t="s">
        <v>2406</v>
      </c>
      <c r="E1141" s="1">
        <v>3</v>
      </c>
      <c r="F1141" s="1">
        <v>501.82</v>
      </c>
      <c r="G1141" s="1" t="s">
        <v>2438</v>
      </c>
      <c r="H1141" s="1" t="s">
        <v>3068</v>
      </c>
      <c r="I1141" s="1" t="s">
        <v>3071</v>
      </c>
      <c r="J1141" s="1" t="s">
        <v>4214</v>
      </c>
      <c r="K1141" s="1">
        <v>4</v>
      </c>
      <c r="L1141" s="1" t="s">
        <v>4276</v>
      </c>
      <c r="M1141" s="1" t="s">
        <v>4280</v>
      </c>
      <c r="N1141" s="6" t="str">
        <f t="shared" si="35"/>
        <v>Mar</v>
      </c>
      <c r="O1141" s="1">
        <v>1505.46</v>
      </c>
      <c r="T1141" s="4"/>
      <c r="U1141" s="1" t="str">
        <f t="shared" si="36"/>
        <v>Normal</v>
      </c>
    </row>
    <row r="1142" spans="1:21" x14ac:dyDescent="0.25">
      <c r="A1142" s="1" t="s">
        <v>1154</v>
      </c>
      <c r="B1142" s="4">
        <v>45467</v>
      </c>
      <c r="C1142" s="1" t="s">
        <v>2343</v>
      </c>
      <c r="D1142" s="1" t="s">
        <v>2407</v>
      </c>
      <c r="E1142" s="1">
        <v>2</v>
      </c>
      <c r="F1142" s="1">
        <v>552.83000000000004</v>
      </c>
      <c r="G1142" s="1" t="s">
        <v>2418</v>
      </c>
      <c r="H1142" s="1" t="s">
        <v>3067</v>
      </c>
      <c r="I1142" s="1" t="s">
        <v>3071</v>
      </c>
      <c r="J1142" s="1" t="s">
        <v>4215</v>
      </c>
      <c r="K1142" s="1">
        <v>3</v>
      </c>
      <c r="L1142" s="1" t="s">
        <v>4283</v>
      </c>
      <c r="M1142" s="1" t="s">
        <v>4279</v>
      </c>
      <c r="N1142" s="6" t="str">
        <f t="shared" si="35"/>
        <v>Jun</v>
      </c>
      <c r="O1142" s="1">
        <v>1105.6600000000001</v>
      </c>
      <c r="T1142" s="4"/>
      <c r="U1142" s="1" t="str">
        <f t="shared" si="36"/>
        <v>Normal</v>
      </c>
    </row>
    <row r="1143" spans="1:21" x14ac:dyDescent="0.25">
      <c r="A1143" s="1" t="s">
        <v>1155</v>
      </c>
      <c r="B1143" s="4">
        <v>45704</v>
      </c>
      <c r="C1143" s="1" t="s">
        <v>2344</v>
      </c>
      <c r="D1143" s="1" t="s">
        <v>2406</v>
      </c>
      <c r="E1143" s="1">
        <v>3</v>
      </c>
      <c r="F1143" s="1">
        <v>498.66</v>
      </c>
      <c r="G1143" s="1" t="s">
        <v>2427</v>
      </c>
      <c r="H1143" s="1" t="s">
        <v>3069</v>
      </c>
      <c r="I1143" s="1" t="s">
        <v>3071</v>
      </c>
      <c r="J1143" s="1" t="s">
        <v>4216</v>
      </c>
      <c r="K1143" s="1">
        <v>6</v>
      </c>
      <c r="L1143" s="1" t="s">
        <v>4283</v>
      </c>
      <c r="M1143" s="1" t="s">
        <v>4280</v>
      </c>
      <c r="N1143" s="6" t="str">
        <f t="shared" si="35"/>
        <v>Feb</v>
      </c>
      <c r="O1143" s="1">
        <v>1495.98</v>
      </c>
      <c r="T1143" s="4"/>
      <c r="U1143" s="1" t="str">
        <f t="shared" si="36"/>
        <v>Normal</v>
      </c>
    </row>
    <row r="1144" spans="1:21" x14ac:dyDescent="0.25">
      <c r="A1144" s="1" t="s">
        <v>1156</v>
      </c>
      <c r="B1144" s="4">
        <v>45527</v>
      </c>
      <c r="C1144" s="1" t="s">
        <v>2345</v>
      </c>
      <c r="D1144" s="1" t="s">
        <v>2404</v>
      </c>
      <c r="E1144" s="1">
        <v>4</v>
      </c>
      <c r="F1144" s="1">
        <v>695.1</v>
      </c>
      <c r="G1144" s="1" t="s">
        <v>3041</v>
      </c>
      <c r="H1144" s="1" t="s">
        <v>3065</v>
      </c>
      <c r="I1144" s="1" t="s">
        <v>3072</v>
      </c>
      <c r="J1144" s="1" t="s">
        <v>4217</v>
      </c>
      <c r="K1144" s="1">
        <v>8</v>
      </c>
      <c r="L1144" s="1" t="s">
        <v>4283</v>
      </c>
      <c r="M1144" s="1" t="s">
        <v>4280</v>
      </c>
      <c r="N1144" s="6" t="str">
        <f t="shared" si="35"/>
        <v>Aug</v>
      </c>
      <c r="O1144" s="1">
        <v>2780.4</v>
      </c>
      <c r="T1144" s="4"/>
      <c r="U1144" s="1" t="str">
        <f t="shared" si="36"/>
        <v>Normal</v>
      </c>
    </row>
    <row r="1145" spans="1:21" x14ac:dyDescent="0.25">
      <c r="A1145" s="1" t="s">
        <v>1157</v>
      </c>
      <c r="B1145" s="4">
        <v>45019</v>
      </c>
      <c r="C1145" s="1" t="s">
        <v>2346</v>
      </c>
      <c r="D1145" s="1" t="s">
        <v>2406</v>
      </c>
      <c r="E1145" s="1">
        <v>1</v>
      </c>
      <c r="F1145" s="1">
        <v>381.61</v>
      </c>
      <c r="G1145" s="1" t="s">
        <v>3042</v>
      </c>
      <c r="H1145" s="1" t="s">
        <v>3065</v>
      </c>
      <c r="I1145" s="1" t="s">
        <v>3074</v>
      </c>
      <c r="J1145" s="1" t="s">
        <v>4218</v>
      </c>
      <c r="K1145" s="1">
        <v>5</v>
      </c>
      <c r="L1145" s="1" t="s">
        <v>4283</v>
      </c>
      <c r="M1145" s="1" t="s">
        <v>4280</v>
      </c>
      <c r="N1145" s="6" t="str">
        <f t="shared" si="35"/>
        <v>Apr</v>
      </c>
      <c r="O1145" s="1">
        <v>381.61</v>
      </c>
      <c r="T1145" s="4"/>
      <c r="U1145" s="1" t="str">
        <f t="shared" si="36"/>
        <v>Normal</v>
      </c>
    </row>
    <row r="1146" spans="1:21" x14ac:dyDescent="0.25">
      <c r="A1146" s="1" t="s">
        <v>1158</v>
      </c>
      <c r="B1146" s="4">
        <v>44973</v>
      </c>
      <c r="C1146" s="1" t="s">
        <v>2347</v>
      </c>
      <c r="D1146" s="1" t="s">
        <v>2409</v>
      </c>
      <c r="E1146" s="1">
        <v>5</v>
      </c>
      <c r="F1146" s="1">
        <v>507.94</v>
      </c>
      <c r="G1146" s="1" t="s">
        <v>3043</v>
      </c>
      <c r="H1146" s="1" t="s">
        <v>3066</v>
      </c>
      <c r="I1146" s="1" t="s">
        <v>3071</v>
      </c>
      <c r="J1146" s="1" t="s">
        <v>4219</v>
      </c>
      <c r="K1146" s="1">
        <v>9</v>
      </c>
      <c r="L1146" s="1" t="s">
        <v>4283</v>
      </c>
      <c r="M1146" s="1" t="s">
        <v>4281</v>
      </c>
      <c r="N1146" s="6" t="str">
        <f t="shared" si="35"/>
        <v>Feb</v>
      </c>
      <c r="O1146" s="1">
        <v>2539.6999999999998</v>
      </c>
      <c r="T1146" s="4"/>
      <c r="U1146" s="1" t="str">
        <f t="shared" si="36"/>
        <v>Normal</v>
      </c>
    </row>
    <row r="1147" spans="1:21" x14ac:dyDescent="0.25">
      <c r="A1147" s="1" t="s">
        <v>1159</v>
      </c>
      <c r="B1147" s="4">
        <v>45789</v>
      </c>
      <c r="C1147" s="1" t="s">
        <v>2348</v>
      </c>
      <c r="D1147" s="1" t="s">
        <v>2409</v>
      </c>
      <c r="E1147" s="1">
        <v>3</v>
      </c>
      <c r="F1147" s="1">
        <v>571.53</v>
      </c>
      <c r="G1147" s="1" t="s">
        <v>2628</v>
      </c>
      <c r="H1147" s="1" t="s">
        <v>3065</v>
      </c>
      <c r="I1147" s="1" t="s">
        <v>3073</v>
      </c>
      <c r="J1147" s="1" t="s">
        <v>4220</v>
      </c>
      <c r="K1147" s="1">
        <v>6</v>
      </c>
      <c r="L1147" s="1" t="s">
        <v>4276</v>
      </c>
      <c r="M1147" s="1" t="s">
        <v>4281</v>
      </c>
      <c r="N1147" s="6" t="str">
        <f t="shared" si="35"/>
        <v>May</v>
      </c>
      <c r="O1147" s="1">
        <v>1714.59</v>
      </c>
      <c r="T1147" s="4"/>
      <c r="U1147" s="1" t="str">
        <f t="shared" si="36"/>
        <v>Normal</v>
      </c>
    </row>
    <row r="1148" spans="1:21" x14ac:dyDescent="0.25">
      <c r="A1148" s="1" t="s">
        <v>1160</v>
      </c>
      <c r="B1148" s="4">
        <v>45568</v>
      </c>
      <c r="C1148" s="1" t="s">
        <v>2349</v>
      </c>
      <c r="D1148" s="1" t="s">
        <v>2403</v>
      </c>
      <c r="E1148" s="1">
        <v>5</v>
      </c>
      <c r="F1148" s="1">
        <v>421.44</v>
      </c>
      <c r="G1148" s="1" t="s">
        <v>2761</v>
      </c>
      <c r="H1148" s="1" t="s">
        <v>3069</v>
      </c>
      <c r="I1148" s="1" t="s">
        <v>3074</v>
      </c>
      <c r="J1148" s="1" t="s">
        <v>4221</v>
      </c>
      <c r="K1148" s="1">
        <v>5</v>
      </c>
      <c r="L1148" s="1" t="s">
        <v>4275</v>
      </c>
      <c r="M1148" s="1" t="s">
        <v>4278</v>
      </c>
      <c r="N1148" s="6" t="str">
        <f t="shared" si="35"/>
        <v>Oct</v>
      </c>
      <c r="O1148" s="1">
        <v>2107.1999999999998</v>
      </c>
      <c r="T1148" s="4"/>
      <c r="U1148" s="1" t="str">
        <f t="shared" si="36"/>
        <v>Normal</v>
      </c>
    </row>
    <row r="1149" spans="1:21" x14ac:dyDescent="0.25">
      <c r="A1149" s="1" t="s">
        <v>1161</v>
      </c>
      <c r="B1149" s="4">
        <v>45659</v>
      </c>
      <c r="C1149" s="1" t="s">
        <v>2350</v>
      </c>
      <c r="D1149" s="1" t="s">
        <v>2406</v>
      </c>
      <c r="E1149" s="1">
        <v>2</v>
      </c>
      <c r="F1149" s="1">
        <v>588.29999999999995</v>
      </c>
      <c r="G1149" s="1" t="s">
        <v>3044</v>
      </c>
      <c r="H1149" s="1" t="s">
        <v>3066</v>
      </c>
      <c r="I1149" s="1" t="s">
        <v>3074</v>
      </c>
      <c r="J1149" s="1" t="s">
        <v>4222</v>
      </c>
      <c r="K1149" s="1">
        <v>2</v>
      </c>
      <c r="L1149" s="1" t="s">
        <v>4276</v>
      </c>
      <c r="M1149" s="1" t="s">
        <v>4280</v>
      </c>
      <c r="N1149" s="6" t="str">
        <f t="shared" si="35"/>
        <v>Jan</v>
      </c>
      <c r="O1149" s="1">
        <v>1176.5999999999999</v>
      </c>
      <c r="T1149" s="4"/>
      <c r="U1149" s="1" t="str">
        <f t="shared" si="36"/>
        <v>Normal</v>
      </c>
    </row>
    <row r="1150" spans="1:21" x14ac:dyDescent="0.25">
      <c r="A1150" s="1" t="s">
        <v>1162</v>
      </c>
      <c r="B1150" s="4">
        <v>45468</v>
      </c>
      <c r="C1150" s="1" t="s">
        <v>2351</v>
      </c>
      <c r="D1150" s="1" t="s">
        <v>2404</v>
      </c>
      <c r="E1150" s="1">
        <v>1</v>
      </c>
      <c r="F1150" s="1">
        <v>355.15</v>
      </c>
      <c r="G1150" s="1" t="s">
        <v>3045</v>
      </c>
      <c r="H1150" s="1" t="s">
        <v>3069</v>
      </c>
      <c r="I1150" s="1" t="s">
        <v>3072</v>
      </c>
      <c r="J1150" s="1" t="s">
        <v>4223</v>
      </c>
      <c r="K1150" s="1">
        <v>2</v>
      </c>
      <c r="L1150" s="1" t="s">
        <v>4275</v>
      </c>
      <c r="M1150" s="1" t="s">
        <v>4280</v>
      </c>
      <c r="N1150" s="6" t="str">
        <f t="shared" si="35"/>
        <v>Jun</v>
      </c>
      <c r="O1150" s="1">
        <v>355.15</v>
      </c>
      <c r="T1150" s="4"/>
      <c r="U1150" s="1" t="str">
        <f t="shared" si="36"/>
        <v>Normal</v>
      </c>
    </row>
    <row r="1151" spans="1:21" x14ac:dyDescent="0.25">
      <c r="A1151" s="1" t="s">
        <v>1163</v>
      </c>
      <c r="B1151" s="4">
        <v>45498</v>
      </c>
      <c r="C1151" s="1" t="s">
        <v>2352</v>
      </c>
      <c r="D1151" s="1" t="s">
        <v>2406</v>
      </c>
      <c r="E1151" s="1">
        <v>2</v>
      </c>
      <c r="F1151" s="1">
        <v>695.29</v>
      </c>
      <c r="G1151" s="1" t="s">
        <v>3046</v>
      </c>
      <c r="H1151" s="1" t="s">
        <v>3067</v>
      </c>
      <c r="I1151" s="1" t="s">
        <v>3074</v>
      </c>
      <c r="J1151" s="1" t="s">
        <v>4224</v>
      </c>
      <c r="K1151" s="1">
        <v>6</v>
      </c>
      <c r="L1151" s="1" t="s">
        <v>4276</v>
      </c>
      <c r="M1151" s="1" t="s">
        <v>4278</v>
      </c>
      <c r="N1151" s="6" t="str">
        <f t="shared" si="35"/>
        <v>Jul</v>
      </c>
      <c r="O1151" s="1">
        <v>1390.58</v>
      </c>
      <c r="T1151" s="4"/>
      <c r="U1151" s="1" t="str">
        <f t="shared" si="36"/>
        <v>Normal</v>
      </c>
    </row>
    <row r="1152" spans="1:21" x14ac:dyDescent="0.25">
      <c r="A1152" s="1" t="s">
        <v>1164</v>
      </c>
      <c r="B1152" s="4">
        <v>44977</v>
      </c>
      <c r="C1152" s="1" t="s">
        <v>2353</v>
      </c>
      <c r="D1152" s="1" t="s">
        <v>2409</v>
      </c>
      <c r="E1152" s="1">
        <v>4</v>
      </c>
      <c r="F1152" s="1">
        <v>302.64999999999998</v>
      </c>
      <c r="G1152" s="1" t="s">
        <v>2642</v>
      </c>
      <c r="H1152" s="1" t="s">
        <v>3067</v>
      </c>
      <c r="I1152" s="1" t="s">
        <v>3071</v>
      </c>
      <c r="J1152" s="1" t="s">
        <v>4225</v>
      </c>
      <c r="K1152" s="1">
        <v>8</v>
      </c>
      <c r="L1152" s="1" t="s">
        <v>4275</v>
      </c>
      <c r="M1152" s="1" t="s">
        <v>4279</v>
      </c>
      <c r="N1152" s="6" t="str">
        <f t="shared" si="35"/>
        <v>Feb</v>
      </c>
      <c r="O1152" s="1">
        <v>1210.5999999999999</v>
      </c>
      <c r="T1152" s="4"/>
      <c r="U1152" s="1" t="str">
        <f t="shared" si="36"/>
        <v>Normal</v>
      </c>
    </row>
    <row r="1153" spans="1:21" x14ac:dyDescent="0.25">
      <c r="A1153" s="1" t="s">
        <v>1165</v>
      </c>
      <c r="B1153" s="4">
        <v>44955</v>
      </c>
      <c r="C1153" s="1" t="s">
        <v>2354</v>
      </c>
      <c r="D1153" s="1" t="s">
        <v>2406</v>
      </c>
      <c r="E1153" s="1">
        <v>2</v>
      </c>
      <c r="F1153" s="1">
        <v>608.04</v>
      </c>
      <c r="G1153" s="1" t="s">
        <v>3047</v>
      </c>
      <c r="H1153" s="1" t="s">
        <v>3069</v>
      </c>
      <c r="I1153" s="1" t="s">
        <v>3071</v>
      </c>
      <c r="J1153" s="1" t="s">
        <v>4226</v>
      </c>
      <c r="K1153" s="1">
        <v>4</v>
      </c>
      <c r="L1153" s="1" t="s">
        <v>4283</v>
      </c>
      <c r="M1153" s="1" t="s">
        <v>4282</v>
      </c>
      <c r="N1153" s="6" t="str">
        <f t="shared" si="35"/>
        <v>Jan</v>
      </c>
      <c r="O1153" s="1">
        <v>1216.08</v>
      </c>
      <c r="T1153" s="4"/>
      <c r="U1153" s="1" t="str">
        <f t="shared" si="36"/>
        <v>Normal</v>
      </c>
    </row>
    <row r="1154" spans="1:21" x14ac:dyDescent="0.25">
      <c r="A1154" s="1" t="s">
        <v>1166</v>
      </c>
      <c r="B1154" s="4">
        <v>45239</v>
      </c>
      <c r="C1154" s="1" t="s">
        <v>2355</v>
      </c>
      <c r="D1154" s="1" t="s">
        <v>2405</v>
      </c>
      <c r="E1154" s="1">
        <v>2</v>
      </c>
      <c r="F1154" s="1">
        <v>344.18</v>
      </c>
      <c r="G1154" s="1" t="s">
        <v>2501</v>
      </c>
      <c r="H1154" s="1" t="s">
        <v>3067</v>
      </c>
      <c r="I1154" s="1" t="s">
        <v>3070</v>
      </c>
      <c r="J1154" s="1" t="s">
        <v>4227</v>
      </c>
      <c r="K1154" s="1">
        <v>7</v>
      </c>
      <c r="L1154" s="1" t="s">
        <v>4283</v>
      </c>
      <c r="M1154" s="1" t="s">
        <v>4279</v>
      </c>
      <c r="N1154" s="6" t="str">
        <f t="shared" ref="N1154:N1201" si="37">TEXT(B1154,"MMM")</f>
        <v>Nov</v>
      </c>
      <c r="O1154" s="1">
        <v>688.36</v>
      </c>
      <c r="T1154" s="4"/>
      <c r="U1154" s="1" t="str">
        <f t="shared" si="36"/>
        <v>Normal</v>
      </c>
    </row>
    <row r="1155" spans="1:21" x14ac:dyDescent="0.25">
      <c r="A1155" s="1" t="s">
        <v>1167</v>
      </c>
      <c r="B1155" s="4">
        <v>45642</v>
      </c>
      <c r="C1155" s="1" t="s">
        <v>2356</v>
      </c>
      <c r="D1155" s="1" t="s">
        <v>2403</v>
      </c>
      <c r="E1155" s="1">
        <v>4</v>
      </c>
      <c r="F1155" s="1">
        <v>696.71</v>
      </c>
      <c r="G1155" s="1" t="s">
        <v>3048</v>
      </c>
      <c r="H1155" s="1" t="s">
        <v>3065</v>
      </c>
      <c r="I1155" s="1" t="s">
        <v>3070</v>
      </c>
      <c r="J1155" s="1" t="s">
        <v>4228</v>
      </c>
      <c r="K1155" s="1">
        <v>4</v>
      </c>
      <c r="L1155" s="1" t="s">
        <v>4283</v>
      </c>
      <c r="M1155" s="1" t="s">
        <v>4278</v>
      </c>
      <c r="N1155" s="6" t="str">
        <f t="shared" si="37"/>
        <v>Dec</v>
      </c>
      <c r="O1155" s="1">
        <v>2786.84</v>
      </c>
      <c r="T1155" s="4"/>
      <c r="U1155" s="1" t="str">
        <f t="shared" ref="U1155:U1201" si="38">IF(O1155&gt;$S$2,"Outlier","Normal")</f>
        <v>Normal</v>
      </c>
    </row>
    <row r="1156" spans="1:21" x14ac:dyDescent="0.25">
      <c r="A1156" s="1" t="s">
        <v>1168</v>
      </c>
      <c r="B1156" s="4">
        <v>45819</v>
      </c>
      <c r="C1156" s="1" t="s">
        <v>2357</v>
      </c>
      <c r="D1156" s="1" t="s">
        <v>2403</v>
      </c>
      <c r="E1156" s="1">
        <v>3</v>
      </c>
      <c r="F1156" s="1">
        <v>198.63</v>
      </c>
      <c r="G1156" s="1" t="s">
        <v>2520</v>
      </c>
      <c r="H1156" s="1" t="s">
        <v>3069</v>
      </c>
      <c r="I1156" s="1" t="s">
        <v>3074</v>
      </c>
      <c r="J1156" s="1" t="s">
        <v>4229</v>
      </c>
      <c r="K1156" s="1">
        <v>8</v>
      </c>
      <c r="L1156" s="1" t="s">
        <v>4275</v>
      </c>
      <c r="M1156" s="1" t="s">
        <v>4278</v>
      </c>
      <c r="N1156" s="6" t="str">
        <f t="shared" si="37"/>
        <v>Jun</v>
      </c>
      <c r="O1156" s="1">
        <v>595.89</v>
      </c>
      <c r="T1156" s="4"/>
      <c r="U1156" s="1" t="str">
        <f t="shared" si="38"/>
        <v>Normal</v>
      </c>
    </row>
    <row r="1157" spans="1:21" x14ac:dyDescent="0.25">
      <c r="A1157" s="1" t="s">
        <v>1169</v>
      </c>
      <c r="B1157" s="4">
        <v>45151</v>
      </c>
      <c r="C1157" s="1" t="s">
        <v>2358</v>
      </c>
      <c r="D1157" s="1" t="s">
        <v>2407</v>
      </c>
      <c r="E1157" s="1">
        <v>4</v>
      </c>
      <c r="F1157" s="1">
        <v>534.57000000000005</v>
      </c>
      <c r="G1157" s="1" t="s">
        <v>2558</v>
      </c>
      <c r="H1157" s="1" t="s">
        <v>3067</v>
      </c>
      <c r="I1157" s="1" t="s">
        <v>3073</v>
      </c>
      <c r="J1157" s="1" t="s">
        <v>4230</v>
      </c>
      <c r="K1157" s="1">
        <v>6</v>
      </c>
      <c r="L1157" s="1" t="s">
        <v>4276</v>
      </c>
      <c r="M1157" s="1" t="s">
        <v>4281</v>
      </c>
      <c r="N1157" s="6" t="str">
        <f t="shared" si="37"/>
        <v>Aug</v>
      </c>
      <c r="O1157" s="1">
        <v>2138.2800000000002</v>
      </c>
      <c r="T1157" s="4"/>
      <c r="U1157" s="1" t="str">
        <f t="shared" si="38"/>
        <v>Normal</v>
      </c>
    </row>
    <row r="1158" spans="1:21" x14ac:dyDescent="0.25">
      <c r="A1158" s="1" t="s">
        <v>1170</v>
      </c>
      <c r="B1158" s="4">
        <v>45126</v>
      </c>
      <c r="C1158" s="1" t="s">
        <v>2359</v>
      </c>
      <c r="D1158" s="1" t="s">
        <v>2408</v>
      </c>
      <c r="E1158" s="1">
        <v>4</v>
      </c>
      <c r="F1158" s="1">
        <v>690.78</v>
      </c>
      <c r="G1158" s="1" t="s">
        <v>2424</v>
      </c>
      <c r="H1158" s="1" t="s">
        <v>3067</v>
      </c>
      <c r="I1158" s="1" t="s">
        <v>3070</v>
      </c>
      <c r="J1158" s="1" t="s">
        <v>4231</v>
      </c>
      <c r="K1158" s="1">
        <v>9</v>
      </c>
      <c r="L1158" s="1" t="s">
        <v>4283</v>
      </c>
      <c r="M1158" s="1" t="s">
        <v>4279</v>
      </c>
      <c r="N1158" s="6" t="str">
        <f t="shared" si="37"/>
        <v>Jul</v>
      </c>
      <c r="O1158" s="1">
        <v>2763.12</v>
      </c>
      <c r="T1158" s="4"/>
      <c r="U1158" s="1" t="str">
        <f t="shared" si="38"/>
        <v>Normal</v>
      </c>
    </row>
    <row r="1159" spans="1:21" x14ac:dyDescent="0.25">
      <c r="A1159" s="1" t="s">
        <v>1171</v>
      </c>
      <c r="B1159" s="4">
        <v>45441</v>
      </c>
      <c r="C1159" s="1" t="s">
        <v>2360</v>
      </c>
      <c r="D1159" s="1" t="s">
        <v>2403</v>
      </c>
      <c r="E1159" s="1">
        <v>3</v>
      </c>
      <c r="F1159" s="1">
        <v>301.55</v>
      </c>
      <c r="G1159" s="1" t="s">
        <v>2605</v>
      </c>
      <c r="H1159" s="1" t="s">
        <v>3065</v>
      </c>
      <c r="I1159" s="1" t="s">
        <v>3073</v>
      </c>
      <c r="J1159" s="1" t="s">
        <v>4232</v>
      </c>
      <c r="K1159" s="1">
        <v>5</v>
      </c>
      <c r="L1159" s="1" t="s">
        <v>4276</v>
      </c>
      <c r="M1159" s="1" t="s">
        <v>4282</v>
      </c>
      <c r="N1159" s="6" t="str">
        <f t="shared" si="37"/>
        <v>May</v>
      </c>
      <c r="O1159" s="1">
        <v>904.65000000000009</v>
      </c>
      <c r="T1159" s="4"/>
      <c r="U1159" s="1" t="str">
        <f t="shared" si="38"/>
        <v>Normal</v>
      </c>
    </row>
    <row r="1160" spans="1:21" x14ac:dyDescent="0.25">
      <c r="A1160" s="1" t="s">
        <v>1172</v>
      </c>
      <c r="B1160" s="4">
        <v>45036</v>
      </c>
      <c r="C1160" s="1" t="s">
        <v>2361</v>
      </c>
      <c r="D1160" s="1" t="s">
        <v>2403</v>
      </c>
      <c r="E1160" s="1">
        <v>4</v>
      </c>
      <c r="F1160" s="1">
        <v>27.42</v>
      </c>
      <c r="G1160" s="1" t="s">
        <v>2755</v>
      </c>
      <c r="H1160" s="1" t="s">
        <v>3065</v>
      </c>
      <c r="I1160" s="1" t="s">
        <v>3074</v>
      </c>
      <c r="J1160" s="1" t="s">
        <v>4233</v>
      </c>
      <c r="K1160" s="1">
        <v>4</v>
      </c>
      <c r="L1160" s="1" t="s">
        <v>4275</v>
      </c>
      <c r="M1160" s="1" t="s">
        <v>4279</v>
      </c>
      <c r="N1160" s="6" t="str">
        <f t="shared" si="37"/>
        <v>Apr</v>
      </c>
      <c r="O1160" s="1">
        <v>109.68</v>
      </c>
      <c r="T1160" s="4"/>
      <c r="U1160" s="1" t="str">
        <f t="shared" si="38"/>
        <v>Normal</v>
      </c>
    </row>
    <row r="1161" spans="1:21" x14ac:dyDescent="0.25">
      <c r="A1161" s="1" t="s">
        <v>1173</v>
      </c>
      <c r="B1161" s="4">
        <v>45345</v>
      </c>
      <c r="C1161" s="1" t="s">
        <v>2362</v>
      </c>
      <c r="D1161" s="1" t="s">
        <v>2409</v>
      </c>
      <c r="E1161" s="1">
        <v>4</v>
      </c>
      <c r="F1161" s="1">
        <v>466.7</v>
      </c>
      <c r="G1161" s="1" t="s">
        <v>2766</v>
      </c>
      <c r="H1161" s="1" t="s">
        <v>3065</v>
      </c>
      <c r="I1161" s="1" t="s">
        <v>3072</v>
      </c>
      <c r="J1161" s="1" t="s">
        <v>4234</v>
      </c>
      <c r="K1161" s="1">
        <v>8</v>
      </c>
      <c r="L1161" s="1" t="s">
        <v>4283</v>
      </c>
      <c r="M1161" s="1" t="s">
        <v>4278</v>
      </c>
      <c r="N1161" s="6" t="str">
        <f t="shared" si="37"/>
        <v>Feb</v>
      </c>
      <c r="O1161" s="1">
        <v>1866.8</v>
      </c>
      <c r="T1161" s="4"/>
      <c r="U1161" s="1" t="str">
        <f t="shared" si="38"/>
        <v>Normal</v>
      </c>
    </row>
    <row r="1162" spans="1:21" x14ac:dyDescent="0.25">
      <c r="A1162" s="1" t="s">
        <v>1174</v>
      </c>
      <c r="B1162" s="4">
        <v>45539</v>
      </c>
      <c r="C1162" s="1" t="s">
        <v>2363</v>
      </c>
      <c r="D1162" s="1" t="s">
        <v>2409</v>
      </c>
      <c r="E1162" s="1">
        <v>1</v>
      </c>
      <c r="F1162" s="1">
        <v>541.64</v>
      </c>
      <c r="G1162" s="1" t="s">
        <v>2777</v>
      </c>
      <c r="H1162" s="1" t="s">
        <v>3065</v>
      </c>
      <c r="I1162" s="1" t="s">
        <v>3070</v>
      </c>
      <c r="J1162" s="1" t="s">
        <v>4235</v>
      </c>
      <c r="K1162" s="1">
        <v>5</v>
      </c>
      <c r="L1162" s="1" t="s">
        <v>4275</v>
      </c>
      <c r="M1162" s="1" t="s">
        <v>4280</v>
      </c>
      <c r="N1162" s="6" t="str">
        <f t="shared" si="37"/>
        <v>Sep</v>
      </c>
      <c r="O1162" s="1">
        <v>541.64</v>
      </c>
      <c r="T1162" s="4"/>
      <c r="U1162" s="1" t="str">
        <f t="shared" si="38"/>
        <v>Normal</v>
      </c>
    </row>
    <row r="1163" spans="1:21" x14ac:dyDescent="0.25">
      <c r="A1163" s="1" t="s">
        <v>1175</v>
      </c>
      <c r="B1163" s="4">
        <v>45215</v>
      </c>
      <c r="C1163" s="1" t="s">
        <v>2364</v>
      </c>
      <c r="D1163" s="1" t="s">
        <v>2404</v>
      </c>
      <c r="E1163" s="1">
        <v>1</v>
      </c>
      <c r="F1163" s="1">
        <v>11.39</v>
      </c>
      <c r="G1163" s="1" t="s">
        <v>2693</v>
      </c>
      <c r="H1163" s="1" t="s">
        <v>3069</v>
      </c>
      <c r="I1163" s="1" t="s">
        <v>3071</v>
      </c>
      <c r="J1163" s="1" t="s">
        <v>4236</v>
      </c>
      <c r="K1163" s="1">
        <v>6</v>
      </c>
      <c r="L1163" s="1" t="s">
        <v>4277</v>
      </c>
      <c r="M1163" s="1" t="s">
        <v>4280</v>
      </c>
      <c r="N1163" s="6" t="str">
        <f t="shared" si="37"/>
        <v>Oct</v>
      </c>
      <c r="O1163" s="1">
        <v>11.39</v>
      </c>
      <c r="T1163" s="4"/>
      <c r="U1163" s="1" t="str">
        <f t="shared" si="38"/>
        <v>Normal</v>
      </c>
    </row>
    <row r="1164" spans="1:21" x14ac:dyDescent="0.25">
      <c r="A1164" s="1" t="s">
        <v>1176</v>
      </c>
      <c r="B1164" s="4">
        <v>45727</v>
      </c>
      <c r="C1164" s="1" t="s">
        <v>2365</v>
      </c>
      <c r="D1164" s="1" t="s">
        <v>2404</v>
      </c>
      <c r="E1164" s="1">
        <v>2</v>
      </c>
      <c r="F1164" s="1">
        <v>224.37</v>
      </c>
      <c r="G1164" s="1" t="s">
        <v>3049</v>
      </c>
      <c r="H1164" s="1" t="s">
        <v>3065</v>
      </c>
      <c r="I1164" s="1" t="s">
        <v>3073</v>
      </c>
      <c r="J1164" s="1" t="s">
        <v>4237</v>
      </c>
      <c r="K1164" s="1">
        <v>3</v>
      </c>
      <c r="L1164" s="1" t="s">
        <v>4277</v>
      </c>
      <c r="M1164" s="1" t="s">
        <v>4279</v>
      </c>
      <c r="N1164" s="6" t="str">
        <f t="shared" si="37"/>
        <v>Mar</v>
      </c>
      <c r="O1164" s="1">
        <v>448.74</v>
      </c>
      <c r="T1164" s="4"/>
      <c r="U1164" s="1" t="str">
        <f t="shared" si="38"/>
        <v>Normal</v>
      </c>
    </row>
    <row r="1165" spans="1:21" x14ac:dyDescent="0.25">
      <c r="A1165" s="1" t="s">
        <v>1177</v>
      </c>
      <c r="B1165" s="4">
        <v>45454</v>
      </c>
      <c r="C1165" s="1" t="s">
        <v>2366</v>
      </c>
      <c r="D1165" s="1" t="s">
        <v>2408</v>
      </c>
      <c r="E1165" s="1">
        <v>3</v>
      </c>
      <c r="F1165" s="1">
        <v>306.29000000000002</v>
      </c>
      <c r="G1165" s="1" t="s">
        <v>3050</v>
      </c>
      <c r="H1165" s="1" t="s">
        <v>3067</v>
      </c>
      <c r="I1165" s="1" t="s">
        <v>3072</v>
      </c>
      <c r="J1165" s="1" t="s">
        <v>4238</v>
      </c>
      <c r="K1165" s="1">
        <v>7</v>
      </c>
      <c r="L1165" s="1" t="s">
        <v>4277</v>
      </c>
      <c r="M1165" s="1" t="s">
        <v>4278</v>
      </c>
      <c r="N1165" s="6" t="str">
        <f t="shared" si="37"/>
        <v>Jun</v>
      </c>
      <c r="O1165" s="1">
        <v>918.87000000000012</v>
      </c>
      <c r="T1165" s="4"/>
      <c r="U1165" s="1" t="str">
        <f t="shared" si="38"/>
        <v>Normal</v>
      </c>
    </row>
    <row r="1166" spans="1:21" x14ac:dyDescent="0.25">
      <c r="A1166" s="1" t="s">
        <v>1178</v>
      </c>
      <c r="B1166" s="4">
        <v>45299</v>
      </c>
      <c r="C1166" s="1" t="s">
        <v>2367</v>
      </c>
      <c r="D1166" s="1" t="s">
        <v>2405</v>
      </c>
      <c r="E1166" s="1">
        <v>5</v>
      </c>
      <c r="F1166" s="1">
        <v>315.57</v>
      </c>
      <c r="G1166" s="1" t="s">
        <v>2826</v>
      </c>
      <c r="H1166" s="1" t="s">
        <v>3065</v>
      </c>
      <c r="I1166" s="1" t="s">
        <v>3073</v>
      </c>
      <c r="J1166" s="1" t="s">
        <v>4239</v>
      </c>
      <c r="K1166" s="1">
        <v>6</v>
      </c>
      <c r="L1166" s="1" t="s">
        <v>4277</v>
      </c>
      <c r="M1166" s="1" t="s">
        <v>4280</v>
      </c>
      <c r="N1166" s="6" t="str">
        <f t="shared" si="37"/>
        <v>Jan</v>
      </c>
      <c r="O1166" s="1">
        <v>1577.85</v>
      </c>
      <c r="T1166" s="4"/>
      <c r="U1166" s="1" t="str">
        <f t="shared" si="38"/>
        <v>Normal</v>
      </c>
    </row>
    <row r="1167" spans="1:21" x14ac:dyDescent="0.25">
      <c r="A1167" s="1" t="s">
        <v>1179</v>
      </c>
      <c r="B1167" s="4">
        <v>45121</v>
      </c>
      <c r="C1167" s="1" t="s">
        <v>2368</v>
      </c>
      <c r="D1167" s="1" t="s">
        <v>2406</v>
      </c>
      <c r="E1167" s="1">
        <v>3</v>
      </c>
      <c r="F1167" s="1">
        <v>223.79</v>
      </c>
      <c r="G1167" s="1" t="s">
        <v>3051</v>
      </c>
      <c r="H1167" s="1" t="s">
        <v>3065</v>
      </c>
      <c r="I1167" s="1" t="s">
        <v>3074</v>
      </c>
      <c r="J1167" s="1" t="s">
        <v>4240</v>
      </c>
      <c r="K1167" s="1">
        <v>3</v>
      </c>
      <c r="L1167" s="1" t="s">
        <v>4283</v>
      </c>
      <c r="M1167" s="1" t="s">
        <v>4282</v>
      </c>
      <c r="N1167" s="6" t="str">
        <f t="shared" si="37"/>
        <v>Jul</v>
      </c>
      <c r="O1167" s="1">
        <v>671.37</v>
      </c>
      <c r="T1167" s="4"/>
      <c r="U1167" s="1" t="str">
        <f t="shared" si="38"/>
        <v>Normal</v>
      </c>
    </row>
    <row r="1168" spans="1:21" x14ac:dyDescent="0.25">
      <c r="A1168" s="1" t="s">
        <v>1180</v>
      </c>
      <c r="B1168" s="4">
        <v>45138</v>
      </c>
      <c r="C1168" s="1" t="s">
        <v>2369</v>
      </c>
      <c r="D1168" s="1" t="s">
        <v>2406</v>
      </c>
      <c r="E1168" s="1">
        <v>3</v>
      </c>
      <c r="F1168" s="1">
        <v>324.47000000000003</v>
      </c>
      <c r="G1168" s="1" t="s">
        <v>2486</v>
      </c>
      <c r="H1168" s="1" t="s">
        <v>3069</v>
      </c>
      <c r="I1168" s="1" t="s">
        <v>3073</v>
      </c>
      <c r="J1168" s="1" t="s">
        <v>4241</v>
      </c>
      <c r="K1168" s="1">
        <v>4</v>
      </c>
      <c r="L1168" s="1" t="s">
        <v>4277</v>
      </c>
      <c r="M1168" s="1" t="s">
        <v>4280</v>
      </c>
      <c r="N1168" s="6" t="str">
        <f t="shared" si="37"/>
        <v>Jul</v>
      </c>
      <c r="O1168" s="1">
        <v>973.41000000000008</v>
      </c>
      <c r="T1168" s="4"/>
      <c r="U1168" s="1" t="str">
        <f t="shared" si="38"/>
        <v>Normal</v>
      </c>
    </row>
    <row r="1169" spans="1:21" x14ac:dyDescent="0.25">
      <c r="A1169" s="1" t="s">
        <v>1181</v>
      </c>
      <c r="B1169" s="4">
        <v>45216</v>
      </c>
      <c r="C1169" s="1" t="s">
        <v>2370</v>
      </c>
      <c r="D1169" s="1" t="s">
        <v>2407</v>
      </c>
      <c r="E1169" s="1">
        <v>2</v>
      </c>
      <c r="F1169" s="1">
        <v>92.87</v>
      </c>
      <c r="G1169" s="1" t="s">
        <v>2645</v>
      </c>
      <c r="H1169" s="1" t="s">
        <v>3067</v>
      </c>
      <c r="I1169" s="1" t="s">
        <v>3074</v>
      </c>
      <c r="J1169" s="1" t="s">
        <v>4242</v>
      </c>
      <c r="K1169" s="1">
        <v>5</v>
      </c>
      <c r="L1169" s="1" t="s">
        <v>4276</v>
      </c>
      <c r="M1169" s="1" t="s">
        <v>4281</v>
      </c>
      <c r="N1169" s="6" t="str">
        <f t="shared" si="37"/>
        <v>Oct</v>
      </c>
      <c r="O1169" s="1">
        <v>185.74</v>
      </c>
      <c r="T1169" s="4"/>
      <c r="U1169" s="1" t="str">
        <f t="shared" si="38"/>
        <v>Normal</v>
      </c>
    </row>
    <row r="1170" spans="1:21" x14ac:dyDescent="0.25">
      <c r="A1170" s="1" t="s">
        <v>1182</v>
      </c>
      <c r="B1170" s="4">
        <v>45024</v>
      </c>
      <c r="C1170" s="1" t="s">
        <v>2371</v>
      </c>
      <c r="D1170" s="1" t="s">
        <v>2408</v>
      </c>
      <c r="E1170" s="1">
        <v>2</v>
      </c>
      <c r="F1170" s="1">
        <v>331.42</v>
      </c>
      <c r="G1170" s="1" t="s">
        <v>3052</v>
      </c>
      <c r="H1170" s="1" t="s">
        <v>3067</v>
      </c>
      <c r="I1170" s="1" t="s">
        <v>3073</v>
      </c>
      <c r="J1170" s="1" t="s">
        <v>4243</v>
      </c>
      <c r="K1170" s="1">
        <v>6</v>
      </c>
      <c r="L1170" s="1" t="s">
        <v>4277</v>
      </c>
      <c r="M1170" s="1" t="s">
        <v>4282</v>
      </c>
      <c r="N1170" s="6" t="str">
        <f t="shared" si="37"/>
        <v>Apr</v>
      </c>
      <c r="O1170" s="1">
        <v>662.84</v>
      </c>
      <c r="T1170" s="4"/>
      <c r="U1170" s="1" t="str">
        <f t="shared" si="38"/>
        <v>Normal</v>
      </c>
    </row>
    <row r="1171" spans="1:21" x14ac:dyDescent="0.25">
      <c r="A1171" s="1" t="s">
        <v>1183</v>
      </c>
      <c r="B1171" s="4">
        <v>45649</v>
      </c>
      <c r="C1171" s="1" t="s">
        <v>2372</v>
      </c>
      <c r="D1171" s="1" t="s">
        <v>2406</v>
      </c>
      <c r="E1171" s="1">
        <v>1</v>
      </c>
      <c r="F1171" s="1">
        <v>525.42999999999995</v>
      </c>
      <c r="G1171" s="1" t="s">
        <v>3053</v>
      </c>
      <c r="H1171" s="1" t="s">
        <v>3069</v>
      </c>
      <c r="I1171" s="1" t="s">
        <v>3071</v>
      </c>
      <c r="J1171" s="1" t="s">
        <v>4244</v>
      </c>
      <c r="K1171" s="1">
        <v>2</v>
      </c>
      <c r="L1171" s="1" t="s">
        <v>4275</v>
      </c>
      <c r="M1171" s="1" t="s">
        <v>4278</v>
      </c>
      <c r="N1171" s="6" t="str">
        <f t="shared" si="37"/>
        <v>Dec</v>
      </c>
      <c r="O1171" s="1">
        <v>525.42999999999995</v>
      </c>
      <c r="T1171" s="4"/>
      <c r="U1171" s="1" t="str">
        <f t="shared" si="38"/>
        <v>Normal</v>
      </c>
    </row>
    <row r="1172" spans="1:21" x14ac:dyDescent="0.25">
      <c r="A1172" s="1" t="s">
        <v>1184</v>
      </c>
      <c r="B1172" s="4">
        <v>45141</v>
      </c>
      <c r="C1172" s="1" t="s">
        <v>2373</v>
      </c>
      <c r="D1172" s="1" t="s">
        <v>2407</v>
      </c>
      <c r="E1172" s="1">
        <v>2</v>
      </c>
      <c r="F1172" s="1">
        <v>697.19</v>
      </c>
      <c r="G1172" s="1" t="s">
        <v>2607</v>
      </c>
      <c r="H1172" s="1" t="s">
        <v>3069</v>
      </c>
      <c r="I1172" s="1" t="s">
        <v>3072</v>
      </c>
      <c r="J1172" s="1" t="s">
        <v>4245</v>
      </c>
      <c r="K1172" s="1">
        <v>7</v>
      </c>
      <c r="L1172" s="1" t="s">
        <v>4276</v>
      </c>
      <c r="M1172" s="1" t="s">
        <v>4280</v>
      </c>
      <c r="N1172" s="6" t="str">
        <f t="shared" si="37"/>
        <v>Aug</v>
      </c>
      <c r="O1172" s="1">
        <v>1394.38</v>
      </c>
      <c r="T1172" s="4"/>
      <c r="U1172" s="1" t="str">
        <f t="shared" si="38"/>
        <v>Normal</v>
      </c>
    </row>
    <row r="1173" spans="1:21" x14ac:dyDescent="0.25">
      <c r="A1173" s="1" t="s">
        <v>1185</v>
      </c>
      <c r="B1173" s="4">
        <v>45166</v>
      </c>
      <c r="C1173" s="1" t="s">
        <v>2374</v>
      </c>
      <c r="D1173" s="1" t="s">
        <v>2404</v>
      </c>
      <c r="E1173" s="1">
        <v>4</v>
      </c>
      <c r="F1173" s="1">
        <v>518.4</v>
      </c>
      <c r="G1173" s="1" t="s">
        <v>3054</v>
      </c>
      <c r="H1173" s="1" t="s">
        <v>3067</v>
      </c>
      <c r="I1173" s="1" t="s">
        <v>3073</v>
      </c>
      <c r="J1173" s="1" t="s">
        <v>4246</v>
      </c>
      <c r="K1173" s="1">
        <v>7</v>
      </c>
      <c r="L1173" s="1" t="s">
        <v>4275</v>
      </c>
      <c r="M1173" s="1" t="s">
        <v>4281</v>
      </c>
      <c r="N1173" s="6" t="str">
        <f t="shared" si="37"/>
        <v>Aug</v>
      </c>
      <c r="O1173" s="1">
        <v>2073.6</v>
      </c>
      <c r="T1173" s="4"/>
      <c r="U1173" s="1" t="str">
        <f t="shared" si="38"/>
        <v>Normal</v>
      </c>
    </row>
    <row r="1174" spans="1:21" x14ac:dyDescent="0.25">
      <c r="A1174" s="1" t="s">
        <v>1186</v>
      </c>
      <c r="B1174" s="4">
        <v>45692</v>
      </c>
      <c r="C1174" s="1" t="s">
        <v>2375</v>
      </c>
      <c r="D1174" s="1" t="s">
        <v>2409</v>
      </c>
      <c r="E1174" s="1">
        <v>3</v>
      </c>
      <c r="F1174" s="1">
        <v>131.96</v>
      </c>
      <c r="G1174" s="1" t="s">
        <v>2793</v>
      </c>
      <c r="H1174" s="1" t="s">
        <v>3067</v>
      </c>
      <c r="I1174" s="1" t="s">
        <v>3074</v>
      </c>
      <c r="J1174" s="1" t="s">
        <v>4247</v>
      </c>
      <c r="K1174" s="1">
        <v>8</v>
      </c>
      <c r="L1174" s="1" t="s">
        <v>4283</v>
      </c>
      <c r="M1174" s="1" t="s">
        <v>4278</v>
      </c>
      <c r="N1174" s="6" t="str">
        <f t="shared" si="37"/>
        <v>Feb</v>
      </c>
      <c r="O1174" s="1">
        <v>395.88</v>
      </c>
      <c r="T1174" s="4"/>
      <c r="U1174" s="1" t="str">
        <f t="shared" si="38"/>
        <v>Normal</v>
      </c>
    </row>
    <row r="1175" spans="1:21" x14ac:dyDescent="0.25">
      <c r="A1175" s="1" t="s">
        <v>1187</v>
      </c>
      <c r="B1175" s="4">
        <v>45569</v>
      </c>
      <c r="C1175" s="1" t="s">
        <v>2376</v>
      </c>
      <c r="D1175" s="1" t="s">
        <v>2403</v>
      </c>
      <c r="E1175" s="1">
        <v>1</v>
      </c>
      <c r="F1175" s="1">
        <v>208.36</v>
      </c>
      <c r="G1175" s="1" t="s">
        <v>2891</v>
      </c>
      <c r="H1175" s="1" t="s">
        <v>3066</v>
      </c>
      <c r="I1175" s="1" t="s">
        <v>3070</v>
      </c>
      <c r="J1175" s="1" t="s">
        <v>4248</v>
      </c>
      <c r="K1175" s="1">
        <v>4</v>
      </c>
      <c r="L1175" s="1" t="s">
        <v>4276</v>
      </c>
      <c r="M1175" s="1" t="s">
        <v>4280</v>
      </c>
      <c r="N1175" s="6" t="str">
        <f t="shared" si="37"/>
        <v>Oct</v>
      </c>
      <c r="O1175" s="1">
        <v>208.36</v>
      </c>
      <c r="T1175" s="4"/>
      <c r="U1175" s="1" t="str">
        <f t="shared" si="38"/>
        <v>Normal</v>
      </c>
    </row>
    <row r="1176" spans="1:21" x14ac:dyDescent="0.25">
      <c r="A1176" s="1" t="s">
        <v>1188</v>
      </c>
      <c r="B1176" s="4">
        <v>45257</v>
      </c>
      <c r="C1176" s="1" t="s">
        <v>2377</v>
      </c>
      <c r="D1176" s="1" t="s">
        <v>2407</v>
      </c>
      <c r="E1176" s="1">
        <v>3</v>
      </c>
      <c r="F1176" s="1">
        <v>222.34</v>
      </c>
      <c r="G1176" s="1" t="s">
        <v>3055</v>
      </c>
      <c r="H1176" s="1" t="s">
        <v>3067</v>
      </c>
      <c r="I1176" s="1" t="s">
        <v>3072</v>
      </c>
      <c r="J1176" s="1" t="s">
        <v>4249</v>
      </c>
      <c r="K1176" s="1">
        <v>5</v>
      </c>
      <c r="L1176" s="1" t="s">
        <v>4277</v>
      </c>
      <c r="M1176" s="1" t="s">
        <v>4280</v>
      </c>
      <c r="N1176" s="6" t="str">
        <f t="shared" si="37"/>
        <v>Nov</v>
      </c>
      <c r="O1176" s="1">
        <v>667.02</v>
      </c>
      <c r="T1176" s="4"/>
      <c r="U1176" s="1" t="str">
        <f t="shared" si="38"/>
        <v>Normal</v>
      </c>
    </row>
    <row r="1177" spans="1:21" x14ac:dyDescent="0.25">
      <c r="A1177" s="1" t="s">
        <v>1189</v>
      </c>
      <c r="B1177" s="4">
        <v>45545</v>
      </c>
      <c r="C1177" s="1" t="s">
        <v>2378</v>
      </c>
      <c r="D1177" s="1" t="s">
        <v>2407</v>
      </c>
      <c r="E1177" s="1">
        <v>3</v>
      </c>
      <c r="F1177" s="1">
        <v>91.74</v>
      </c>
      <c r="G1177" s="1" t="s">
        <v>2666</v>
      </c>
      <c r="H1177" s="1" t="s">
        <v>3065</v>
      </c>
      <c r="I1177" s="1" t="s">
        <v>3072</v>
      </c>
      <c r="J1177" s="1" t="s">
        <v>4250</v>
      </c>
      <c r="K1177" s="1">
        <v>8</v>
      </c>
      <c r="L1177" s="1" t="s">
        <v>4276</v>
      </c>
      <c r="M1177" s="1" t="s">
        <v>4279</v>
      </c>
      <c r="N1177" s="6" t="str">
        <f t="shared" si="37"/>
        <v>Sep</v>
      </c>
      <c r="O1177" s="1">
        <v>275.22000000000003</v>
      </c>
      <c r="T1177" s="4"/>
      <c r="U1177" s="1" t="str">
        <f t="shared" si="38"/>
        <v>Normal</v>
      </c>
    </row>
    <row r="1178" spans="1:21" x14ac:dyDescent="0.25">
      <c r="A1178" s="1" t="s">
        <v>1190</v>
      </c>
      <c r="B1178" s="4">
        <v>45151</v>
      </c>
      <c r="C1178" s="1" t="s">
        <v>2379</v>
      </c>
      <c r="D1178" s="1" t="s">
        <v>2405</v>
      </c>
      <c r="E1178" s="1">
        <v>2</v>
      </c>
      <c r="F1178" s="1">
        <v>213.83</v>
      </c>
      <c r="G1178" s="1" t="s">
        <v>3056</v>
      </c>
      <c r="H1178" s="1" t="s">
        <v>3065</v>
      </c>
      <c r="I1178" s="1" t="s">
        <v>3071</v>
      </c>
      <c r="J1178" s="1" t="s">
        <v>4251</v>
      </c>
      <c r="K1178" s="1">
        <v>2</v>
      </c>
      <c r="L1178" s="1" t="s">
        <v>4277</v>
      </c>
      <c r="M1178" s="1" t="s">
        <v>4280</v>
      </c>
      <c r="N1178" s="6" t="str">
        <f t="shared" si="37"/>
        <v>Aug</v>
      </c>
      <c r="O1178" s="1">
        <v>427.66</v>
      </c>
      <c r="T1178" s="4"/>
      <c r="U1178" s="1" t="str">
        <f t="shared" si="38"/>
        <v>Normal</v>
      </c>
    </row>
    <row r="1179" spans="1:21" x14ac:dyDescent="0.25">
      <c r="A1179" s="1" t="s">
        <v>1191</v>
      </c>
      <c r="B1179" s="4">
        <v>45043</v>
      </c>
      <c r="C1179" s="1" t="s">
        <v>2380</v>
      </c>
      <c r="D1179" s="1" t="s">
        <v>2407</v>
      </c>
      <c r="E1179" s="1">
        <v>1</v>
      </c>
      <c r="F1179" s="1">
        <v>127.55</v>
      </c>
      <c r="G1179" s="1" t="s">
        <v>2749</v>
      </c>
      <c r="H1179" s="1" t="s">
        <v>3069</v>
      </c>
      <c r="I1179" s="1" t="s">
        <v>3070</v>
      </c>
      <c r="J1179" s="1" t="s">
        <v>4252</v>
      </c>
      <c r="K1179" s="1">
        <v>3</v>
      </c>
      <c r="L1179" s="1" t="s">
        <v>4275</v>
      </c>
      <c r="M1179" s="1" t="s">
        <v>4279</v>
      </c>
      <c r="N1179" s="6" t="str">
        <f t="shared" si="37"/>
        <v>Apr</v>
      </c>
      <c r="O1179" s="1">
        <v>127.55</v>
      </c>
      <c r="T1179" s="4"/>
      <c r="U1179" s="1" t="str">
        <f t="shared" si="38"/>
        <v>Normal</v>
      </c>
    </row>
    <row r="1180" spans="1:21" x14ac:dyDescent="0.25">
      <c r="A1180" s="1" t="s">
        <v>1192</v>
      </c>
      <c r="B1180" s="4">
        <v>45543</v>
      </c>
      <c r="C1180" s="1" t="s">
        <v>2381</v>
      </c>
      <c r="D1180" s="1" t="s">
        <v>2403</v>
      </c>
      <c r="E1180" s="1">
        <v>1</v>
      </c>
      <c r="F1180" s="1">
        <v>70.239999999999995</v>
      </c>
      <c r="G1180" s="1" t="s">
        <v>2616</v>
      </c>
      <c r="H1180" s="1" t="s">
        <v>3067</v>
      </c>
      <c r="I1180" s="1" t="s">
        <v>3071</v>
      </c>
      <c r="J1180" s="1" t="s">
        <v>4253</v>
      </c>
      <c r="K1180" s="1">
        <v>4</v>
      </c>
      <c r="L1180" s="1" t="s">
        <v>4276</v>
      </c>
      <c r="M1180" s="1" t="s">
        <v>4282</v>
      </c>
      <c r="N1180" s="6" t="str">
        <f t="shared" si="37"/>
        <v>Sep</v>
      </c>
      <c r="O1180" s="1">
        <v>70.239999999999995</v>
      </c>
      <c r="T1180" s="4"/>
      <c r="U1180" s="1" t="str">
        <f t="shared" si="38"/>
        <v>Normal</v>
      </c>
    </row>
    <row r="1181" spans="1:21" x14ac:dyDescent="0.25">
      <c r="A1181" s="1" t="s">
        <v>1193</v>
      </c>
      <c r="B1181" s="4">
        <v>44934</v>
      </c>
      <c r="C1181" s="1" t="s">
        <v>2382</v>
      </c>
      <c r="D1181" s="1" t="s">
        <v>2408</v>
      </c>
      <c r="E1181" s="1">
        <v>5</v>
      </c>
      <c r="F1181" s="1">
        <v>518.54999999999995</v>
      </c>
      <c r="G1181" s="1" t="s">
        <v>2709</v>
      </c>
      <c r="H1181" s="1" t="s">
        <v>3067</v>
      </c>
      <c r="I1181" s="1" t="s">
        <v>3071</v>
      </c>
      <c r="J1181" s="1" t="s">
        <v>4254</v>
      </c>
      <c r="K1181" s="1">
        <v>6</v>
      </c>
      <c r="L1181" s="1" t="s">
        <v>4277</v>
      </c>
      <c r="M1181" s="1" t="s">
        <v>4278</v>
      </c>
      <c r="N1181" s="6" t="str">
        <f t="shared" si="37"/>
        <v>Jan</v>
      </c>
      <c r="O1181" s="1">
        <v>2592.75</v>
      </c>
      <c r="T1181" s="4"/>
      <c r="U1181" s="1" t="str">
        <f t="shared" si="38"/>
        <v>Normal</v>
      </c>
    </row>
    <row r="1182" spans="1:21" x14ac:dyDescent="0.25">
      <c r="A1182" s="1" t="s">
        <v>1194</v>
      </c>
      <c r="B1182" s="4">
        <v>45230</v>
      </c>
      <c r="C1182" s="1" t="s">
        <v>2383</v>
      </c>
      <c r="D1182" s="1" t="s">
        <v>2406</v>
      </c>
      <c r="E1182" s="1">
        <v>4</v>
      </c>
      <c r="F1182" s="1">
        <v>298.36</v>
      </c>
      <c r="G1182" s="1" t="s">
        <v>2805</v>
      </c>
      <c r="H1182" s="1" t="s">
        <v>3065</v>
      </c>
      <c r="I1182" s="1" t="s">
        <v>3074</v>
      </c>
      <c r="J1182" s="1" t="s">
        <v>4255</v>
      </c>
      <c r="K1182" s="1">
        <v>8</v>
      </c>
      <c r="L1182" s="1" t="s">
        <v>4276</v>
      </c>
      <c r="M1182" s="1" t="s">
        <v>4282</v>
      </c>
      <c r="N1182" s="6" t="str">
        <f t="shared" si="37"/>
        <v>Oct</v>
      </c>
      <c r="O1182" s="1">
        <v>1193.44</v>
      </c>
      <c r="T1182" s="4"/>
      <c r="U1182" s="1" t="str">
        <f t="shared" si="38"/>
        <v>Normal</v>
      </c>
    </row>
    <row r="1183" spans="1:21" x14ac:dyDescent="0.25">
      <c r="A1183" s="1" t="s">
        <v>1195</v>
      </c>
      <c r="B1183" s="4">
        <v>45134</v>
      </c>
      <c r="C1183" s="1" t="s">
        <v>2384</v>
      </c>
      <c r="D1183" s="1" t="s">
        <v>2409</v>
      </c>
      <c r="E1183" s="1">
        <v>3</v>
      </c>
      <c r="F1183" s="1">
        <v>158.74</v>
      </c>
      <c r="G1183" s="1" t="s">
        <v>2694</v>
      </c>
      <c r="H1183" s="1" t="s">
        <v>3066</v>
      </c>
      <c r="I1183" s="1" t="s">
        <v>3074</v>
      </c>
      <c r="J1183" s="1" t="s">
        <v>4256</v>
      </c>
      <c r="K1183" s="1">
        <v>7</v>
      </c>
      <c r="L1183" s="1" t="s">
        <v>4276</v>
      </c>
      <c r="M1183" s="1" t="s">
        <v>4278</v>
      </c>
      <c r="N1183" s="6" t="str">
        <f t="shared" si="37"/>
        <v>Jul</v>
      </c>
      <c r="O1183" s="1">
        <v>476.22</v>
      </c>
      <c r="T1183" s="4"/>
      <c r="U1183" s="1" t="str">
        <f t="shared" si="38"/>
        <v>Normal</v>
      </c>
    </row>
    <row r="1184" spans="1:21" x14ac:dyDescent="0.25">
      <c r="A1184" s="1" t="s">
        <v>1196</v>
      </c>
      <c r="B1184" s="4">
        <v>45822</v>
      </c>
      <c r="C1184" s="1" t="s">
        <v>2385</v>
      </c>
      <c r="D1184" s="1" t="s">
        <v>2406</v>
      </c>
      <c r="E1184" s="1">
        <v>2</v>
      </c>
      <c r="F1184" s="1">
        <v>420.29</v>
      </c>
      <c r="G1184" s="1" t="s">
        <v>2835</v>
      </c>
      <c r="H1184" s="1" t="s">
        <v>3068</v>
      </c>
      <c r="I1184" s="1" t="s">
        <v>3072</v>
      </c>
      <c r="J1184" s="1" t="s">
        <v>4257</v>
      </c>
      <c r="K1184" s="1">
        <v>3</v>
      </c>
      <c r="L1184" s="1" t="s">
        <v>4275</v>
      </c>
      <c r="M1184" s="1" t="s">
        <v>4282</v>
      </c>
      <c r="N1184" s="6" t="str">
        <f t="shared" si="37"/>
        <v>Jun</v>
      </c>
      <c r="O1184" s="1">
        <v>840.58</v>
      </c>
      <c r="T1184" s="4"/>
      <c r="U1184" s="1" t="str">
        <f t="shared" si="38"/>
        <v>Normal</v>
      </c>
    </row>
    <row r="1185" spans="1:21" x14ac:dyDescent="0.25">
      <c r="A1185" s="1" t="s">
        <v>1197</v>
      </c>
      <c r="B1185" s="4">
        <v>45021</v>
      </c>
      <c r="C1185" s="1" t="s">
        <v>2386</v>
      </c>
      <c r="D1185" s="1" t="s">
        <v>2409</v>
      </c>
      <c r="E1185" s="1">
        <v>1</v>
      </c>
      <c r="F1185" s="1">
        <v>281.52</v>
      </c>
      <c r="G1185" s="1" t="s">
        <v>2633</v>
      </c>
      <c r="H1185" s="1" t="s">
        <v>3068</v>
      </c>
      <c r="I1185" s="1" t="s">
        <v>3070</v>
      </c>
      <c r="J1185" s="1" t="s">
        <v>4258</v>
      </c>
      <c r="K1185" s="1">
        <v>6</v>
      </c>
      <c r="L1185" s="1" t="s">
        <v>4277</v>
      </c>
      <c r="M1185" s="1" t="s">
        <v>4279</v>
      </c>
      <c r="N1185" s="6" t="str">
        <f t="shared" si="37"/>
        <v>Apr</v>
      </c>
      <c r="O1185" s="1">
        <v>281.52</v>
      </c>
      <c r="T1185" s="4"/>
      <c r="U1185" s="1" t="str">
        <f t="shared" si="38"/>
        <v>Normal</v>
      </c>
    </row>
    <row r="1186" spans="1:21" x14ac:dyDescent="0.25">
      <c r="A1186" s="1" t="s">
        <v>1198</v>
      </c>
      <c r="B1186" s="4">
        <v>45196</v>
      </c>
      <c r="C1186" s="1" t="s">
        <v>2387</v>
      </c>
      <c r="D1186" s="1" t="s">
        <v>2408</v>
      </c>
      <c r="E1186" s="1">
        <v>1</v>
      </c>
      <c r="F1186" s="1">
        <v>204.08</v>
      </c>
      <c r="G1186" s="1" t="s">
        <v>2938</v>
      </c>
      <c r="H1186" s="1" t="s">
        <v>3068</v>
      </c>
      <c r="I1186" s="1" t="s">
        <v>3072</v>
      </c>
      <c r="J1186" s="1" t="s">
        <v>4259</v>
      </c>
      <c r="K1186" s="1">
        <v>4</v>
      </c>
      <c r="L1186" s="1" t="s">
        <v>4283</v>
      </c>
      <c r="M1186" s="1" t="s">
        <v>4282</v>
      </c>
      <c r="N1186" s="6" t="str">
        <f t="shared" si="37"/>
        <v>Sep</v>
      </c>
      <c r="O1186" s="1">
        <v>204.08</v>
      </c>
      <c r="T1186" s="4"/>
      <c r="U1186" s="1" t="str">
        <f t="shared" si="38"/>
        <v>Normal</v>
      </c>
    </row>
    <row r="1187" spans="1:21" x14ac:dyDescent="0.25">
      <c r="A1187" s="1" t="s">
        <v>1199</v>
      </c>
      <c r="B1187" s="4">
        <v>45481</v>
      </c>
      <c r="C1187" s="1" t="s">
        <v>2388</v>
      </c>
      <c r="D1187" s="1" t="s">
        <v>2406</v>
      </c>
      <c r="E1187" s="1">
        <v>1</v>
      </c>
      <c r="F1187" s="1">
        <v>343.31</v>
      </c>
      <c r="G1187" s="1" t="s">
        <v>3057</v>
      </c>
      <c r="H1187" s="1" t="s">
        <v>3068</v>
      </c>
      <c r="I1187" s="1" t="s">
        <v>3072</v>
      </c>
      <c r="J1187" s="1" t="s">
        <v>4260</v>
      </c>
      <c r="K1187" s="1">
        <v>6</v>
      </c>
      <c r="L1187" s="1" t="s">
        <v>4275</v>
      </c>
      <c r="M1187" s="1" t="s">
        <v>4282</v>
      </c>
      <c r="N1187" s="6" t="str">
        <f t="shared" si="37"/>
        <v>Jul</v>
      </c>
      <c r="O1187" s="1">
        <v>343.31</v>
      </c>
      <c r="T1187" s="4"/>
      <c r="U1187" s="1" t="str">
        <f t="shared" si="38"/>
        <v>Normal</v>
      </c>
    </row>
    <row r="1188" spans="1:21" x14ac:dyDescent="0.25">
      <c r="A1188" s="1" t="s">
        <v>1200</v>
      </c>
      <c r="B1188" s="4">
        <v>45248</v>
      </c>
      <c r="C1188" s="1" t="s">
        <v>2389</v>
      </c>
      <c r="D1188" s="1" t="s">
        <v>2403</v>
      </c>
      <c r="E1188" s="1">
        <v>1</v>
      </c>
      <c r="F1188" s="1">
        <v>163.32</v>
      </c>
      <c r="G1188" s="1" t="s">
        <v>3058</v>
      </c>
      <c r="H1188" s="1" t="s">
        <v>3069</v>
      </c>
      <c r="I1188" s="1" t="s">
        <v>3070</v>
      </c>
      <c r="J1188" s="1" t="s">
        <v>4261</v>
      </c>
      <c r="K1188" s="1">
        <v>6</v>
      </c>
      <c r="L1188" s="1" t="s">
        <v>4277</v>
      </c>
      <c r="M1188" s="1" t="s">
        <v>4281</v>
      </c>
      <c r="N1188" s="6" t="str">
        <f t="shared" si="37"/>
        <v>Nov</v>
      </c>
      <c r="O1188" s="1">
        <v>163.32</v>
      </c>
      <c r="T1188" s="4"/>
      <c r="U1188" s="1" t="str">
        <f t="shared" si="38"/>
        <v>Normal</v>
      </c>
    </row>
    <row r="1189" spans="1:21" x14ac:dyDescent="0.25">
      <c r="A1189" s="1" t="s">
        <v>1201</v>
      </c>
      <c r="B1189" s="4">
        <v>45364</v>
      </c>
      <c r="C1189" s="1" t="s">
        <v>2390</v>
      </c>
      <c r="D1189" s="1" t="s">
        <v>2409</v>
      </c>
      <c r="E1189" s="1">
        <v>2</v>
      </c>
      <c r="F1189" s="1">
        <v>184.6</v>
      </c>
      <c r="G1189" s="1" t="s">
        <v>2613</v>
      </c>
      <c r="H1189" s="1" t="s">
        <v>3068</v>
      </c>
      <c r="I1189" s="1" t="s">
        <v>3073</v>
      </c>
      <c r="J1189" s="1" t="s">
        <v>4262</v>
      </c>
      <c r="K1189" s="1">
        <v>7</v>
      </c>
      <c r="L1189" s="1" t="s">
        <v>4277</v>
      </c>
      <c r="M1189" s="1" t="s">
        <v>4280</v>
      </c>
      <c r="N1189" s="6" t="str">
        <f t="shared" si="37"/>
        <v>Mar</v>
      </c>
      <c r="O1189" s="1">
        <v>369.2</v>
      </c>
      <c r="T1189" s="4"/>
      <c r="U1189" s="1" t="str">
        <f t="shared" si="38"/>
        <v>Normal</v>
      </c>
    </row>
    <row r="1190" spans="1:21" x14ac:dyDescent="0.25">
      <c r="A1190" s="1" t="s">
        <v>1202</v>
      </c>
      <c r="B1190" s="4">
        <v>45206</v>
      </c>
      <c r="C1190" s="1" t="s">
        <v>2391</v>
      </c>
      <c r="D1190" s="1" t="s">
        <v>2407</v>
      </c>
      <c r="E1190" s="1">
        <v>2</v>
      </c>
      <c r="F1190" s="1">
        <v>371.29</v>
      </c>
      <c r="G1190" s="1" t="s">
        <v>3059</v>
      </c>
      <c r="H1190" s="1" t="s">
        <v>3068</v>
      </c>
      <c r="I1190" s="1" t="s">
        <v>3070</v>
      </c>
      <c r="J1190" s="1" t="s">
        <v>4263</v>
      </c>
      <c r="K1190" s="1">
        <v>5</v>
      </c>
      <c r="L1190" s="1" t="s">
        <v>4277</v>
      </c>
      <c r="M1190" s="1" t="s">
        <v>4281</v>
      </c>
      <c r="N1190" s="6" t="str">
        <f t="shared" si="37"/>
        <v>Oct</v>
      </c>
      <c r="O1190" s="1">
        <v>742.58</v>
      </c>
      <c r="T1190" s="4"/>
      <c r="U1190" s="1" t="str">
        <f t="shared" si="38"/>
        <v>Normal</v>
      </c>
    </row>
    <row r="1191" spans="1:21" x14ac:dyDescent="0.25">
      <c r="A1191" s="1" t="s">
        <v>1203</v>
      </c>
      <c r="B1191" s="4">
        <v>45521</v>
      </c>
      <c r="C1191" s="1" t="s">
        <v>2392</v>
      </c>
      <c r="D1191" s="1" t="s">
        <v>2405</v>
      </c>
      <c r="E1191" s="1">
        <v>5</v>
      </c>
      <c r="F1191" s="1">
        <v>389.22</v>
      </c>
      <c r="G1191" s="1" t="s">
        <v>3060</v>
      </c>
      <c r="H1191" s="1" t="s">
        <v>3069</v>
      </c>
      <c r="I1191" s="1" t="s">
        <v>3071</v>
      </c>
      <c r="J1191" s="1" t="s">
        <v>4264</v>
      </c>
      <c r="K1191" s="1">
        <v>7</v>
      </c>
      <c r="L1191" s="1" t="s">
        <v>4283</v>
      </c>
      <c r="M1191" s="1" t="s">
        <v>4279</v>
      </c>
      <c r="N1191" s="6" t="str">
        <f t="shared" si="37"/>
        <v>Aug</v>
      </c>
      <c r="O1191" s="1">
        <v>1946.1</v>
      </c>
      <c r="T1191" s="4"/>
      <c r="U1191" s="1" t="str">
        <f t="shared" si="38"/>
        <v>Normal</v>
      </c>
    </row>
    <row r="1192" spans="1:21" x14ac:dyDescent="0.25">
      <c r="A1192" s="1" t="s">
        <v>1204</v>
      </c>
      <c r="B1192" s="4">
        <v>45816</v>
      </c>
      <c r="C1192" s="1" t="s">
        <v>2393</v>
      </c>
      <c r="D1192" s="1" t="s">
        <v>2409</v>
      </c>
      <c r="E1192" s="1">
        <v>3</v>
      </c>
      <c r="F1192" s="1">
        <v>616.39</v>
      </c>
      <c r="G1192" s="1" t="s">
        <v>3061</v>
      </c>
      <c r="H1192" s="1" t="s">
        <v>3067</v>
      </c>
      <c r="I1192" s="1" t="s">
        <v>3070</v>
      </c>
      <c r="J1192" s="1" t="s">
        <v>4265</v>
      </c>
      <c r="K1192" s="1">
        <v>6</v>
      </c>
      <c r="L1192" s="1" t="s">
        <v>4276</v>
      </c>
      <c r="M1192" s="1" t="s">
        <v>4278</v>
      </c>
      <c r="N1192" s="6" t="str">
        <f t="shared" si="37"/>
        <v>Jun</v>
      </c>
      <c r="O1192" s="1">
        <v>1849.17</v>
      </c>
      <c r="T1192" s="4"/>
      <c r="U1192" s="1" t="str">
        <f t="shared" si="38"/>
        <v>Normal</v>
      </c>
    </row>
    <row r="1193" spans="1:21" x14ac:dyDescent="0.25">
      <c r="A1193" s="1" t="s">
        <v>1205</v>
      </c>
      <c r="B1193" s="4">
        <v>45698</v>
      </c>
      <c r="C1193" s="1" t="s">
        <v>2394</v>
      </c>
      <c r="D1193" s="1" t="s">
        <v>2409</v>
      </c>
      <c r="E1193" s="1">
        <v>4</v>
      </c>
      <c r="F1193" s="1">
        <v>376.43</v>
      </c>
      <c r="G1193" s="1" t="s">
        <v>2841</v>
      </c>
      <c r="H1193" s="1" t="s">
        <v>3068</v>
      </c>
      <c r="I1193" s="1" t="s">
        <v>3074</v>
      </c>
      <c r="J1193" s="1" t="s">
        <v>4266</v>
      </c>
      <c r="K1193" s="1">
        <v>5</v>
      </c>
      <c r="L1193" s="1" t="s">
        <v>4277</v>
      </c>
      <c r="M1193" s="1" t="s">
        <v>4278</v>
      </c>
      <c r="N1193" s="6" t="str">
        <f t="shared" si="37"/>
        <v>Feb</v>
      </c>
      <c r="O1193" s="1">
        <v>1505.72</v>
      </c>
      <c r="T1193" s="4"/>
      <c r="U1193" s="1" t="str">
        <f t="shared" si="38"/>
        <v>Normal</v>
      </c>
    </row>
    <row r="1194" spans="1:21" x14ac:dyDescent="0.25">
      <c r="A1194" s="1" t="s">
        <v>1206</v>
      </c>
      <c r="B1194" s="4">
        <v>45350</v>
      </c>
      <c r="C1194" s="1" t="s">
        <v>2395</v>
      </c>
      <c r="D1194" s="1" t="s">
        <v>2406</v>
      </c>
      <c r="E1194" s="1">
        <v>3</v>
      </c>
      <c r="F1194" s="1">
        <v>432.85</v>
      </c>
      <c r="G1194" s="1" t="s">
        <v>2593</v>
      </c>
      <c r="H1194" s="1" t="s">
        <v>3066</v>
      </c>
      <c r="I1194" s="1" t="s">
        <v>3074</v>
      </c>
      <c r="J1194" s="1" t="s">
        <v>4267</v>
      </c>
      <c r="K1194" s="1">
        <v>4</v>
      </c>
      <c r="L1194" s="1" t="s">
        <v>4283</v>
      </c>
      <c r="M1194" s="1" t="s">
        <v>4278</v>
      </c>
      <c r="N1194" s="6" t="str">
        <f t="shared" si="37"/>
        <v>Feb</v>
      </c>
      <c r="O1194" s="1">
        <v>1298.55</v>
      </c>
      <c r="T1194" s="4"/>
      <c r="U1194" s="1" t="str">
        <f t="shared" si="38"/>
        <v>Normal</v>
      </c>
    </row>
    <row r="1195" spans="1:21" x14ac:dyDescent="0.25">
      <c r="A1195" s="1" t="s">
        <v>1207</v>
      </c>
      <c r="B1195" s="4">
        <v>45824</v>
      </c>
      <c r="C1195" s="1" t="s">
        <v>2396</v>
      </c>
      <c r="D1195" s="1" t="s">
        <v>2405</v>
      </c>
      <c r="E1195" s="1">
        <v>1</v>
      </c>
      <c r="F1195" s="1">
        <v>687.89</v>
      </c>
      <c r="G1195" s="1" t="s">
        <v>2481</v>
      </c>
      <c r="H1195" s="1" t="s">
        <v>3069</v>
      </c>
      <c r="I1195" s="1" t="s">
        <v>3072</v>
      </c>
      <c r="J1195" s="1" t="s">
        <v>4268</v>
      </c>
      <c r="K1195" s="1">
        <v>1</v>
      </c>
      <c r="L1195" s="1" t="s">
        <v>4276</v>
      </c>
      <c r="M1195" s="1" t="s">
        <v>4280</v>
      </c>
      <c r="N1195" s="6" t="str">
        <f t="shared" si="37"/>
        <v>Jun</v>
      </c>
      <c r="O1195" s="1">
        <v>687.89</v>
      </c>
      <c r="T1195" s="4"/>
      <c r="U1195" s="1" t="str">
        <f t="shared" si="38"/>
        <v>Normal</v>
      </c>
    </row>
    <row r="1196" spans="1:21" x14ac:dyDescent="0.25">
      <c r="A1196" s="1" t="s">
        <v>1208</v>
      </c>
      <c r="B1196" s="4">
        <v>45249</v>
      </c>
      <c r="C1196" s="1" t="s">
        <v>2397</v>
      </c>
      <c r="D1196" s="1" t="s">
        <v>2407</v>
      </c>
      <c r="E1196" s="1">
        <v>3</v>
      </c>
      <c r="F1196" s="1">
        <v>189.44</v>
      </c>
      <c r="G1196" s="1" t="s">
        <v>2582</v>
      </c>
      <c r="H1196" s="1" t="s">
        <v>3069</v>
      </c>
      <c r="I1196" s="1" t="s">
        <v>3074</v>
      </c>
      <c r="J1196" s="1" t="s">
        <v>4269</v>
      </c>
      <c r="K1196" s="1">
        <v>4</v>
      </c>
      <c r="L1196" s="1" t="s">
        <v>4276</v>
      </c>
      <c r="M1196" s="1" t="s">
        <v>4280</v>
      </c>
      <c r="N1196" s="6" t="str">
        <f t="shared" si="37"/>
        <v>Nov</v>
      </c>
      <c r="O1196" s="1">
        <v>568.31999999999994</v>
      </c>
      <c r="T1196" s="4"/>
      <c r="U1196" s="1" t="str">
        <f t="shared" si="38"/>
        <v>Normal</v>
      </c>
    </row>
    <row r="1197" spans="1:21" x14ac:dyDescent="0.25">
      <c r="A1197" s="1" t="s">
        <v>1209</v>
      </c>
      <c r="B1197" s="4">
        <v>45463</v>
      </c>
      <c r="C1197" s="1" t="s">
        <v>2398</v>
      </c>
      <c r="D1197" s="1" t="s">
        <v>2409</v>
      </c>
      <c r="E1197" s="1">
        <v>1</v>
      </c>
      <c r="F1197" s="1">
        <v>107.04</v>
      </c>
      <c r="G1197" s="1" t="s">
        <v>3062</v>
      </c>
      <c r="H1197" s="1" t="s">
        <v>3067</v>
      </c>
      <c r="I1197" s="1" t="s">
        <v>3071</v>
      </c>
      <c r="J1197" s="1" t="s">
        <v>4270</v>
      </c>
      <c r="K1197" s="1">
        <v>6</v>
      </c>
      <c r="L1197" s="1" t="s">
        <v>4276</v>
      </c>
      <c r="M1197" s="1" t="s">
        <v>4282</v>
      </c>
      <c r="N1197" s="6" t="str">
        <f t="shared" si="37"/>
        <v>Jun</v>
      </c>
      <c r="O1197" s="1">
        <v>107.04</v>
      </c>
      <c r="T1197" s="4"/>
      <c r="U1197" s="1" t="str">
        <f t="shared" si="38"/>
        <v>Normal</v>
      </c>
    </row>
    <row r="1198" spans="1:21" x14ac:dyDescent="0.25">
      <c r="A1198" s="1" t="s">
        <v>1210</v>
      </c>
      <c r="B1198" s="4">
        <v>45355</v>
      </c>
      <c r="C1198" s="1" t="s">
        <v>2399</v>
      </c>
      <c r="D1198" s="1" t="s">
        <v>2403</v>
      </c>
      <c r="E1198" s="1">
        <v>2</v>
      </c>
      <c r="F1198" s="1">
        <v>662.53</v>
      </c>
      <c r="G1198" s="1" t="s">
        <v>2730</v>
      </c>
      <c r="H1198" s="1" t="s">
        <v>3066</v>
      </c>
      <c r="I1198" s="1" t="s">
        <v>3071</v>
      </c>
      <c r="J1198" s="1" t="s">
        <v>4271</v>
      </c>
      <c r="K1198" s="1">
        <v>5</v>
      </c>
      <c r="L1198" s="1" t="s">
        <v>4283</v>
      </c>
      <c r="M1198" s="1" t="s">
        <v>4281</v>
      </c>
      <c r="N1198" s="6" t="str">
        <f t="shared" si="37"/>
        <v>Mar</v>
      </c>
      <c r="O1198" s="1">
        <v>1325.06</v>
      </c>
      <c r="T1198" s="4"/>
      <c r="U1198" s="1" t="str">
        <f t="shared" si="38"/>
        <v>Normal</v>
      </c>
    </row>
    <row r="1199" spans="1:21" x14ac:dyDescent="0.25">
      <c r="A1199" s="1" t="s">
        <v>1211</v>
      </c>
      <c r="B1199" s="4">
        <v>45120</v>
      </c>
      <c r="C1199" s="1" t="s">
        <v>2400</v>
      </c>
      <c r="D1199" s="1" t="s">
        <v>2405</v>
      </c>
      <c r="E1199" s="1">
        <v>2</v>
      </c>
      <c r="F1199" s="1">
        <v>436.84</v>
      </c>
      <c r="G1199" s="1" t="s">
        <v>2413</v>
      </c>
      <c r="H1199" s="1" t="s">
        <v>3066</v>
      </c>
      <c r="I1199" s="1" t="s">
        <v>3073</v>
      </c>
      <c r="J1199" s="1" t="s">
        <v>4272</v>
      </c>
      <c r="K1199" s="1">
        <v>2</v>
      </c>
      <c r="L1199" s="1" t="s">
        <v>4276</v>
      </c>
      <c r="M1199" s="1" t="s">
        <v>4278</v>
      </c>
      <c r="N1199" s="6" t="str">
        <f t="shared" si="37"/>
        <v>Jul</v>
      </c>
      <c r="O1199" s="1">
        <v>873.68</v>
      </c>
      <c r="T1199" s="4"/>
      <c r="U1199" s="1" t="str">
        <f t="shared" si="38"/>
        <v>Normal</v>
      </c>
    </row>
    <row r="1200" spans="1:21" x14ac:dyDescent="0.25">
      <c r="A1200" s="1" t="s">
        <v>1212</v>
      </c>
      <c r="B1200" s="4">
        <v>45526</v>
      </c>
      <c r="C1200" s="1" t="s">
        <v>2401</v>
      </c>
      <c r="D1200" s="1" t="s">
        <v>2406</v>
      </c>
      <c r="E1200" s="1">
        <v>4</v>
      </c>
      <c r="F1200" s="1">
        <v>262.52</v>
      </c>
      <c r="G1200" s="1" t="s">
        <v>3063</v>
      </c>
      <c r="H1200" s="1" t="s">
        <v>3065</v>
      </c>
      <c r="I1200" s="1" t="s">
        <v>3071</v>
      </c>
      <c r="J1200" s="1" t="s">
        <v>4273</v>
      </c>
      <c r="K1200" s="1">
        <v>4</v>
      </c>
      <c r="L1200" s="1" t="s">
        <v>4277</v>
      </c>
      <c r="M1200" s="1" t="s">
        <v>4278</v>
      </c>
      <c r="N1200" s="6" t="str">
        <f t="shared" si="37"/>
        <v>Aug</v>
      </c>
      <c r="O1200" s="1">
        <v>1050.08</v>
      </c>
      <c r="T1200" s="4"/>
      <c r="U1200" s="1" t="str">
        <f t="shared" si="38"/>
        <v>Normal</v>
      </c>
    </row>
    <row r="1201" spans="1:21" x14ac:dyDescent="0.25">
      <c r="A1201" s="1" t="s">
        <v>1213</v>
      </c>
      <c r="B1201" s="4">
        <v>45088</v>
      </c>
      <c r="C1201" s="1" t="s">
        <v>2402</v>
      </c>
      <c r="D1201" s="1" t="s">
        <v>2405</v>
      </c>
      <c r="E1201" s="1">
        <v>4</v>
      </c>
      <c r="F1201" s="1">
        <v>560.58000000000004</v>
      </c>
      <c r="G1201" s="1" t="s">
        <v>3064</v>
      </c>
      <c r="H1201" s="1" t="s">
        <v>3068</v>
      </c>
      <c r="I1201" s="1" t="s">
        <v>3072</v>
      </c>
      <c r="J1201" s="1" t="s">
        <v>4274</v>
      </c>
      <c r="K1201" s="1">
        <v>6</v>
      </c>
      <c r="L1201" s="1" t="s">
        <v>4275</v>
      </c>
      <c r="M1201" s="1" t="s">
        <v>4279</v>
      </c>
      <c r="N1201" s="6" t="str">
        <f t="shared" si="37"/>
        <v>Jun</v>
      </c>
      <c r="O1201" s="1">
        <v>2242.3200000000002</v>
      </c>
      <c r="T1201" s="4"/>
      <c r="U1201" s="1" t="str">
        <f t="shared" si="38"/>
        <v>Normal</v>
      </c>
    </row>
  </sheetData>
  <phoneticPr fontId="5" type="noConversion"/>
  <conditionalFormatting sqref="U2:U1201">
    <cfRule type="containsText" dxfId="6" priority="2" operator="containsText" text="Outlier">
      <formula>NOT(ISERROR(SEARCH("Outlier",U2)))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935FE3A-50DD-44CD-8F11-720E6EE997C4}">
            <xm:f>NOT(ISERROR(SEARCH($L$23,L1)))</xm:f>
            <xm:f>$L$23</xm:f>
            <x14:dxf>
              <fill>
                <patternFill>
                  <bgColor rgb="FFFB5A71"/>
                </patternFill>
              </fill>
            </x14:dxf>
          </x14:cfRule>
          <xm:sqref>L1:L1048576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D8D2-1586-4946-9B51-37177DCEB9F3}">
  <dimension ref="A1:GBG2430"/>
  <sheetViews>
    <sheetView zoomScale="65" zoomScaleNormal="55" workbookViewId="0">
      <selection activeCell="D20" sqref="D20"/>
    </sheetView>
  </sheetViews>
  <sheetFormatPr defaultRowHeight="13.8" x14ac:dyDescent="0.25"/>
  <cols>
    <col min="1" max="1" width="15.8984375" style="1" bestFit="1" customWidth="1"/>
    <col min="2" max="2" width="20.09765625" style="1" bestFit="1" customWidth="1"/>
    <col min="3" max="3" width="1.796875" style="1" customWidth="1"/>
    <col min="4" max="4" width="19.19921875" style="1" bestFit="1" customWidth="1"/>
    <col min="5" max="5" width="15.69921875" style="1" bestFit="1" customWidth="1"/>
    <col min="6" max="6" width="2.5" style="1" customWidth="1"/>
    <col min="7" max="7" width="26.3984375" style="1" bestFit="1" customWidth="1"/>
    <col min="8" max="8" width="19.19921875" style="1" bestFit="1" customWidth="1"/>
    <col min="9" max="9" width="4.8984375" style="1" customWidth="1"/>
    <col min="10" max="10" width="21.19921875" style="1" bestFit="1" customWidth="1"/>
    <col min="11" max="11" width="16.69921875" style="1" bestFit="1" customWidth="1"/>
    <col min="12" max="12" width="3.3984375" style="1" customWidth="1"/>
    <col min="13" max="13" width="16.3984375" style="1" bestFit="1" customWidth="1"/>
    <col min="14" max="14" width="18" style="1" bestFit="1" customWidth="1"/>
    <col min="15" max="15" width="2.09765625" style="1" customWidth="1"/>
    <col min="16" max="2393" width="19.19921875" style="1" bestFit="1" customWidth="1"/>
    <col min="2394" max="2394" width="23.5" style="1" bestFit="1" customWidth="1"/>
    <col min="2395" max="2395" width="24.09765625" style="1" bestFit="1" customWidth="1"/>
    <col min="2396" max="3588" width="20" style="1" bestFit="1" customWidth="1"/>
    <col min="3589" max="3589" width="23.5" style="1" bestFit="1" customWidth="1"/>
    <col min="3590" max="3590" width="24.09765625" style="1" bestFit="1" customWidth="1"/>
    <col min="3591" max="3591" width="24.8984375" style="1" bestFit="1" customWidth="1"/>
    <col min="3592" max="3592" width="23.5" style="1" bestFit="1" customWidth="1"/>
    <col min="3593" max="3593" width="24.09765625" style="1" bestFit="1" customWidth="1"/>
    <col min="3594" max="3594" width="24.8984375" style="1" bestFit="1" customWidth="1"/>
    <col min="3595" max="4787" width="20" style="1" bestFit="1" customWidth="1"/>
    <col min="4788" max="4788" width="23.5" style="1" bestFit="1" customWidth="1"/>
    <col min="4789" max="4789" width="24.09765625" style="1" bestFit="1" customWidth="1"/>
    <col min="4790" max="4790" width="24.8984375" style="1" bestFit="1" customWidth="1"/>
    <col min="4791" max="4791" width="21.5" style="1" bestFit="1" customWidth="1"/>
    <col min="4792" max="16384" width="8.796875" style="1"/>
  </cols>
  <sheetData>
    <row r="1" spans="1:26" x14ac:dyDescent="0.25">
      <c r="B1" s="19" t="s">
        <v>4315</v>
      </c>
      <c r="E1" s="19" t="s">
        <v>4316</v>
      </c>
      <c r="G1" s="19" t="s">
        <v>4317</v>
      </c>
      <c r="J1" s="17" t="s">
        <v>4320</v>
      </c>
      <c r="K1" s="17"/>
      <c r="M1" s="17" t="s">
        <v>4319</v>
      </c>
      <c r="N1" s="17"/>
      <c r="Q1" s="18" t="s">
        <v>4321</v>
      </c>
    </row>
    <row r="2" spans="1:26" x14ac:dyDescent="0.25">
      <c r="B2" s="19"/>
      <c r="E2" s="19"/>
      <c r="G2" s="19"/>
      <c r="J2" s="17"/>
      <c r="K2" s="17"/>
      <c r="M2" s="17"/>
      <c r="N2" s="17"/>
      <c r="Q2" s="18"/>
    </row>
    <row r="3" spans="1:26" x14ac:dyDescent="0.25">
      <c r="B3" s="1" t="s">
        <v>4286</v>
      </c>
      <c r="E3" s="1" t="s">
        <v>4285</v>
      </c>
      <c r="G3" s="9" t="s">
        <v>4318</v>
      </c>
      <c r="J3" s="8" t="s">
        <v>3</v>
      </c>
      <c r="K3" s="1" t="s">
        <v>4286</v>
      </c>
      <c r="M3" s="8" t="s">
        <v>3</v>
      </c>
      <c r="N3" s="1" t="s">
        <v>4285</v>
      </c>
      <c r="Q3" s="9" t="s">
        <v>3073</v>
      </c>
    </row>
    <row r="4" spans="1:26" x14ac:dyDescent="0.25">
      <c r="B4" s="12">
        <v>1264761.9600000004</v>
      </c>
      <c r="E4" s="1">
        <v>1200</v>
      </c>
      <c r="G4" s="16">
        <f>B4/E4</f>
        <v>1053.9683000000005</v>
      </c>
      <c r="J4" s="1" t="s">
        <v>2406</v>
      </c>
      <c r="K4" s="12">
        <v>195620.11000000002</v>
      </c>
      <c r="M4" s="1" t="s">
        <v>2407</v>
      </c>
      <c r="N4" s="1">
        <v>181</v>
      </c>
      <c r="Q4" s="11">
        <f>K31</f>
        <v>0.1925</v>
      </c>
    </row>
    <row r="5" spans="1:26" x14ac:dyDescent="0.25">
      <c r="G5"/>
      <c r="J5" s="1" t="s">
        <v>2407</v>
      </c>
      <c r="K5" s="12">
        <v>195612.60999999996</v>
      </c>
      <c r="M5" s="1" t="s">
        <v>2405</v>
      </c>
      <c r="N5" s="1">
        <v>179</v>
      </c>
    </row>
    <row r="6" spans="1:26" x14ac:dyDescent="0.25">
      <c r="J6" s="1" t="s">
        <v>2408</v>
      </c>
      <c r="K6" s="12">
        <v>192126.55999999994</v>
      </c>
      <c r="M6" s="1" t="s">
        <v>2406</v>
      </c>
      <c r="N6" s="1">
        <v>178</v>
      </c>
    </row>
    <row r="7" spans="1:26" x14ac:dyDescent="0.25">
      <c r="J7" s="1" t="s">
        <v>2405</v>
      </c>
      <c r="K7" s="12">
        <v>186568.95000000007</v>
      </c>
      <c r="M7" s="1" t="s">
        <v>2408</v>
      </c>
      <c r="N7" s="1">
        <v>173</v>
      </c>
    </row>
    <row r="8" spans="1:26" x14ac:dyDescent="0.25">
      <c r="J8" s="1" t="s">
        <v>2403</v>
      </c>
      <c r="K8" s="12">
        <v>175651.40999999997</v>
      </c>
      <c r="M8" s="1" t="s">
        <v>2409</v>
      </c>
      <c r="N8" s="1">
        <v>170</v>
      </c>
    </row>
    <row r="9" spans="1:26" x14ac:dyDescent="0.25">
      <c r="J9" s="1" t="s">
        <v>2409</v>
      </c>
      <c r="K9" s="12">
        <v>167459.93</v>
      </c>
      <c r="M9" s="1" t="s">
        <v>2403</v>
      </c>
      <c r="N9" s="1">
        <v>163</v>
      </c>
    </row>
    <row r="10" spans="1:26" x14ac:dyDescent="0.25">
      <c r="J10" s="1" t="s">
        <v>2404</v>
      </c>
      <c r="K10" s="12">
        <v>151722.39000000001</v>
      </c>
      <c r="M10" s="1" t="s">
        <v>2404</v>
      </c>
      <c r="N10" s="1">
        <v>156</v>
      </c>
    </row>
    <row r="11" spans="1:26" x14ac:dyDescent="0.25">
      <c r="J11" s="1" t="s">
        <v>4284</v>
      </c>
      <c r="K11" s="1">
        <v>1264761.9600000004</v>
      </c>
      <c r="M11" s="1" t="s">
        <v>4284</v>
      </c>
      <c r="N11" s="1">
        <v>1200</v>
      </c>
      <c r="V11"/>
      <c r="W11"/>
      <c r="X11"/>
      <c r="Y11"/>
      <c r="Z11"/>
    </row>
    <row r="12" spans="1:26" x14ac:dyDescent="0.25">
      <c r="V12"/>
      <c r="W12"/>
      <c r="X12"/>
      <c r="Y12"/>
      <c r="Z12"/>
    </row>
    <row r="13" spans="1:26" x14ac:dyDescent="0.25">
      <c r="V13"/>
      <c r="W13"/>
      <c r="X13"/>
      <c r="Y13"/>
      <c r="Z13"/>
    </row>
    <row r="14" spans="1:26" x14ac:dyDescent="0.25">
      <c r="V14"/>
      <c r="W14"/>
      <c r="X14"/>
      <c r="Y14"/>
      <c r="Z14"/>
    </row>
    <row r="15" spans="1:26" x14ac:dyDescent="0.25">
      <c r="V15"/>
      <c r="W15"/>
      <c r="X15"/>
      <c r="Y15"/>
      <c r="Z15"/>
    </row>
    <row r="16" spans="1:26" x14ac:dyDescent="0.25">
      <c r="A16" s="20" t="s">
        <v>4303</v>
      </c>
      <c r="B16" s="21"/>
      <c r="G16" s="20" t="s">
        <v>4305</v>
      </c>
      <c r="H16" s="20"/>
      <c r="J16" s="20" t="s">
        <v>4307</v>
      </c>
      <c r="K16" s="20"/>
      <c r="M16" s="20" t="s">
        <v>4308</v>
      </c>
      <c r="N16" s="20"/>
      <c r="V16"/>
      <c r="W16"/>
      <c r="X16"/>
      <c r="Y16"/>
      <c r="Z16"/>
    </row>
    <row r="17" spans="1:4791" x14ac:dyDescent="0.25">
      <c r="A17" s="21"/>
      <c r="B17" s="21"/>
      <c r="G17" s="20"/>
      <c r="H17" s="20"/>
      <c r="J17" s="20"/>
      <c r="K17" s="20"/>
      <c r="M17" s="20"/>
      <c r="N17" s="20"/>
      <c r="V17"/>
      <c r="W17"/>
      <c r="X17"/>
      <c r="Y17"/>
      <c r="Z17"/>
    </row>
    <row r="18" spans="1:4791" x14ac:dyDescent="0.25">
      <c r="A18" s="8" t="s">
        <v>3</v>
      </c>
      <c r="B18" s="1" t="s">
        <v>4285</v>
      </c>
      <c r="G18" s="8" t="s">
        <v>4287</v>
      </c>
      <c r="H18" s="1" t="s">
        <v>4285</v>
      </c>
      <c r="J18" s="8" t="s">
        <v>4289</v>
      </c>
      <c r="K18" s="1" t="s">
        <v>4286</v>
      </c>
      <c r="M18" s="8" t="s">
        <v>4302</v>
      </c>
      <c r="N18" s="1" t="s">
        <v>4286</v>
      </c>
      <c r="V18"/>
      <c r="W18"/>
      <c r="X18"/>
      <c r="Y18"/>
      <c r="Z18"/>
    </row>
    <row r="19" spans="1:4791" x14ac:dyDescent="0.25">
      <c r="A19" s="1" t="s">
        <v>2407</v>
      </c>
      <c r="B19" s="1">
        <v>181</v>
      </c>
      <c r="G19" s="1" t="s">
        <v>3071</v>
      </c>
      <c r="H19" s="1">
        <v>250</v>
      </c>
      <c r="J19" s="1" t="s">
        <v>4278</v>
      </c>
      <c r="K19" s="22">
        <v>275285.45000000007</v>
      </c>
      <c r="M19" s="1" t="s">
        <v>4293</v>
      </c>
      <c r="N19" s="1">
        <v>109186.05</v>
      </c>
      <c r="V19"/>
      <c r="W19"/>
      <c r="X19"/>
      <c r="Y19"/>
      <c r="Z19"/>
    </row>
    <row r="20" spans="1:4791" x14ac:dyDescent="0.25">
      <c r="A20" s="1" t="s">
        <v>2405</v>
      </c>
      <c r="B20" s="1">
        <v>179</v>
      </c>
      <c r="G20" s="1" t="s">
        <v>3073</v>
      </c>
      <c r="H20" s="1">
        <v>231</v>
      </c>
      <c r="J20" s="1" t="s">
        <v>4280</v>
      </c>
      <c r="K20" s="22">
        <v>261808.55000000002</v>
      </c>
      <c r="M20" s="1" t="s">
        <v>4297</v>
      </c>
      <c r="N20" s="1">
        <v>86343.210000000036</v>
      </c>
      <c r="V20"/>
      <c r="W20"/>
      <c r="X20"/>
      <c r="Y20"/>
      <c r="Z20"/>
    </row>
    <row r="21" spans="1:4791" x14ac:dyDescent="0.25">
      <c r="A21" s="1" t="s">
        <v>2406</v>
      </c>
      <c r="B21" s="1">
        <v>178</v>
      </c>
      <c r="G21" s="1" t="s">
        <v>3074</v>
      </c>
      <c r="H21" s="1">
        <v>237</v>
      </c>
      <c r="J21" s="1" t="s">
        <v>4282</v>
      </c>
      <c r="K21" s="22">
        <v>250441.47999999998</v>
      </c>
      <c r="M21" s="1" t="s">
        <v>4301</v>
      </c>
      <c r="N21" s="1">
        <v>82540.5</v>
      </c>
      <c r="V21"/>
      <c r="W21"/>
      <c r="X21"/>
      <c r="Y21"/>
      <c r="Z21"/>
    </row>
    <row r="22" spans="1:4791" x14ac:dyDescent="0.25">
      <c r="A22" s="1" t="s">
        <v>2408</v>
      </c>
      <c r="B22" s="1">
        <v>173</v>
      </c>
      <c r="G22" s="1" t="s">
        <v>3072</v>
      </c>
      <c r="H22" s="1">
        <v>247</v>
      </c>
      <c r="J22" s="1" t="s">
        <v>4281</v>
      </c>
      <c r="K22" s="22">
        <v>250410.9</v>
      </c>
      <c r="M22" s="1" t="s">
        <v>4291</v>
      </c>
      <c r="N22" s="1">
        <v>112344.77999999998</v>
      </c>
      <c r="V22"/>
      <c r="W22"/>
      <c r="X22"/>
      <c r="Y22"/>
      <c r="Z22"/>
    </row>
    <row r="23" spans="1:4791" x14ac:dyDescent="0.25">
      <c r="A23" s="1" t="s">
        <v>2409</v>
      </c>
      <c r="B23" s="1">
        <v>170</v>
      </c>
      <c r="G23" s="1" t="s">
        <v>3070</v>
      </c>
      <c r="H23" s="1">
        <v>235</v>
      </c>
      <c r="J23" s="1" t="s">
        <v>4279</v>
      </c>
      <c r="K23" s="22">
        <v>226815.5799999999</v>
      </c>
      <c r="M23" s="1" t="s">
        <v>4290</v>
      </c>
      <c r="N23" s="1">
        <v>124313.23000000005</v>
      </c>
      <c r="V23"/>
      <c r="W23"/>
      <c r="X23"/>
      <c r="Y23"/>
      <c r="Z23"/>
    </row>
    <row r="24" spans="1:4791" x14ac:dyDescent="0.25">
      <c r="A24" s="1" t="s">
        <v>2403</v>
      </c>
      <c r="B24" s="1">
        <v>163</v>
      </c>
      <c r="G24" s="1" t="s">
        <v>4284</v>
      </c>
      <c r="H24" s="1">
        <v>1200</v>
      </c>
      <c r="J24" s="1" t="s">
        <v>4284</v>
      </c>
      <c r="K24" s="22">
        <v>1264761.9600000004</v>
      </c>
      <c r="M24" s="1" t="s">
        <v>4296</v>
      </c>
      <c r="N24" s="1">
        <v>85784.63999999997</v>
      </c>
      <c r="V24"/>
      <c r="W24"/>
      <c r="X24"/>
      <c r="Y24"/>
      <c r="Z24"/>
    </row>
    <row r="25" spans="1:4791" x14ac:dyDescent="0.25">
      <c r="A25" s="1" t="s">
        <v>2404</v>
      </c>
      <c r="B25" s="1">
        <v>156</v>
      </c>
      <c r="M25" s="1" t="s">
        <v>4295</v>
      </c>
      <c r="N25" s="1">
        <v>170616.13000000006</v>
      </c>
      <c r="T25"/>
      <c r="U25"/>
      <c r="V25"/>
      <c r="W25"/>
      <c r="X25"/>
      <c r="Y25"/>
      <c r="Z25"/>
    </row>
    <row r="26" spans="1:4791" x14ac:dyDescent="0.25">
      <c r="A26" s="1" t="s">
        <v>4284</v>
      </c>
      <c r="B26" s="1">
        <v>1200</v>
      </c>
      <c r="M26" s="1" t="s">
        <v>4292</v>
      </c>
      <c r="N26" s="1">
        <v>123840.92999999995</v>
      </c>
      <c r="Q26" s="9" t="s">
        <v>4318</v>
      </c>
      <c r="T26"/>
      <c r="U26"/>
      <c r="V26"/>
      <c r="W26"/>
      <c r="X26"/>
      <c r="Y26"/>
      <c r="Z26"/>
    </row>
    <row r="27" spans="1:4791" x14ac:dyDescent="0.25">
      <c r="J27" s="17" t="s">
        <v>4321</v>
      </c>
      <c r="K27" s="17"/>
      <c r="M27" s="1" t="s">
        <v>4294</v>
      </c>
      <c r="N27" s="1">
        <v>135142.59</v>
      </c>
      <c r="Q27" t="e">
        <f>L27/O27</f>
        <v>#DIV/0!</v>
      </c>
      <c r="T27"/>
      <c r="U27"/>
      <c r="V27"/>
      <c r="W27"/>
      <c r="X27"/>
      <c r="Y27"/>
      <c r="Z27"/>
    </row>
    <row r="28" spans="1:4791" ht="16.8" customHeight="1" x14ac:dyDescent="0.25">
      <c r="A28" s="17" t="s">
        <v>4304</v>
      </c>
      <c r="B28" s="17"/>
      <c r="D28"/>
      <c r="E28"/>
      <c r="G28" s="20" t="s">
        <v>4306</v>
      </c>
      <c r="H28" s="20"/>
      <c r="J28" s="17"/>
      <c r="K28" s="17"/>
      <c r="M28" s="1" t="s">
        <v>4300</v>
      </c>
      <c r="N28" s="1">
        <v>75493.430000000008</v>
      </c>
      <c r="T28"/>
      <c r="U28"/>
      <c r="V28"/>
      <c r="W28"/>
      <c r="X28"/>
      <c r="Y28"/>
      <c r="Z28"/>
    </row>
    <row r="29" spans="1:4791" ht="16.8" customHeight="1" x14ac:dyDescent="0.25">
      <c r="A29" s="17"/>
      <c r="B29" s="17"/>
      <c r="E29"/>
      <c r="G29" s="20"/>
      <c r="H29" s="20"/>
      <c r="J29" s="8" t="s">
        <v>3</v>
      </c>
      <c r="K29" s="1" t="s">
        <v>4285</v>
      </c>
      <c r="M29" s="1" t="s">
        <v>4299</v>
      </c>
      <c r="N29" s="1">
        <v>89834.820000000022</v>
      </c>
      <c r="T29"/>
      <c r="U29"/>
      <c r="V29"/>
      <c r="W29"/>
      <c r="X29"/>
      <c r="Y29"/>
      <c r="Z29"/>
    </row>
    <row r="30" spans="1:4791" x14ac:dyDescent="0.25">
      <c r="A30" s="8" t="s">
        <v>3</v>
      </c>
      <c r="B30" s="1" t="s">
        <v>4286</v>
      </c>
      <c r="E30"/>
      <c r="G30" s="8" t="s">
        <v>4288</v>
      </c>
      <c r="H30" s="1" t="s">
        <v>4285</v>
      </c>
      <c r="J30" s="1" t="s">
        <v>3071</v>
      </c>
      <c r="K30" s="10">
        <v>0.20833333333333334</v>
      </c>
      <c r="M30" s="1" t="s">
        <v>4298</v>
      </c>
      <c r="N30" s="1">
        <v>69321.650000000023</v>
      </c>
      <c r="T30"/>
      <c r="U30"/>
      <c r="V30"/>
      <c r="W30"/>
      <c r="X30"/>
      <c r="Y30"/>
      <c r="Z30"/>
    </row>
    <row r="31" spans="1:4791" x14ac:dyDescent="0.25">
      <c r="A31" s="1" t="s">
        <v>2406</v>
      </c>
      <c r="B31" s="1">
        <v>195620.11000000002</v>
      </c>
      <c r="G31" s="1" t="s">
        <v>3069</v>
      </c>
      <c r="H31" s="1">
        <v>246</v>
      </c>
      <c r="J31" s="1" t="s">
        <v>3073</v>
      </c>
      <c r="K31" s="10">
        <v>0.1925</v>
      </c>
      <c r="M31" s="1" t="s">
        <v>4284</v>
      </c>
      <c r="N31" s="1">
        <v>1264761.9600000004</v>
      </c>
      <c r="T31"/>
      <c r="U31"/>
      <c r="V31"/>
      <c r="W31"/>
      <c r="X31"/>
      <c r="Y31"/>
      <c r="Z31"/>
    </row>
    <row r="32" spans="1:4791" x14ac:dyDescent="0.25">
      <c r="A32" s="1" t="s">
        <v>2409</v>
      </c>
      <c r="B32" s="1">
        <v>167459.93</v>
      </c>
      <c r="E32"/>
      <c r="F32"/>
      <c r="G32" s="1" t="s">
        <v>3067</v>
      </c>
      <c r="H32" s="1">
        <v>234</v>
      </c>
      <c r="I32"/>
      <c r="J32" s="1" t="s">
        <v>3074</v>
      </c>
      <c r="K32" s="10">
        <v>0.19750000000000001</v>
      </c>
      <c r="L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/>
      <c r="BHW32"/>
      <c r="BHX32"/>
      <c r="BHY32"/>
      <c r="BHZ32"/>
      <c r="BIA32"/>
      <c r="BIB32"/>
      <c r="BIC32"/>
      <c r="BID32"/>
      <c r="BIE32"/>
      <c r="BIF32"/>
      <c r="BIG32"/>
      <c r="BIH32"/>
      <c r="BII32"/>
      <c r="BIJ32"/>
      <c r="BIK32"/>
      <c r="BIL32"/>
      <c r="BIM32"/>
      <c r="BIN32"/>
      <c r="BIO32"/>
      <c r="BIP32"/>
      <c r="BIQ32"/>
      <c r="BIR32"/>
      <c r="BIS32"/>
      <c r="BIT32"/>
      <c r="BIU32"/>
      <c r="BIV32"/>
      <c r="BIW32"/>
      <c r="BIX32"/>
      <c r="BIY32"/>
      <c r="BIZ32"/>
      <c r="BJA32"/>
      <c r="BJB32"/>
      <c r="BJC32"/>
      <c r="BJD32"/>
      <c r="BJE32"/>
      <c r="BJF32"/>
      <c r="BJG32"/>
      <c r="BJH32"/>
      <c r="BJI32"/>
      <c r="BJJ32"/>
      <c r="BJK32"/>
      <c r="BJL32"/>
      <c r="BJM32"/>
      <c r="BJN32"/>
      <c r="BJO32"/>
      <c r="BJP32"/>
      <c r="BJQ32"/>
      <c r="BJR32"/>
      <c r="BJS32"/>
      <c r="BJT32"/>
      <c r="BJU32"/>
      <c r="BJV32"/>
      <c r="BJW32"/>
      <c r="BJX32"/>
      <c r="BJY32"/>
      <c r="BJZ32"/>
      <c r="BKA32"/>
      <c r="BKB32"/>
      <c r="BKC32"/>
      <c r="BKD32"/>
      <c r="BKE32"/>
      <c r="BKF32"/>
      <c r="BKG32"/>
      <c r="BKH32"/>
      <c r="BKI32"/>
      <c r="BKJ32"/>
      <c r="BKK32"/>
      <c r="BKL32"/>
      <c r="BKM32"/>
      <c r="BKN32"/>
      <c r="BKO32"/>
      <c r="BKP32"/>
      <c r="BKQ32"/>
      <c r="BKR32"/>
      <c r="BKS32"/>
      <c r="BKT32"/>
      <c r="BKU32"/>
      <c r="BKV32"/>
      <c r="BKW32"/>
      <c r="BKX32"/>
      <c r="BKY32"/>
      <c r="BKZ32"/>
      <c r="BLA32"/>
      <c r="BLB32"/>
      <c r="BLC32"/>
      <c r="BLD32"/>
      <c r="BLE32"/>
      <c r="BLF32"/>
      <c r="BLG32"/>
      <c r="BLH32"/>
      <c r="BLI32"/>
      <c r="BLJ32"/>
      <c r="BLK32"/>
      <c r="BLL32"/>
      <c r="BLM32"/>
      <c r="BLN32"/>
      <c r="BLO32"/>
      <c r="BLP32"/>
      <c r="BLQ32"/>
      <c r="BLR32"/>
      <c r="BLS32"/>
      <c r="BLT32"/>
      <c r="BLU32"/>
      <c r="BLV32"/>
      <c r="BLW32"/>
      <c r="BLX32"/>
      <c r="BLY32"/>
      <c r="BLZ32"/>
      <c r="BMA32"/>
      <c r="BMB32"/>
      <c r="BMC32"/>
      <c r="BMD32"/>
      <c r="BME32"/>
      <c r="BMF32"/>
      <c r="BMG32"/>
      <c r="BMH32"/>
      <c r="BMI32"/>
      <c r="BMJ32"/>
      <c r="BMK32"/>
      <c r="BML32"/>
      <c r="BMM32"/>
      <c r="BMN32"/>
      <c r="BMO32"/>
      <c r="BMP32"/>
      <c r="BMQ32"/>
      <c r="BMR32"/>
      <c r="BMS32"/>
      <c r="BMT32"/>
      <c r="BMU32"/>
      <c r="BMV32"/>
      <c r="BMW32"/>
      <c r="BMX32"/>
      <c r="BMY32"/>
      <c r="BMZ32"/>
      <c r="BNA32"/>
      <c r="BNB32"/>
      <c r="BNC32"/>
      <c r="BND32"/>
      <c r="BNE32"/>
      <c r="BNF32"/>
      <c r="BNG32"/>
      <c r="BNH32"/>
      <c r="BNI32"/>
      <c r="BNJ32"/>
      <c r="BNK32"/>
      <c r="BNL32"/>
      <c r="BNM32"/>
      <c r="BNN32"/>
      <c r="BNO32"/>
      <c r="BNP32"/>
      <c r="BNQ32"/>
      <c r="BNR32"/>
      <c r="BNS32"/>
      <c r="BNT32"/>
      <c r="BNU32"/>
      <c r="BNV32"/>
      <c r="BNW32"/>
      <c r="BNX32"/>
      <c r="BNY32"/>
      <c r="BNZ32"/>
      <c r="BOA32"/>
      <c r="BOB32"/>
      <c r="BOC32"/>
      <c r="BOD32"/>
      <c r="BOE32"/>
      <c r="BOF32"/>
      <c r="BOG32"/>
      <c r="BOH32"/>
      <c r="BOI32"/>
      <c r="BOJ32"/>
      <c r="BOK32"/>
      <c r="BOL32"/>
      <c r="BOM32"/>
      <c r="BON32"/>
      <c r="BOO32"/>
      <c r="BOP32"/>
      <c r="BOQ32"/>
      <c r="BOR32"/>
      <c r="BOS32"/>
      <c r="BOT32"/>
      <c r="BOU32"/>
      <c r="BOV32"/>
      <c r="BOW32"/>
      <c r="BOX32"/>
      <c r="BOY32"/>
      <c r="BOZ32"/>
      <c r="BPA32"/>
      <c r="BPB32"/>
      <c r="BPC32"/>
      <c r="BPD32"/>
      <c r="BPE32"/>
      <c r="BPF32"/>
      <c r="BPG32"/>
      <c r="BPH32"/>
      <c r="BPI32"/>
      <c r="BPJ32"/>
      <c r="BPK32"/>
      <c r="BPL32"/>
      <c r="BPM32"/>
      <c r="BPN32"/>
      <c r="BPO32"/>
      <c r="BPP32"/>
      <c r="BPQ32"/>
      <c r="BPR32"/>
      <c r="BPS32"/>
      <c r="BPT32"/>
      <c r="BPU32"/>
      <c r="BPV32"/>
      <c r="BPW32"/>
      <c r="BPX32"/>
      <c r="BPY32"/>
      <c r="BPZ32"/>
      <c r="BQA32"/>
      <c r="BQB32"/>
      <c r="BQC32"/>
      <c r="BQD32"/>
      <c r="BQE32"/>
      <c r="BQF32"/>
      <c r="BQG32"/>
      <c r="BQH32"/>
      <c r="BQI32"/>
      <c r="BQJ32"/>
      <c r="BQK32"/>
      <c r="BQL32"/>
      <c r="BQM32"/>
      <c r="BQN32"/>
      <c r="BQO32"/>
      <c r="BQP32"/>
      <c r="BQQ32"/>
      <c r="BQR32"/>
      <c r="BQS32"/>
      <c r="BQT32"/>
      <c r="BQU32"/>
      <c r="BQV32"/>
      <c r="BQW32"/>
      <c r="BQX32"/>
      <c r="BQY32"/>
      <c r="BQZ32"/>
      <c r="BRA32"/>
      <c r="BRB32"/>
      <c r="BRC32"/>
      <c r="BRD32"/>
      <c r="BRE32"/>
      <c r="BRF32"/>
      <c r="BRG32"/>
      <c r="BRH32"/>
      <c r="BRI32"/>
      <c r="BRJ32"/>
      <c r="BRK32"/>
      <c r="BRL32"/>
      <c r="BRM32"/>
      <c r="BRN32"/>
      <c r="BRO32"/>
      <c r="BRP32"/>
      <c r="BRQ32"/>
      <c r="BRR32"/>
      <c r="BRS32"/>
      <c r="BRT32"/>
      <c r="BRU32"/>
      <c r="BRV32"/>
      <c r="BRW32"/>
      <c r="BRX32"/>
      <c r="BRY32"/>
      <c r="BRZ32"/>
      <c r="BSA32"/>
      <c r="BSB32"/>
      <c r="BSC32"/>
      <c r="BSD32"/>
      <c r="BSE32"/>
      <c r="BSF32"/>
      <c r="BSG32"/>
      <c r="BSH32"/>
      <c r="BSI32"/>
      <c r="BSJ32"/>
      <c r="BSK32"/>
      <c r="BSL32"/>
      <c r="BSM32"/>
      <c r="BSN32"/>
      <c r="BSO32"/>
      <c r="BSP32"/>
      <c r="BSQ32"/>
      <c r="BSR32"/>
      <c r="BSS32"/>
      <c r="BST32"/>
      <c r="BSU32"/>
      <c r="BSV32"/>
      <c r="BSW32"/>
      <c r="BSX32"/>
      <c r="BSY32"/>
      <c r="BSZ32"/>
      <c r="BTA32"/>
      <c r="BTB32"/>
      <c r="BTC32"/>
      <c r="BTD32"/>
      <c r="BTE32"/>
      <c r="BTF32"/>
      <c r="BTG32"/>
      <c r="BTH32"/>
      <c r="BTI32"/>
      <c r="BTJ32"/>
      <c r="BTK32"/>
      <c r="BTL32"/>
      <c r="BTM32"/>
      <c r="BTN32"/>
      <c r="BTO32"/>
      <c r="BTP32"/>
      <c r="BTQ32"/>
      <c r="BTR32"/>
      <c r="BTS32"/>
      <c r="BTT32"/>
      <c r="BTU32"/>
      <c r="BTV32"/>
      <c r="BTW32"/>
      <c r="BTX32"/>
      <c r="BTY32"/>
      <c r="BTZ32"/>
      <c r="BUA32"/>
      <c r="BUB32"/>
      <c r="BUC32"/>
      <c r="BUD32"/>
      <c r="BUE32"/>
      <c r="BUF32"/>
      <c r="BUG32"/>
      <c r="BUH32"/>
      <c r="BUI32"/>
      <c r="BUJ32"/>
      <c r="BUK32"/>
      <c r="BUL32"/>
      <c r="BUM32"/>
      <c r="BUN32"/>
      <c r="BUO32"/>
      <c r="BUP32"/>
      <c r="BUQ32"/>
      <c r="BUR32"/>
      <c r="BUS32"/>
      <c r="BUT32"/>
      <c r="BUU32"/>
      <c r="BUV32"/>
      <c r="BUW32"/>
      <c r="BUX32"/>
      <c r="BUY32"/>
      <c r="BUZ32"/>
      <c r="BVA32"/>
      <c r="BVB32"/>
      <c r="BVC32"/>
      <c r="BVD32"/>
      <c r="BVE32"/>
      <c r="BVF32"/>
      <c r="BVG32"/>
      <c r="BVH32"/>
      <c r="BVI32"/>
      <c r="BVJ32"/>
      <c r="BVK32"/>
      <c r="BVL32"/>
      <c r="BVM32"/>
      <c r="BVN32"/>
      <c r="BVO32"/>
      <c r="BVP32"/>
      <c r="BVQ32"/>
      <c r="BVR32"/>
      <c r="BVS32"/>
      <c r="BVT32"/>
      <c r="BVU32"/>
      <c r="BVV32"/>
      <c r="BVW32"/>
      <c r="BVX32"/>
      <c r="BVY32"/>
      <c r="BVZ32"/>
      <c r="BWA32"/>
      <c r="BWB32"/>
      <c r="BWC32"/>
      <c r="BWD32"/>
      <c r="BWE32"/>
      <c r="BWF32"/>
      <c r="BWG32"/>
      <c r="BWH32"/>
      <c r="BWI32"/>
      <c r="BWJ32"/>
      <c r="BWK32"/>
      <c r="BWL32"/>
      <c r="BWM32"/>
      <c r="BWN32"/>
      <c r="BWO32"/>
      <c r="BWP32"/>
      <c r="BWQ32"/>
      <c r="BWR32"/>
      <c r="BWS32"/>
      <c r="BWT32"/>
      <c r="BWU32"/>
      <c r="BWV32"/>
      <c r="BWW32"/>
      <c r="BWX32"/>
      <c r="BWY32"/>
      <c r="BWZ32"/>
      <c r="BXA32"/>
      <c r="BXB32"/>
      <c r="BXC32"/>
      <c r="BXD32"/>
      <c r="BXE32"/>
      <c r="BXF32"/>
      <c r="BXG32"/>
      <c r="BXH32"/>
      <c r="BXI32"/>
      <c r="BXJ32"/>
      <c r="BXK32"/>
      <c r="BXL32"/>
      <c r="BXM32"/>
      <c r="BXN32"/>
      <c r="BXO32"/>
      <c r="BXP32"/>
      <c r="BXQ32"/>
      <c r="BXR32"/>
      <c r="BXS32"/>
      <c r="BXT32"/>
      <c r="BXU32"/>
      <c r="BXV32"/>
      <c r="BXW32"/>
      <c r="BXX32"/>
      <c r="BXY32"/>
      <c r="BXZ32"/>
      <c r="BYA32"/>
      <c r="BYB32"/>
      <c r="BYC32"/>
      <c r="BYD32"/>
      <c r="BYE32"/>
      <c r="BYF32"/>
      <c r="BYG32"/>
      <c r="BYH32"/>
      <c r="BYI32"/>
      <c r="BYJ32"/>
      <c r="BYK32"/>
      <c r="BYL32"/>
      <c r="BYM32"/>
      <c r="BYN32"/>
      <c r="BYO32"/>
      <c r="BYP32"/>
      <c r="BYQ32"/>
      <c r="BYR32"/>
      <c r="BYS32"/>
      <c r="BYT32"/>
      <c r="BYU32"/>
      <c r="BYV32"/>
      <c r="BYW32"/>
      <c r="BYX32"/>
      <c r="BYY32"/>
      <c r="BYZ32"/>
      <c r="BZA32"/>
      <c r="BZB32"/>
      <c r="BZC32"/>
      <c r="BZD32"/>
      <c r="BZE32"/>
      <c r="BZF32"/>
      <c r="BZG32"/>
      <c r="BZH32"/>
      <c r="BZI32"/>
      <c r="BZJ32"/>
      <c r="BZK32"/>
      <c r="BZL32"/>
      <c r="BZM32"/>
      <c r="BZN32"/>
      <c r="BZO32"/>
      <c r="BZP32"/>
      <c r="BZQ32"/>
      <c r="BZR32"/>
      <c r="BZS32"/>
      <c r="BZT32"/>
      <c r="BZU32"/>
      <c r="BZV32"/>
      <c r="BZW32"/>
      <c r="BZX32"/>
      <c r="BZY32"/>
      <c r="BZZ32"/>
      <c r="CAA32"/>
      <c r="CAB32"/>
      <c r="CAC32"/>
      <c r="CAD32"/>
      <c r="CAE32"/>
      <c r="CAF32"/>
      <c r="CAG32"/>
      <c r="CAH32"/>
      <c r="CAI32"/>
      <c r="CAJ32"/>
      <c r="CAK32"/>
      <c r="CAL32"/>
      <c r="CAM32"/>
      <c r="CAN32"/>
      <c r="CAO32"/>
      <c r="CAP32"/>
      <c r="CAQ32"/>
      <c r="CAR32"/>
      <c r="CAS32"/>
      <c r="CAT32"/>
      <c r="CAU32"/>
      <c r="CAV32"/>
      <c r="CAW32"/>
      <c r="CAX32"/>
      <c r="CAY32"/>
      <c r="CAZ32"/>
      <c r="CBA32"/>
      <c r="CBB32"/>
      <c r="CBC32"/>
      <c r="CBD32"/>
      <c r="CBE32"/>
      <c r="CBF32"/>
      <c r="CBG32"/>
      <c r="CBH32"/>
      <c r="CBI32"/>
      <c r="CBJ32"/>
      <c r="CBK32"/>
      <c r="CBL32"/>
      <c r="CBM32"/>
      <c r="CBN32"/>
      <c r="CBO32"/>
      <c r="CBP32"/>
      <c r="CBQ32"/>
      <c r="CBR32"/>
      <c r="CBS32"/>
      <c r="CBT32"/>
      <c r="CBU32"/>
      <c r="CBV32"/>
      <c r="CBW32"/>
      <c r="CBX32"/>
      <c r="CBY32"/>
      <c r="CBZ32"/>
      <c r="CCA32"/>
      <c r="CCB32"/>
      <c r="CCC32"/>
      <c r="CCD32"/>
      <c r="CCE32"/>
      <c r="CCF32"/>
      <c r="CCG32"/>
      <c r="CCH32"/>
      <c r="CCI32"/>
      <c r="CCJ32"/>
      <c r="CCK32"/>
      <c r="CCL32"/>
      <c r="CCM32"/>
      <c r="CCN32"/>
      <c r="CCO32"/>
      <c r="CCP32"/>
      <c r="CCQ32"/>
      <c r="CCR32"/>
      <c r="CCS32"/>
      <c r="CCT32"/>
      <c r="CCU32"/>
      <c r="CCV32"/>
      <c r="CCW32"/>
      <c r="CCX32"/>
      <c r="CCY32"/>
      <c r="CCZ32"/>
      <c r="CDA32"/>
      <c r="CDB32"/>
      <c r="CDC32"/>
      <c r="CDD32"/>
      <c r="CDE32"/>
      <c r="CDF32"/>
      <c r="CDG32"/>
      <c r="CDH32"/>
      <c r="CDI32"/>
      <c r="CDJ32"/>
      <c r="CDK32"/>
      <c r="CDL32"/>
      <c r="CDM32"/>
      <c r="CDN32"/>
      <c r="CDO32"/>
      <c r="CDP32"/>
      <c r="CDQ32"/>
      <c r="CDR32"/>
      <c r="CDS32"/>
      <c r="CDT32"/>
      <c r="CDU32"/>
      <c r="CDV32"/>
      <c r="CDW32"/>
      <c r="CDX32"/>
      <c r="CDY32"/>
      <c r="CDZ32"/>
      <c r="CEA32"/>
      <c r="CEB32"/>
      <c r="CEC32"/>
      <c r="CED32"/>
      <c r="CEE32"/>
      <c r="CEF32"/>
      <c r="CEG32"/>
      <c r="CEH32"/>
      <c r="CEI32"/>
      <c r="CEJ32"/>
      <c r="CEK32"/>
      <c r="CEL32"/>
      <c r="CEM32"/>
      <c r="CEN32"/>
      <c r="CEO32"/>
      <c r="CEP32"/>
      <c r="CEQ32"/>
      <c r="CER32"/>
      <c r="CES32"/>
      <c r="CET32"/>
      <c r="CEU32"/>
      <c r="CEV32"/>
      <c r="CEW32"/>
      <c r="CEX32"/>
      <c r="CEY32"/>
      <c r="CEZ32"/>
      <c r="CFA32"/>
      <c r="CFB32"/>
      <c r="CFC32"/>
      <c r="CFD32"/>
      <c r="CFE32"/>
      <c r="CFF32"/>
      <c r="CFG32"/>
      <c r="CFH32"/>
      <c r="CFI32"/>
      <c r="CFJ32"/>
      <c r="CFK32"/>
      <c r="CFL32"/>
      <c r="CFM32"/>
      <c r="CFN32"/>
      <c r="CFO32"/>
      <c r="CFP32"/>
      <c r="CFQ32"/>
      <c r="CFR32"/>
      <c r="CFS32"/>
      <c r="CFT32"/>
      <c r="CFU32"/>
      <c r="CFV32"/>
      <c r="CFW32"/>
      <c r="CFX32"/>
      <c r="CFY32"/>
      <c r="CFZ32"/>
      <c r="CGA32"/>
      <c r="CGB32"/>
      <c r="CGC32"/>
      <c r="CGD32"/>
      <c r="CGE32"/>
      <c r="CGF32"/>
      <c r="CGG32"/>
      <c r="CGH32"/>
      <c r="CGI32"/>
      <c r="CGJ32"/>
      <c r="CGK32"/>
      <c r="CGL32"/>
      <c r="CGM32"/>
      <c r="CGN32"/>
      <c r="CGO32"/>
      <c r="CGP32"/>
      <c r="CGQ32"/>
      <c r="CGR32"/>
      <c r="CGS32"/>
      <c r="CGT32"/>
      <c r="CGU32"/>
      <c r="CGV32"/>
      <c r="CGW32"/>
      <c r="CGX32"/>
      <c r="CGY32"/>
      <c r="CGZ32"/>
      <c r="CHA32"/>
      <c r="CHB32"/>
      <c r="CHC32"/>
      <c r="CHD32"/>
      <c r="CHE32"/>
      <c r="CHF32"/>
      <c r="CHG32"/>
      <c r="CHH32"/>
      <c r="CHI32"/>
      <c r="CHJ32"/>
      <c r="CHK32"/>
      <c r="CHL32"/>
      <c r="CHM32"/>
      <c r="CHN32"/>
      <c r="CHO32"/>
      <c r="CHP32"/>
      <c r="CHQ32"/>
      <c r="CHR32"/>
      <c r="CHS32"/>
      <c r="CHT32"/>
      <c r="CHU32"/>
      <c r="CHV32"/>
      <c r="CHW32"/>
      <c r="CHX32"/>
      <c r="CHY32"/>
      <c r="CHZ32"/>
      <c r="CIA32"/>
      <c r="CIB32"/>
      <c r="CIC32"/>
      <c r="CID32"/>
      <c r="CIE32"/>
      <c r="CIF32"/>
      <c r="CIG32"/>
      <c r="CIH32"/>
      <c r="CII32"/>
      <c r="CIJ32"/>
      <c r="CIK32"/>
      <c r="CIL32"/>
      <c r="CIM32"/>
      <c r="CIN32"/>
      <c r="CIO32"/>
      <c r="CIP32"/>
      <c r="CIQ32"/>
      <c r="CIR32"/>
      <c r="CIS32"/>
      <c r="CIT32"/>
      <c r="CIU32"/>
      <c r="CIV32"/>
      <c r="CIW32"/>
      <c r="CIX32"/>
      <c r="CIY32"/>
      <c r="CIZ32"/>
      <c r="CJA32"/>
      <c r="CJB32"/>
      <c r="CJC32"/>
      <c r="CJD32"/>
      <c r="CJE32"/>
      <c r="CJF32"/>
      <c r="CJG32"/>
      <c r="CJH32"/>
      <c r="CJI32"/>
      <c r="CJJ32"/>
      <c r="CJK32"/>
      <c r="CJL32"/>
      <c r="CJM32"/>
      <c r="CJN32"/>
      <c r="CJO32"/>
      <c r="CJP32"/>
      <c r="CJQ32"/>
      <c r="CJR32"/>
      <c r="CJS32"/>
      <c r="CJT32"/>
      <c r="CJU32"/>
      <c r="CJV32"/>
      <c r="CJW32"/>
      <c r="CJX32"/>
      <c r="CJY32"/>
      <c r="CJZ32"/>
      <c r="CKA32"/>
      <c r="CKB32"/>
      <c r="CKC32"/>
      <c r="CKD32"/>
      <c r="CKE32"/>
      <c r="CKF32"/>
      <c r="CKG32"/>
      <c r="CKH32"/>
      <c r="CKI32"/>
      <c r="CKJ32"/>
      <c r="CKK32"/>
      <c r="CKL32"/>
      <c r="CKM32"/>
      <c r="CKN32"/>
      <c r="CKO32"/>
      <c r="CKP32"/>
      <c r="CKQ32"/>
      <c r="CKR32"/>
      <c r="CKS32"/>
      <c r="CKT32"/>
      <c r="CKU32"/>
      <c r="CKV32"/>
      <c r="CKW32"/>
      <c r="CKX32"/>
      <c r="CKY32"/>
      <c r="CKZ32"/>
      <c r="CLA32"/>
      <c r="CLB32"/>
      <c r="CLC32"/>
      <c r="CLD32"/>
      <c r="CLE32"/>
      <c r="CLF32"/>
      <c r="CLG32"/>
      <c r="CLH32"/>
      <c r="CLI32"/>
      <c r="CLJ32"/>
      <c r="CLK32"/>
      <c r="CLL32"/>
      <c r="CLM32"/>
      <c r="CLN32"/>
      <c r="CLO32"/>
      <c r="CLP32"/>
      <c r="CLQ32"/>
      <c r="CLR32"/>
      <c r="CLS32"/>
      <c r="CLT32"/>
      <c r="CLU32"/>
      <c r="CLV32"/>
      <c r="CLW32"/>
      <c r="CLX32"/>
      <c r="CLY32"/>
      <c r="CLZ32"/>
      <c r="CMA32"/>
      <c r="CMB32"/>
      <c r="CMC32"/>
      <c r="CMD32"/>
      <c r="CME32"/>
      <c r="CMF32"/>
      <c r="CMG32"/>
      <c r="CMH32"/>
      <c r="CMI32"/>
      <c r="CMJ32"/>
      <c r="CMK32"/>
      <c r="CML32"/>
      <c r="CMM32"/>
      <c r="CMN32"/>
      <c r="CMO32"/>
      <c r="CMP32"/>
      <c r="CMQ32"/>
      <c r="CMR32"/>
      <c r="CMS32"/>
      <c r="CMT32"/>
      <c r="CMU32"/>
      <c r="CMV32"/>
      <c r="CMW32"/>
      <c r="CMX32"/>
      <c r="CMY32"/>
      <c r="CMZ32"/>
      <c r="CNA32"/>
      <c r="CNB32"/>
      <c r="CNC32"/>
      <c r="CND32"/>
      <c r="CNE32"/>
      <c r="CNF32"/>
      <c r="CNG32"/>
      <c r="CNH32"/>
      <c r="CNI32"/>
      <c r="CNJ32"/>
      <c r="CNK32"/>
      <c r="CNL32"/>
      <c r="CNM32"/>
      <c r="CNN32"/>
      <c r="CNO32"/>
      <c r="CNP32"/>
      <c r="CNQ32"/>
      <c r="CNR32"/>
      <c r="CNS32"/>
      <c r="CNT32"/>
      <c r="CNU32"/>
      <c r="CNV32"/>
      <c r="CNW32"/>
      <c r="CNX32"/>
      <c r="CNY32"/>
      <c r="CNZ32"/>
      <c r="COA32"/>
      <c r="COB32"/>
      <c r="COC32"/>
      <c r="COD32"/>
      <c r="COE32"/>
      <c r="COF32"/>
      <c r="COG32"/>
      <c r="COH32"/>
      <c r="COI32"/>
      <c r="COJ32"/>
      <c r="COK32"/>
      <c r="COL32"/>
      <c r="COM32"/>
      <c r="CON32"/>
      <c r="COO32"/>
      <c r="COP32"/>
      <c r="COQ32"/>
      <c r="COR32"/>
      <c r="COS32"/>
      <c r="COT32"/>
      <c r="COU32"/>
      <c r="COV32"/>
      <c r="COW32"/>
      <c r="COX32"/>
      <c r="COY32"/>
      <c r="COZ32"/>
      <c r="CPA32"/>
      <c r="CPB32"/>
      <c r="CPC32"/>
      <c r="CPD32"/>
      <c r="CPE32"/>
      <c r="CPF32"/>
      <c r="CPG32"/>
      <c r="CPH32"/>
      <c r="CPI32"/>
      <c r="CPJ32"/>
      <c r="CPK32"/>
      <c r="CPL32"/>
      <c r="CPM32"/>
      <c r="CPN32"/>
      <c r="CPO32"/>
      <c r="CPP32"/>
      <c r="CPQ32"/>
      <c r="CPR32"/>
      <c r="CPS32"/>
      <c r="CPT32"/>
      <c r="CPU32"/>
      <c r="CPV32"/>
      <c r="CPW32"/>
      <c r="CPX32"/>
      <c r="CPY32"/>
      <c r="CPZ32"/>
      <c r="CQA32"/>
      <c r="CQB32"/>
      <c r="CQC32"/>
      <c r="CQD32"/>
      <c r="CQE32"/>
      <c r="CQF32"/>
      <c r="CQG32"/>
      <c r="CQH32"/>
      <c r="CQI32"/>
      <c r="CQJ32"/>
      <c r="CQK32"/>
      <c r="CQL32"/>
      <c r="CQM32"/>
      <c r="CQN32"/>
      <c r="CQO32"/>
      <c r="CQP32"/>
      <c r="CQQ32"/>
      <c r="CQR32"/>
      <c r="CQS32"/>
      <c r="CQT32"/>
      <c r="CQU32"/>
      <c r="CQV32"/>
      <c r="CQW32"/>
      <c r="CQX32"/>
      <c r="CQY32"/>
      <c r="CQZ32"/>
      <c r="CRA32"/>
      <c r="CRB32"/>
      <c r="CRC32"/>
      <c r="CRD32"/>
      <c r="CRE32"/>
      <c r="CRF32"/>
      <c r="CRG32"/>
      <c r="CRH32"/>
      <c r="CRI32"/>
      <c r="CRJ32"/>
      <c r="CRK32"/>
      <c r="CRL32"/>
      <c r="CRM32"/>
      <c r="CRN32"/>
      <c r="CRO32"/>
      <c r="CRP32"/>
      <c r="CRQ32"/>
      <c r="CRR32"/>
      <c r="CRS32"/>
      <c r="CRT32"/>
      <c r="CRU32"/>
      <c r="CRV32"/>
      <c r="CRW32"/>
      <c r="CRX32"/>
      <c r="CRY32"/>
      <c r="CRZ32"/>
      <c r="CSA32"/>
      <c r="CSB32"/>
      <c r="CSC32"/>
      <c r="CSD32"/>
      <c r="CSE32"/>
      <c r="CSF32"/>
      <c r="CSG32"/>
      <c r="CSH32"/>
      <c r="CSI32"/>
      <c r="CSJ32"/>
      <c r="CSK32"/>
      <c r="CSL32"/>
      <c r="CSM32"/>
      <c r="CSN32"/>
      <c r="CSO32"/>
      <c r="CSP32"/>
      <c r="CSQ32"/>
      <c r="CSR32"/>
      <c r="CSS32"/>
      <c r="CST32"/>
      <c r="CSU32"/>
      <c r="CSV32"/>
      <c r="CSW32"/>
      <c r="CSX32"/>
      <c r="CSY32"/>
      <c r="CSZ32"/>
      <c r="CTA32"/>
      <c r="CTB32"/>
      <c r="CTC32"/>
      <c r="CTD32"/>
      <c r="CTE32"/>
      <c r="CTF32"/>
      <c r="CTG32"/>
      <c r="CTH32"/>
      <c r="CTI32"/>
      <c r="CTJ32"/>
      <c r="CTK32"/>
      <c r="CTL32"/>
      <c r="CTM32"/>
      <c r="CTN32"/>
      <c r="CTO32"/>
      <c r="CTP32"/>
      <c r="CTQ32"/>
      <c r="CTR32"/>
      <c r="CTS32"/>
      <c r="CTT32"/>
      <c r="CTU32"/>
      <c r="CTV32"/>
      <c r="CTW32"/>
      <c r="CTX32"/>
      <c r="CTY32"/>
      <c r="CTZ32"/>
      <c r="CUA32"/>
      <c r="CUB32"/>
      <c r="CUC32"/>
      <c r="CUD32"/>
      <c r="CUE32"/>
      <c r="CUF32"/>
      <c r="CUG32"/>
      <c r="CUH32"/>
      <c r="CUI32"/>
      <c r="CUJ32"/>
      <c r="CUK32"/>
      <c r="CUL32"/>
      <c r="CUM32"/>
      <c r="CUN32"/>
      <c r="CUO32"/>
      <c r="CUP32"/>
      <c r="CUQ32"/>
      <c r="CUR32"/>
      <c r="CUS32"/>
      <c r="CUT32"/>
      <c r="CUU32"/>
      <c r="CUV32"/>
      <c r="CUW32"/>
      <c r="CUX32"/>
      <c r="CUY32"/>
      <c r="CUZ32"/>
      <c r="CVA32"/>
      <c r="CVB32"/>
      <c r="CVC32"/>
      <c r="CVD32"/>
      <c r="CVE32"/>
      <c r="CVF32"/>
      <c r="CVG32"/>
      <c r="CVH32"/>
      <c r="CVI32"/>
      <c r="CVJ32"/>
      <c r="CVK32"/>
      <c r="CVL32"/>
      <c r="CVM32"/>
      <c r="CVN32"/>
      <c r="CVO32"/>
      <c r="CVP32"/>
      <c r="CVQ32"/>
      <c r="CVR32"/>
      <c r="CVS32"/>
      <c r="CVT32"/>
      <c r="CVU32"/>
      <c r="CVV32"/>
      <c r="CVW32"/>
      <c r="CVX32"/>
      <c r="CVY32"/>
      <c r="CVZ32"/>
      <c r="CWA32"/>
      <c r="CWB32"/>
      <c r="CWC32"/>
      <c r="CWD32"/>
      <c r="CWE32"/>
      <c r="CWF32"/>
      <c r="CWG32"/>
      <c r="CWH32"/>
      <c r="CWI32"/>
      <c r="CWJ32"/>
      <c r="CWK32"/>
      <c r="CWL32"/>
      <c r="CWM32"/>
      <c r="CWN32"/>
      <c r="CWO32"/>
      <c r="CWP32"/>
      <c r="CWQ32"/>
      <c r="CWR32"/>
      <c r="CWS32"/>
      <c r="CWT32"/>
      <c r="CWU32"/>
      <c r="CWV32"/>
      <c r="CWW32"/>
      <c r="CWX32"/>
      <c r="CWY32"/>
      <c r="CWZ32"/>
      <c r="CXA32"/>
      <c r="CXB32"/>
      <c r="CXC32"/>
      <c r="CXD32"/>
      <c r="CXE32"/>
      <c r="CXF32"/>
      <c r="CXG32"/>
      <c r="CXH32"/>
      <c r="CXI32"/>
      <c r="CXJ32"/>
      <c r="CXK32"/>
      <c r="CXL32"/>
      <c r="CXM32"/>
      <c r="CXN32"/>
      <c r="CXO32"/>
      <c r="CXP32"/>
      <c r="CXQ32"/>
      <c r="CXR32"/>
      <c r="CXS32"/>
      <c r="CXT32"/>
      <c r="CXU32"/>
      <c r="CXV32"/>
      <c r="CXW32"/>
      <c r="CXX32"/>
      <c r="CXY32"/>
      <c r="CXZ32"/>
      <c r="CYA32"/>
      <c r="CYB32"/>
      <c r="CYC32"/>
      <c r="CYD32"/>
      <c r="CYE32"/>
      <c r="CYF32"/>
      <c r="CYG32"/>
      <c r="CYH32"/>
      <c r="CYI32"/>
      <c r="CYJ32"/>
      <c r="CYK32"/>
      <c r="CYL32"/>
      <c r="CYM32"/>
      <c r="CYN32"/>
      <c r="CYO32"/>
      <c r="CYP32"/>
      <c r="CYQ32"/>
      <c r="CYR32"/>
      <c r="CYS32"/>
      <c r="CYT32"/>
      <c r="CYU32"/>
      <c r="CYV32"/>
      <c r="CYW32"/>
      <c r="CYX32"/>
      <c r="CYY32"/>
      <c r="CYZ32"/>
      <c r="CZA32"/>
      <c r="CZB32"/>
      <c r="CZC32"/>
      <c r="CZD32"/>
      <c r="CZE32"/>
      <c r="CZF32"/>
      <c r="CZG32"/>
      <c r="CZH32"/>
      <c r="CZI32"/>
      <c r="CZJ32"/>
      <c r="CZK32"/>
      <c r="CZL32"/>
      <c r="CZM32"/>
      <c r="CZN32"/>
      <c r="CZO32"/>
      <c r="CZP32"/>
      <c r="CZQ32"/>
      <c r="CZR32"/>
      <c r="CZS32"/>
      <c r="CZT32"/>
      <c r="CZU32"/>
      <c r="CZV32"/>
      <c r="CZW32"/>
      <c r="CZX32"/>
      <c r="CZY32"/>
      <c r="CZZ32"/>
      <c r="DAA32"/>
      <c r="DAB32"/>
      <c r="DAC32"/>
      <c r="DAD32"/>
      <c r="DAE32"/>
      <c r="DAF32"/>
      <c r="DAG32"/>
      <c r="DAH32"/>
      <c r="DAI32"/>
      <c r="DAJ32"/>
      <c r="DAK32"/>
      <c r="DAL32"/>
      <c r="DAM32"/>
      <c r="DAN32"/>
      <c r="DAO32"/>
      <c r="DAP32"/>
      <c r="DAQ32"/>
      <c r="DAR32"/>
      <c r="DAS32"/>
      <c r="DAT32"/>
      <c r="DAU32"/>
      <c r="DAV32"/>
      <c r="DAW32"/>
      <c r="DAX32"/>
      <c r="DAY32"/>
      <c r="DAZ32"/>
      <c r="DBA32"/>
      <c r="DBB32"/>
      <c r="DBC32"/>
      <c r="DBD32"/>
      <c r="DBE32"/>
      <c r="DBF32"/>
      <c r="DBG32"/>
      <c r="DBH32"/>
      <c r="DBI32"/>
      <c r="DBJ32"/>
      <c r="DBK32"/>
      <c r="DBL32"/>
      <c r="DBM32"/>
      <c r="DBN32"/>
      <c r="DBO32"/>
      <c r="DBP32"/>
      <c r="DBQ32"/>
      <c r="DBR32"/>
      <c r="DBS32"/>
      <c r="DBT32"/>
      <c r="DBU32"/>
      <c r="DBV32"/>
      <c r="DBW32"/>
      <c r="DBX32"/>
      <c r="DBY32"/>
      <c r="DBZ32"/>
      <c r="DCA32"/>
      <c r="DCB32"/>
      <c r="DCC32"/>
      <c r="DCD32"/>
      <c r="DCE32"/>
      <c r="DCF32"/>
      <c r="DCG32"/>
      <c r="DCH32"/>
      <c r="DCI32"/>
      <c r="DCJ32"/>
      <c r="DCK32"/>
      <c r="DCL32"/>
      <c r="DCM32"/>
      <c r="DCN32"/>
      <c r="DCO32"/>
      <c r="DCP32"/>
      <c r="DCQ32"/>
      <c r="DCR32"/>
      <c r="DCS32"/>
      <c r="DCT32"/>
      <c r="DCU32"/>
      <c r="DCV32"/>
      <c r="DCW32"/>
      <c r="DCX32"/>
      <c r="DCY32"/>
      <c r="DCZ32"/>
      <c r="DDA32"/>
      <c r="DDB32"/>
      <c r="DDC32"/>
      <c r="DDD32"/>
      <c r="DDE32"/>
      <c r="DDF32"/>
      <c r="DDG32"/>
      <c r="DDH32"/>
      <c r="DDI32"/>
      <c r="DDJ32"/>
      <c r="DDK32"/>
      <c r="DDL32"/>
      <c r="DDM32"/>
      <c r="DDN32"/>
      <c r="DDO32"/>
      <c r="DDP32"/>
      <c r="DDQ32"/>
      <c r="DDR32"/>
      <c r="DDS32"/>
      <c r="DDT32"/>
      <c r="DDU32"/>
      <c r="DDV32"/>
      <c r="DDW32"/>
      <c r="DDX32"/>
      <c r="DDY32"/>
      <c r="DDZ32"/>
      <c r="DEA32"/>
      <c r="DEB32"/>
      <c r="DEC32"/>
      <c r="DED32"/>
      <c r="DEE32"/>
      <c r="DEF32"/>
      <c r="DEG32"/>
      <c r="DEH32"/>
      <c r="DEI32"/>
      <c r="DEJ32"/>
      <c r="DEK32"/>
      <c r="DEL32"/>
      <c r="DEM32"/>
      <c r="DEN32"/>
      <c r="DEO32"/>
      <c r="DEP32"/>
      <c r="DEQ32"/>
      <c r="DER32"/>
      <c r="DES32"/>
      <c r="DET32"/>
      <c r="DEU32"/>
      <c r="DEV32"/>
      <c r="DEW32"/>
      <c r="DEX32"/>
      <c r="DEY32"/>
      <c r="DEZ32"/>
      <c r="DFA32"/>
      <c r="DFB32"/>
      <c r="DFC32"/>
      <c r="DFD32"/>
      <c r="DFE32"/>
      <c r="DFF32"/>
      <c r="DFG32"/>
      <c r="DFH32"/>
      <c r="DFI32"/>
      <c r="DFJ32"/>
      <c r="DFK32"/>
      <c r="DFL32"/>
      <c r="DFM32"/>
      <c r="DFN32"/>
      <c r="DFO32"/>
      <c r="DFP32"/>
      <c r="DFQ32"/>
      <c r="DFR32"/>
      <c r="DFS32"/>
      <c r="DFT32"/>
      <c r="DFU32"/>
      <c r="DFV32"/>
      <c r="DFW32"/>
      <c r="DFX32"/>
      <c r="DFY32"/>
      <c r="DFZ32"/>
      <c r="DGA32"/>
      <c r="DGB32"/>
      <c r="DGC32"/>
      <c r="DGD32"/>
      <c r="DGE32"/>
      <c r="DGF32"/>
      <c r="DGG32"/>
      <c r="DGH32"/>
      <c r="DGI32"/>
      <c r="DGJ32"/>
      <c r="DGK32"/>
      <c r="DGL32"/>
      <c r="DGM32"/>
      <c r="DGN32"/>
      <c r="DGO32"/>
      <c r="DGP32"/>
      <c r="DGQ32"/>
      <c r="DGR32"/>
      <c r="DGS32"/>
      <c r="DGT32"/>
      <c r="DGU32"/>
      <c r="DGV32"/>
      <c r="DGW32"/>
      <c r="DGX32"/>
      <c r="DGY32"/>
      <c r="DGZ32"/>
      <c r="DHA32"/>
      <c r="DHB32"/>
      <c r="DHC32"/>
      <c r="DHD32"/>
      <c r="DHE32"/>
      <c r="DHF32"/>
      <c r="DHG32"/>
      <c r="DHH32"/>
      <c r="DHI32"/>
      <c r="DHJ32"/>
      <c r="DHK32"/>
      <c r="DHL32"/>
      <c r="DHM32"/>
      <c r="DHN32"/>
      <c r="DHO32"/>
      <c r="DHP32"/>
      <c r="DHQ32"/>
      <c r="DHR32"/>
      <c r="DHS32"/>
      <c r="DHT32"/>
      <c r="DHU32"/>
      <c r="DHV32"/>
      <c r="DHW32"/>
      <c r="DHX32"/>
      <c r="DHY32"/>
      <c r="DHZ32"/>
      <c r="DIA32"/>
      <c r="DIB32"/>
      <c r="DIC32"/>
      <c r="DID32"/>
      <c r="DIE32"/>
      <c r="DIF32"/>
      <c r="DIG32"/>
      <c r="DIH32"/>
      <c r="DII32"/>
      <c r="DIJ32"/>
      <c r="DIK32"/>
      <c r="DIL32"/>
      <c r="DIM32"/>
      <c r="DIN32"/>
      <c r="DIO32"/>
      <c r="DIP32"/>
      <c r="DIQ32"/>
      <c r="DIR32"/>
      <c r="DIS32"/>
      <c r="DIT32"/>
      <c r="DIU32"/>
      <c r="DIV32"/>
      <c r="DIW32"/>
      <c r="DIX32"/>
      <c r="DIY32"/>
      <c r="DIZ32"/>
      <c r="DJA32"/>
      <c r="DJB32"/>
      <c r="DJC32"/>
      <c r="DJD32"/>
      <c r="DJE32"/>
      <c r="DJF32"/>
      <c r="DJG32"/>
      <c r="DJH32"/>
      <c r="DJI32"/>
      <c r="DJJ32"/>
      <c r="DJK32"/>
      <c r="DJL32"/>
      <c r="DJM32"/>
      <c r="DJN32"/>
      <c r="DJO32"/>
      <c r="DJP32"/>
      <c r="DJQ32"/>
      <c r="DJR32"/>
      <c r="DJS32"/>
      <c r="DJT32"/>
      <c r="DJU32"/>
      <c r="DJV32"/>
      <c r="DJW32"/>
      <c r="DJX32"/>
      <c r="DJY32"/>
      <c r="DJZ32"/>
      <c r="DKA32"/>
      <c r="DKB32"/>
      <c r="DKC32"/>
      <c r="DKD32"/>
      <c r="DKE32"/>
      <c r="DKF32"/>
      <c r="DKG32"/>
      <c r="DKH32"/>
      <c r="DKI32"/>
      <c r="DKJ32"/>
      <c r="DKK32"/>
      <c r="DKL32"/>
      <c r="DKM32"/>
      <c r="DKN32"/>
      <c r="DKO32"/>
      <c r="DKP32"/>
      <c r="DKQ32"/>
      <c r="DKR32"/>
      <c r="DKS32"/>
      <c r="DKT32"/>
      <c r="DKU32"/>
      <c r="DKV32"/>
      <c r="DKW32"/>
      <c r="DKX32"/>
      <c r="DKY32"/>
      <c r="DKZ32"/>
      <c r="DLA32"/>
      <c r="DLB32"/>
      <c r="DLC32"/>
      <c r="DLD32"/>
      <c r="DLE32"/>
      <c r="DLF32"/>
      <c r="DLG32"/>
      <c r="DLH32"/>
      <c r="DLI32"/>
      <c r="DLJ32"/>
      <c r="DLK32"/>
      <c r="DLL32"/>
      <c r="DLM32"/>
      <c r="DLN32"/>
      <c r="DLO32"/>
      <c r="DLP32"/>
      <c r="DLQ32"/>
      <c r="DLR32"/>
      <c r="DLS32"/>
      <c r="DLT32"/>
      <c r="DLU32"/>
      <c r="DLV32"/>
      <c r="DLW32"/>
      <c r="DLX32"/>
      <c r="DLY32"/>
      <c r="DLZ32"/>
      <c r="DMA32"/>
      <c r="DMB32"/>
      <c r="DMC32"/>
      <c r="DMD32"/>
      <c r="DME32"/>
      <c r="DMF32"/>
      <c r="DMG32"/>
      <c r="DMH32"/>
      <c r="DMI32"/>
      <c r="DMJ32"/>
      <c r="DMK32"/>
      <c r="DML32"/>
      <c r="DMM32"/>
      <c r="DMN32"/>
      <c r="DMO32"/>
      <c r="DMP32"/>
      <c r="DMQ32"/>
      <c r="DMR32"/>
      <c r="DMS32"/>
      <c r="DMT32"/>
      <c r="DMU32"/>
      <c r="DMV32"/>
      <c r="DMW32"/>
      <c r="DMX32"/>
      <c r="DMY32"/>
      <c r="DMZ32"/>
      <c r="DNA32"/>
      <c r="DNB32"/>
      <c r="DNC32"/>
      <c r="DND32"/>
      <c r="DNE32"/>
      <c r="DNF32"/>
      <c r="DNG32"/>
      <c r="DNH32"/>
      <c r="DNI32"/>
      <c r="DNJ32"/>
      <c r="DNK32"/>
      <c r="DNL32"/>
      <c r="DNM32"/>
      <c r="DNN32"/>
      <c r="DNO32"/>
      <c r="DNP32"/>
      <c r="DNQ32"/>
      <c r="DNR32"/>
      <c r="DNS32"/>
      <c r="DNT32"/>
      <c r="DNU32"/>
      <c r="DNV32"/>
      <c r="DNW32"/>
      <c r="DNX32"/>
      <c r="DNY32"/>
      <c r="DNZ32"/>
      <c r="DOA32"/>
      <c r="DOB32"/>
      <c r="DOC32"/>
      <c r="DOD32"/>
      <c r="DOE32"/>
      <c r="DOF32"/>
      <c r="DOG32"/>
      <c r="DOH32"/>
      <c r="DOI32"/>
      <c r="DOJ32"/>
      <c r="DOK32"/>
      <c r="DOL32"/>
      <c r="DOM32"/>
      <c r="DON32"/>
      <c r="DOO32"/>
      <c r="DOP32"/>
      <c r="DOQ32"/>
      <c r="DOR32"/>
      <c r="DOS32"/>
      <c r="DOT32"/>
      <c r="DOU32"/>
      <c r="DOV32"/>
      <c r="DOW32"/>
      <c r="DOX32"/>
      <c r="DOY32"/>
      <c r="DOZ32"/>
      <c r="DPA32"/>
      <c r="DPB32"/>
      <c r="DPC32"/>
      <c r="DPD32"/>
      <c r="DPE32"/>
      <c r="DPF32"/>
      <c r="DPG32"/>
      <c r="DPH32"/>
      <c r="DPI32"/>
      <c r="DPJ32"/>
      <c r="DPK32"/>
      <c r="DPL32"/>
      <c r="DPM32"/>
      <c r="DPN32"/>
      <c r="DPO32"/>
      <c r="DPP32"/>
      <c r="DPQ32"/>
      <c r="DPR32"/>
      <c r="DPS32"/>
      <c r="DPT32"/>
      <c r="DPU32"/>
      <c r="DPV32"/>
      <c r="DPW32"/>
      <c r="DPX32"/>
      <c r="DPY32"/>
      <c r="DPZ32"/>
      <c r="DQA32"/>
      <c r="DQB32"/>
      <c r="DQC32"/>
      <c r="DQD32"/>
      <c r="DQE32"/>
      <c r="DQF32"/>
      <c r="DQG32"/>
      <c r="DQH32"/>
      <c r="DQI32"/>
      <c r="DQJ32"/>
      <c r="DQK32"/>
      <c r="DQL32"/>
      <c r="DQM32"/>
      <c r="DQN32"/>
      <c r="DQO32"/>
      <c r="DQP32"/>
      <c r="DQQ32"/>
      <c r="DQR32"/>
      <c r="DQS32"/>
      <c r="DQT32"/>
      <c r="DQU32"/>
      <c r="DQV32"/>
      <c r="DQW32"/>
      <c r="DQX32"/>
      <c r="DQY32"/>
      <c r="DQZ32"/>
      <c r="DRA32"/>
      <c r="DRB32"/>
      <c r="DRC32"/>
      <c r="DRD32"/>
      <c r="DRE32"/>
      <c r="DRF32"/>
      <c r="DRG32"/>
      <c r="DRH32"/>
      <c r="DRI32"/>
      <c r="DRJ32"/>
      <c r="DRK32"/>
      <c r="DRL32"/>
      <c r="DRM32"/>
      <c r="DRN32"/>
      <c r="DRO32"/>
      <c r="DRP32"/>
      <c r="DRQ32"/>
      <c r="DRR32"/>
      <c r="DRS32"/>
      <c r="DRT32"/>
      <c r="DRU32"/>
      <c r="DRV32"/>
      <c r="DRW32"/>
      <c r="DRX32"/>
      <c r="DRY32"/>
      <c r="DRZ32"/>
      <c r="DSA32"/>
      <c r="DSB32"/>
      <c r="DSC32"/>
      <c r="DSD32"/>
      <c r="DSE32"/>
      <c r="DSF32"/>
      <c r="DSG32"/>
      <c r="DSH32"/>
      <c r="DSI32"/>
      <c r="DSJ32"/>
      <c r="DSK32"/>
      <c r="DSL32"/>
      <c r="DSM32"/>
      <c r="DSN32"/>
      <c r="DSO32"/>
      <c r="DSP32"/>
      <c r="DSQ32"/>
      <c r="DSR32"/>
      <c r="DSS32"/>
      <c r="DST32"/>
      <c r="DSU32"/>
      <c r="DSV32"/>
      <c r="DSW32"/>
      <c r="DSX32"/>
      <c r="DSY32"/>
      <c r="DSZ32"/>
      <c r="DTA32"/>
      <c r="DTB32"/>
      <c r="DTC32"/>
      <c r="DTD32"/>
      <c r="DTE32"/>
      <c r="DTF32"/>
      <c r="DTG32"/>
      <c r="DTH32"/>
      <c r="DTI32"/>
      <c r="DTJ32"/>
      <c r="DTK32"/>
      <c r="DTL32"/>
      <c r="DTM32"/>
      <c r="DTN32"/>
      <c r="DTO32"/>
      <c r="DTP32"/>
      <c r="DTQ32"/>
      <c r="DTR32"/>
      <c r="DTS32"/>
      <c r="DTT32"/>
      <c r="DTU32"/>
      <c r="DTV32"/>
      <c r="DTW32"/>
      <c r="DTX32"/>
      <c r="DTY32"/>
      <c r="DTZ32"/>
      <c r="DUA32"/>
      <c r="DUB32"/>
      <c r="DUC32"/>
      <c r="DUD32"/>
      <c r="DUE32"/>
      <c r="DUF32"/>
      <c r="DUG32"/>
      <c r="DUH32"/>
      <c r="DUI32"/>
      <c r="DUJ32"/>
      <c r="DUK32"/>
      <c r="DUL32"/>
      <c r="DUM32"/>
      <c r="DUN32"/>
      <c r="DUO32"/>
      <c r="DUP32"/>
      <c r="DUQ32"/>
      <c r="DUR32"/>
      <c r="DUS32"/>
      <c r="DUT32"/>
      <c r="DUU32"/>
      <c r="DUV32"/>
      <c r="DUW32"/>
      <c r="DUX32"/>
      <c r="DUY32"/>
      <c r="DUZ32"/>
      <c r="DVA32"/>
      <c r="DVB32"/>
      <c r="DVC32"/>
      <c r="DVD32"/>
      <c r="DVE32"/>
      <c r="DVF32"/>
      <c r="DVG32"/>
      <c r="DVH32"/>
      <c r="DVI32"/>
      <c r="DVJ32"/>
      <c r="DVK32"/>
      <c r="DVL32"/>
      <c r="DVM32"/>
      <c r="DVN32"/>
      <c r="DVO32"/>
      <c r="DVP32"/>
      <c r="DVQ32"/>
      <c r="DVR32"/>
      <c r="DVS32"/>
      <c r="DVT32"/>
      <c r="DVU32"/>
      <c r="DVV32"/>
      <c r="DVW32"/>
      <c r="DVX32"/>
      <c r="DVY32"/>
      <c r="DVZ32"/>
      <c r="DWA32"/>
      <c r="DWB32"/>
      <c r="DWC32"/>
      <c r="DWD32"/>
      <c r="DWE32"/>
      <c r="DWF32"/>
      <c r="DWG32"/>
      <c r="DWH32"/>
      <c r="DWI32"/>
      <c r="DWJ32"/>
      <c r="DWK32"/>
      <c r="DWL32"/>
      <c r="DWM32"/>
      <c r="DWN32"/>
      <c r="DWO32"/>
      <c r="DWP32"/>
      <c r="DWQ32"/>
      <c r="DWR32"/>
      <c r="DWS32"/>
      <c r="DWT32"/>
      <c r="DWU32"/>
      <c r="DWV32"/>
      <c r="DWW32"/>
      <c r="DWX32"/>
      <c r="DWY32"/>
      <c r="DWZ32"/>
      <c r="DXA32"/>
      <c r="DXB32"/>
      <c r="DXC32"/>
      <c r="DXD32"/>
      <c r="DXE32"/>
      <c r="DXF32"/>
      <c r="DXG32"/>
      <c r="DXH32"/>
      <c r="DXI32"/>
      <c r="DXJ32"/>
      <c r="DXK32"/>
      <c r="DXL32"/>
      <c r="DXM32"/>
      <c r="DXN32"/>
      <c r="DXO32"/>
      <c r="DXP32"/>
      <c r="DXQ32"/>
      <c r="DXR32"/>
      <c r="DXS32"/>
      <c r="DXT32"/>
      <c r="DXU32"/>
      <c r="DXV32"/>
      <c r="DXW32"/>
      <c r="DXX32"/>
      <c r="DXY32"/>
      <c r="DXZ32"/>
      <c r="DYA32"/>
      <c r="DYB32"/>
      <c r="DYC32"/>
      <c r="DYD32"/>
      <c r="DYE32"/>
      <c r="DYF32"/>
      <c r="DYG32"/>
      <c r="DYH32"/>
      <c r="DYI32"/>
      <c r="DYJ32"/>
      <c r="DYK32"/>
      <c r="DYL32"/>
      <c r="DYM32"/>
      <c r="DYN32"/>
      <c r="DYO32"/>
      <c r="DYP32"/>
      <c r="DYQ32"/>
      <c r="DYR32"/>
      <c r="DYS32"/>
      <c r="DYT32"/>
      <c r="DYU32"/>
      <c r="DYV32"/>
      <c r="DYW32"/>
      <c r="DYX32"/>
      <c r="DYY32"/>
      <c r="DYZ32"/>
      <c r="DZA32"/>
      <c r="DZB32"/>
      <c r="DZC32"/>
      <c r="DZD32"/>
      <c r="DZE32"/>
      <c r="DZF32"/>
      <c r="DZG32"/>
      <c r="DZH32"/>
      <c r="DZI32"/>
      <c r="DZJ32"/>
      <c r="DZK32"/>
      <c r="DZL32"/>
      <c r="DZM32"/>
      <c r="DZN32"/>
      <c r="DZO32"/>
      <c r="DZP32"/>
      <c r="DZQ32"/>
      <c r="DZR32"/>
      <c r="DZS32"/>
      <c r="DZT32"/>
      <c r="DZU32"/>
      <c r="DZV32"/>
      <c r="DZW32"/>
      <c r="DZX32"/>
      <c r="DZY32"/>
      <c r="DZZ32"/>
      <c r="EAA32"/>
      <c r="EAB32"/>
      <c r="EAC32"/>
      <c r="EAD32"/>
      <c r="EAE32"/>
      <c r="EAF32"/>
      <c r="EAG32"/>
      <c r="EAH32"/>
      <c r="EAI32"/>
      <c r="EAJ32"/>
      <c r="EAK32"/>
      <c r="EAL32"/>
      <c r="EAM32"/>
      <c r="EAN32"/>
      <c r="EAO32"/>
      <c r="EAP32"/>
      <c r="EAQ32"/>
      <c r="EAR32"/>
      <c r="EAS32"/>
      <c r="EAT32"/>
      <c r="EAU32"/>
      <c r="EAV32"/>
      <c r="EAW32"/>
      <c r="EAX32"/>
      <c r="EAY32"/>
      <c r="EAZ32"/>
      <c r="EBA32"/>
      <c r="EBB32"/>
      <c r="EBC32"/>
      <c r="EBD32"/>
      <c r="EBE32"/>
      <c r="EBF32"/>
      <c r="EBG32"/>
      <c r="EBH32"/>
      <c r="EBI32"/>
      <c r="EBJ32"/>
      <c r="EBK32"/>
      <c r="EBL32"/>
      <c r="EBM32"/>
      <c r="EBN32"/>
      <c r="EBO32"/>
      <c r="EBP32"/>
      <c r="EBQ32"/>
      <c r="EBR32"/>
      <c r="EBS32"/>
      <c r="EBT32"/>
      <c r="EBU32"/>
      <c r="EBV32"/>
      <c r="EBW32"/>
      <c r="EBX32"/>
      <c r="EBY32"/>
      <c r="EBZ32"/>
      <c r="ECA32"/>
      <c r="ECB32"/>
      <c r="ECC32"/>
      <c r="ECD32"/>
      <c r="ECE32"/>
      <c r="ECF32"/>
      <c r="ECG32"/>
      <c r="ECH32"/>
      <c r="ECI32"/>
      <c r="ECJ32"/>
      <c r="ECK32"/>
      <c r="ECL32"/>
      <c r="ECM32"/>
      <c r="ECN32"/>
      <c r="ECO32"/>
      <c r="ECP32"/>
      <c r="ECQ32"/>
      <c r="ECR32"/>
      <c r="ECS32"/>
      <c r="ECT32"/>
      <c r="ECU32"/>
      <c r="ECV32"/>
      <c r="ECW32"/>
      <c r="ECX32"/>
      <c r="ECY32"/>
      <c r="ECZ32"/>
      <c r="EDA32"/>
      <c r="EDB32"/>
      <c r="EDC32"/>
      <c r="EDD32"/>
      <c r="EDE32"/>
      <c r="EDF32"/>
      <c r="EDG32"/>
      <c r="EDH32"/>
      <c r="EDI32"/>
      <c r="EDJ32"/>
      <c r="EDK32"/>
      <c r="EDL32"/>
      <c r="EDM32"/>
      <c r="EDN32"/>
      <c r="EDO32"/>
      <c r="EDP32"/>
      <c r="EDQ32"/>
      <c r="EDR32"/>
      <c r="EDS32"/>
      <c r="EDT32"/>
      <c r="EDU32"/>
      <c r="EDV32"/>
      <c r="EDW32"/>
      <c r="EDX32"/>
      <c r="EDY32"/>
      <c r="EDZ32"/>
      <c r="EEA32"/>
      <c r="EEB32"/>
      <c r="EEC32"/>
      <c r="EED32"/>
      <c r="EEE32"/>
      <c r="EEF32"/>
      <c r="EEG32"/>
      <c r="EEH32"/>
      <c r="EEI32"/>
      <c r="EEJ32"/>
      <c r="EEK32"/>
      <c r="EEL32"/>
      <c r="EEM32"/>
      <c r="EEN32"/>
      <c r="EEO32"/>
      <c r="EEP32"/>
      <c r="EEQ32"/>
      <c r="EER32"/>
      <c r="EES32"/>
      <c r="EET32"/>
      <c r="EEU32"/>
      <c r="EEV32"/>
      <c r="EEW32"/>
      <c r="EEX32"/>
      <c r="EEY32"/>
      <c r="EEZ32"/>
      <c r="EFA32"/>
      <c r="EFB32"/>
      <c r="EFC32"/>
      <c r="EFD32"/>
      <c r="EFE32"/>
      <c r="EFF32"/>
      <c r="EFG32"/>
      <c r="EFH32"/>
      <c r="EFI32"/>
      <c r="EFJ32"/>
      <c r="EFK32"/>
      <c r="EFL32"/>
      <c r="EFM32"/>
      <c r="EFN32"/>
      <c r="EFO32"/>
      <c r="EFP32"/>
      <c r="EFQ32"/>
      <c r="EFR32"/>
      <c r="EFS32"/>
      <c r="EFT32"/>
      <c r="EFU32"/>
      <c r="EFV32"/>
      <c r="EFW32"/>
      <c r="EFX32"/>
      <c r="EFY32"/>
      <c r="EFZ32"/>
      <c r="EGA32"/>
      <c r="EGB32"/>
      <c r="EGC32"/>
      <c r="EGD32"/>
      <c r="EGE32"/>
      <c r="EGF32"/>
      <c r="EGG32"/>
      <c r="EGH32"/>
      <c r="EGI32"/>
      <c r="EGJ32"/>
      <c r="EGK32"/>
      <c r="EGL32"/>
      <c r="EGM32"/>
      <c r="EGN32"/>
      <c r="EGO32"/>
      <c r="EGP32"/>
      <c r="EGQ32"/>
      <c r="EGR32"/>
      <c r="EGS32"/>
      <c r="EGT32"/>
      <c r="EGU32"/>
      <c r="EGV32"/>
      <c r="EGW32"/>
      <c r="EGX32"/>
      <c r="EGY32"/>
      <c r="EGZ32"/>
      <c r="EHA32"/>
      <c r="EHB32"/>
      <c r="EHC32"/>
      <c r="EHD32"/>
      <c r="EHE32"/>
      <c r="EHF32"/>
      <c r="EHG32"/>
      <c r="EHH32"/>
      <c r="EHI32"/>
      <c r="EHJ32"/>
      <c r="EHK32"/>
      <c r="EHL32"/>
      <c r="EHM32"/>
      <c r="EHN32"/>
      <c r="EHO32"/>
      <c r="EHP32"/>
      <c r="EHQ32"/>
      <c r="EHR32"/>
      <c r="EHS32"/>
      <c r="EHT32"/>
      <c r="EHU32"/>
      <c r="EHV32"/>
      <c r="EHW32"/>
      <c r="EHX32"/>
      <c r="EHY32"/>
      <c r="EHZ32"/>
      <c r="EIA32"/>
      <c r="EIB32"/>
      <c r="EIC32"/>
      <c r="EID32"/>
      <c r="EIE32"/>
      <c r="EIF32"/>
      <c r="EIG32"/>
      <c r="EIH32"/>
      <c r="EII32"/>
      <c r="EIJ32"/>
      <c r="EIK32"/>
      <c r="EIL32"/>
      <c r="EIM32"/>
      <c r="EIN32"/>
      <c r="EIO32"/>
      <c r="EIP32"/>
      <c r="EIQ32"/>
      <c r="EIR32"/>
      <c r="EIS32"/>
      <c r="EIT32"/>
      <c r="EIU32"/>
      <c r="EIV32"/>
      <c r="EIW32"/>
      <c r="EIX32"/>
      <c r="EIY32"/>
      <c r="EIZ32"/>
      <c r="EJA32"/>
      <c r="EJB32"/>
      <c r="EJC32"/>
      <c r="EJD32"/>
      <c r="EJE32"/>
      <c r="EJF32"/>
      <c r="EJG32"/>
      <c r="EJH32"/>
      <c r="EJI32"/>
      <c r="EJJ32"/>
      <c r="EJK32"/>
      <c r="EJL32"/>
      <c r="EJM32"/>
      <c r="EJN32"/>
      <c r="EJO32"/>
      <c r="EJP32"/>
      <c r="EJQ32"/>
      <c r="EJR32"/>
      <c r="EJS32"/>
      <c r="EJT32"/>
      <c r="EJU32"/>
      <c r="EJV32"/>
      <c r="EJW32"/>
      <c r="EJX32"/>
      <c r="EJY32"/>
      <c r="EJZ32"/>
      <c r="EKA32"/>
      <c r="EKB32"/>
      <c r="EKC32"/>
      <c r="EKD32"/>
      <c r="EKE32"/>
      <c r="EKF32"/>
      <c r="EKG32"/>
      <c r="EKH32"/>
      <c r="EKI32"/>
      <c r="EKJ32"/>
      <c r="EKK32"/>
      <c r="EKL32"/>
      <c r="EKM32"/>
      <c r="EKN32"/>
      <c r="EKO32"/>
      <c r="EKP32"/>
      <c r="EKQ32"/>
      <c r="EKR32"/>
      <c r="EKS32"/>
      <c r="EKT32"/>
      <c r="EKU32"/>
      <c r="EKV32"/>
      <c r="EKW32"/>
      <c r="EKX32"/>
      <c r="EKY32"/>
      <c r="EKZ32"/>
      <c r="ELA32"/>
      <c r="ELB32"/>
      <c r="ELC32"/>
      <c r="ELD32"/>
      <c r="ELE32"/>
      <c r="ELF32"/>
      <c r="ELG32"/>
      <c r="ELH32"/>
      <c r="ELI32"/>
      <c r="ELJ32"/>
      <c r="ELK32"/>
      <c r="ELL32"/>
      <c r="ELM32"/>
      <c r="ELN32"/>
      <c r="ELO32"/>
      <c r="ELP32"/>
      <c r="ELQ32"/>
      <c r="ELR32"/>
      <c r="ELS32"/>
      <c r="ELT32"/>
      <c r="ELU32"/>
      <c r="ELV32"/>
      <c r="ELW32"/>
      <c r="ELX32"/>
      <c r="ELY32"/>
      <c r="ELZ32"/>
      <c r="EMA32"/>
      <c r="EMB32"/>
      <c r="EMC32"/>
      <c r="EMD32"/>
      <c r="EME32"/>
      <c r="EMF32"/>
      <c r="EMG32"/>
      <c r="EMH32"/>
      <c r="EMI32"/>
      <c r="EMJ32"/>
      <c r="EMK32"/>
      <c r="EML32"/>
      <c r="EMM32"/>
      <c r="EMN32"/>
      <c r="EMO32"/>
      <c r="EMP32"/>
      <c r="EMQ32"/>
      <c r="EMR32"/>
      <c r="EMS32"/>
      <c r="EMT32"/>
      <c r="EMU32"/>
      <c r="EMV32"/>
      <c r="EMW32"/>
      <c r="EMX32"/>
      <c r="EMY32"/>
      <c r="EMZ32"/>
      <c r="ENA32"/>
      <c r="ENB32"/>
      <c r="ENC32"/>
      <c r="END32"/>
      <c r="ENE32"/>
      <c r="ENF32"/>
      <c r="ENG32"/>
      <c r="ENH32"/>
      <c r="ENI32"/>
      <c r="ENJ32"/>
      <c r="ENK32"/>
      <c r="ENL32"/>
      <c r="ENM32"/>
      <c r="ENN32"/>
      <c r="ENO32"/>
      <c r="ENP32"/>
      <c r="ENQ32"/>
      <c r="ENR32"/>
      <c r="ENS32"/>
      <c r="ENT32"/>
      <c r="ENU32"/>
      <c r="ENV32"/>
      <c r="ENW32"/>
      <c r="ENX32"/>
      <c r="ENY32"/>
      <c r="ENZ32"/>
      <c r="EOA32"/>
      <c r="EOB32"/>
      <c r="EOC32"/>
      <c r="EOD32"/>
      <c r="EOE32"/>
      <c r="EOF32"/>
      <c r="EOG32"/>
      <c r="EOH32"/>
      <c r="EOI32"/>
      <c r="EOJ32"/>
      <c r="EOK32"/>
      <c r="EOL32"/>
      <c r="EOM32"/>
      <c r="EON32"/>
      <c r="EOO32"/>
      <c r="EOP32"/>
      <c r="EOQ32"/>
      <c r="EOR32"/>
      <c r="EOS32"/>
      <c r="EOT32"/>
      <c r="EOU32"/>
      <c r="EOV32"/>
      <c r="EOW32"/>
      <c r="EOX32"/>
      <c r="EOY32"/>
      <c r="EOZ32"/>
      <c r="EPA32"/>
      <c r="EPB32"/>
      <c r="EPC32"/>
      <c r="EPD32"/>
      <c r="EPE32"/>
      <c r="EPF32"/>
      <c r="EPG32"/>
      <c r="EPH32"/>
      <c r="EPI32"/>
      <c r="EPJ32"/>
      <c r="EPK32"/>
      <c r="EPL32"/>
      <c r="EPM32"/>
      <c r="EPN32"/>
      <c r="EPO32"/>
      <c r="EPP32"/>
      <c r="EPQ32"/>
      <c r="EPR32"/>
      <c r="EPS32"/>
      <c r="EPT32"/>
      <c r="EPU32"/>
      <c r="EPV32"/>
      <c r="EPW32"/>
      <c r="EPX32"/>
      <c r="EPY32"/>
      <c r="EPZ32"/>
      <c r="EQA32"/>
      <c r="EQB32"/>
      <c r="EQC32"/>
      <c r="EQD32"/>
      <c r="EQE32"/>
      <c r="EQF32"/>
      <c r="EQG32"/>
      <c r="EQH32"/>
      <c r="EQI32"/>
      <c r="EQJ32"/>
      <c r="EQK32"/>
      <c r="EQL32"/>
      <c r="EQM32"/>
      <c r="EQN32"/>
      <c r="EQO32"/>
      <c r="EQP32"/>
      <c r="EQQ32"/>
      <c r="EQR32"/>
      <c r="EQS32"/>
      <c r="EQT32"/>
      <c r="EQU32"/>
      <c r="EQV32"/>
      <c r="EQW32"/>
      <c r="EQX32"/>
      <c r="EQY32"/>
      <c r="EQZ32"/>
      <c r="ERA32"/>
      <c r="ERB32"/>
      <c r="ERC32"/>
      <c r="ERD32"/>
      <c r="ERE32"/>
      <c r="ERF32"/>
      <c r="ERG32"/>
      <c r="ERH32"/>
      <c r="ERI32"/>
      <c r="ERJ32"/>
      <c r="ERK32"/>
      <c r="ERL32"/>
      <c r="ERM32"/>
      <c r="ERN32"/>
      <c r="ERO32"/>
      <c r="ERP32"/>
      <c r="ERQ32"/>
      <c r="ERR32"/>
      <c r="ERS32"/>
      <c r="ERT32"/>
      <c r="ERU32"/>
      <c r="ERV32"/>
      <c r="ERW32"/>
      <c r="ERX32"/>
      <c r="ERY32"/>
      <c r="ERZ32"/>
      <c r="ESA32"/>
      <c r="ESB32"/>
      <c r="ESC32"/>
      <c r="ESD32"/>
      <c r="ESE32"/>
      <c r="ESF32"/>
      <c r="ESG32"/>
      <c r="ESH32"/>
      <c r="ESI32"/>
      <c r="ESJ32"/>
      <c r="ESK32"/>
      <c r="ESL32"/>
      <c r="ESM32"/>
      <c r="ESN32"/>
      <c r="ESO32"/>
      <c r="ESP32"/>
      <c r="ESQ32"/>
      <c r="ESR32"/>
      <c r="ESS32"/>
      <c r="EST32"/>
      <c r="ESU32"/>
      <c r="ESV32"/>
      <c r="ESW32"/>
      <c r="ESX32"/>
      <c r="ESY32"/>
      <c r="ESZ32"/>
      <c r="ETA32"/>
      <c r="ETB32"/>
      <c r="ETC32"/>
      <c r="ETD32"/>
      <c r="ETE32"/>
      <c r="ETF32"/>
      <c r="ETG32"/>
      <c r="ETH32"/>
      <c r="ETI32"/>
      <c r="ETJ32"/>
      <c r="ETK32"/>
      <c r="ETL32"/>
      <c r="ETM32"/>
      <c r="ETN32"/>
      <c r="ETO32"/>
      <c r="ETP32"/>
      <c r="ETQ32"/>
      <c r="ETR32"/>
      <c r="ETS32"/>
      <c r="ETT32"/>
      <c r="ETU32"/>
      <c r="ETV32"/>
      <c r="ETW32"/>
      <c r="ETX32"/>
      <c r="ETY32"/>
      <c r="ETZ32"/>
      <c r="EUA32"/>
      <c r="EUB32"/>
      <c r="EUC32"/>
      <c r="EUD32"/>
      <c r="EUE32"/>
      <c r="EUF32"/>
      <c r="EUG32"/>
      <c r="EUH32"/>
      <c r="EUI32"/>
      <c r="EUJ32"/>
      <c r="EUK32"/>
      <c r="EUL32"/>
      <c r="EUM32"/>
      <c r="EUN32"/>
      <c r="EUO32"/>
      <c r="EUP32"/>
      <c r="EUQ32"/>
      <c r="EUR32"/>
      <c r="EUS32"/>
      <c r="EUT32"/>
      <c r="EUU32"/>
      <c r="EUV32"/>
      <c r="EUW32"/>
      <c r="EUX32"/>
      <c r="EUY32"/>
      <c r="EUZ32"/>
      <c r="EVA32"/>
      <c r="EVB32"/>
      <c r="EVC32"/>
      <c r="EVD32"/>
      <c r="EVE32"/>
      <c r="EVF32"/>
      <c r="EVG32"/>
      <c r="EVH32"/>
      <c r="EVI32"/>
      <c r="EVJ32"/>
      <c r="EVK32"/>
      <c r="EVL32"/>
      <c r="EVM32"/>
      <c r="EVN32"/>
      <c r="EVO32"/>
      <c r="EVP32"/>
      <c r="EVQ32"/>
      <c r="EVR32"/>
      <c r="EVS32"/>
      <c r="EVT32"/>
      <c r="EVU32"/>
      <c r="EVV32"/>
      <c r="EVW32"/>
      <c r="EVX32"/>
      <c r="EVY32"/>
      <c r="EVZ32"/>
      <c r="EWA32"/>
      <c r="EWB32"/>
      <c r="EWC32"/>
      <c r="EWD32"/>
      <c r="EWE32"/>
      <c r="EWF32"/>
      <c r="EWG32"/>
      <c r="EWH32"/>
      <c r="EWI32"/>
      <c r="EWJ32"/>
      <c r="EWK32"/>
      <c r="EWL32"/>
      <c r="EWM32"/>
      <c r="EWN32"/>
      <c r="EWO32"/>
      <c r="EWP32"/>
      <c r="EWQ32"/>
      <c r="EWR32"/>
      <c r="EWS32"/>
      <c r="EWT32"/>
      <c r="EWU32"/>
      <c r="EWV32"/>
      <c r="EWW32"/>
      <c r="EWX32"/>
      <c r="EWY32"/>
      <c r="EWZ32"/>
      <c r="EXA32"/>
      <c r="EXB32"/>
      <c r="EXC32"/>
      <c r="EXD32"/>
      <c r="EXE32"/>
      <c r="EXF32"/>
      <c r="EXG32"/>
      <c r="EXH32"/>
      <c r="EXI32"/>
      <c r="EXJ32"/>
      <c r="EXK32"/>
      <c r="EXL32"/>
      <c r="EXM32"/>
      <c r="EXN32"/>
      <c r="EXO32"/>
      <c r="EXP32"/>
      <c r="EXQ32"/>
      <c r="EXR32"/>
      <c r="EXS32"/>
      <c r="EXT32"/>
      <c r="EXU32"/>
      <c r="EXV32"/>
      <c r="EXW32"/>
      <c r="EXX32"/>
      <c r="EXY32"/>
      <c r="EXZ32"/>
      <c r="EYA32"/>
      <c r="EYB32"/>
      <c r="EYC32"/>
      <c r="EYD32"/>
      <c r="EYE32"/>
      <c r="EYF32"/>
      <c r="EYG32"/>
      <c r="EYH32"/>
      <c r="EYI32"/>
      <c r="EYJ32"/>
      <c r="EYK32"/>
      <c r="EYL32"/>
      <c r="EYM32"/>
      <c r="EYN32"/>
      <c r="EYO32"/>
      <c r="EYP32"/>
      <c r="EYQ32"/>
      <c r="EYR32"/>
      <c r="EYS32"/>
      <c r="EYT32"/>
      <c r="EYU32"/>
      <c r="EYV32"/>
      <c r="EYW32"/>
      <c r="EYX32"/>
      <c r="EYY32"/>
      <c r="EYZ32"/>
      <c r="EZA32"/>
      <c r="EZB32"/>
      <c r="EZC32"/>
      <c r="EZD32"/>
      <c r="EZE32"/>
      <c r="EZF32"/>
      <c r="EZG32"/>
      <c r="EZH32"/>
      <c r="EZI32"/>
      <c r="EZJ32"/>
      <c r="EZK32"/>
      <c r="EZL32"/>
      <c r="EZM32"/>
      <c r="EZN32"/>
      <c r="EZO32"/>
      <c r="EZP32"/>
      <c r="EZQ32"/>
      <c r="EZR32"/>
      <c r="EZS32"/>
      <c r="EZT32"/>
      <c r="EZU32"/>
      <c r="EZV32"/>
      <c r="EZW32"/>
      <c r="EZX32"/>
      <c r="EZY32"/>
      <c r="EZZ32"/>
      <c r="FAA32"/>
      <c r="FAB32"/>
      <c r="FAC32"/>
      <c r="FAD32"/>
      <c r="FAE32"/>
      <c r="FAF32"/>
      <c r="FAG32"/>
      <c r="FAH32"/>
      <c r="FAI32"/>
      <c r="FAJ32"/>
      <c r="FAK32"/>
      <c r="FAL32"/>
      <c r="FAM32"/>
      <c r="FAN32"/>
      <c r="FAO32"/>
      <c r="FAP32"/>
      <c r="FAQ32"/>
      <c r="FAR32"/>
      <c r="FAS32"/>
      <c r="FAT32"/>
      <c r="FAU32"/>
      <c r="FAV32"/>
      <c r="FAW32"/>
      <c r="FAX32"/>
      <c r="FAY32"/>
      <c r="FAZ32"/>
      <c r="FBA32"/>
      <c r="FBB32"/>
      <c r="FBC32"/>
      <c r="FBD32"/>
      <c r="FBE32"/>
      <c r="FBF32"/>
      <c r="FBG32"/>
      <c r="FBH32"/>
      <c r="FBI32"/>
      <c r="FBJ32"/>
      <c r="FBK32"/>
      <c r="FBL32"/>
      <c r="FBM32"/>
      <c r="FBN32"/>
      <c r="FBO32"/>
      <c r="FBP32"/>
      <c r="FBQ32"/>
      <c r="FBR32"/>
      <c r="FBS32"/>
      <c r="FBT32"/>
      <c r="FBU32"/>
      <c r="FBV32"/>
      <c r="FBW32"/>
      <c r="FBX32"/>
      <c r="FBY32"/>
      <c r="FBZ32"/>
      <c r="FCA32"/>
      <c r="FCB32"/>
      <c r="FCC32"/>
      <c r="FCD32"/>
      <c r="FCE32"/>
      <c r="FCF32"/>
      <c r="FCG32"/>
      <c r="FCH32"/>
      <c r="FCI32"/>
      <c r="FCJ32"/>
      <c r="FCK32"/>
      <c r="FCL32"/>
      <c r="FCM32"/>
      <c r="FCN32"/>
      <c r="FCO32"/>
      <c r="FCP32"/>
      <c r="FCQ32"/>
      <c r="FCR32"/>
      <c r="FCS32"/>
      <c r="FCT32"/>
      <c r="FCU32"/>
      <c r="FCV32"/>
      <c r="FCW32"/>
      <c r="FCX32"/>
      <c r="FCY32"/>
      <c r="FCZ32"/>
      <c r="FDA32"/>
      <c r="FDB32"/>
      <c r="FDC32"/>
      <c r="FDD32"/>
      <c r="FDE32"/>
      <c r="FDF32"/>
      <c r="FDG32"/>
      <c r="FDH32"/>
      <c r="FDI32"/>
      <c r="FDJ32"/>
      <c r="FDK32"/>
      <c r="FDL32"/>
      <c r="FDM32"/>
      <c r="FDN32"/>
      <c r="FDO32"/>
      <c r="FDP32"/>
      <c r="FDQ32"/>
      <c r="FDR32"/>
      <c r="FDS32"/>
      <c r="FDT32"/>
      <c r="FDU32"/>
      <c r="FDV32"/>
      <c r="FDW32"/>
      <c r="FDX32"/>
      <c r="FDY32"/>
      <c r="FDZ32"/>
      <c r="FEA32"/>
      <c r="FEB32"/>
      <c r="FEC32"/>
      <c r="FED32"/>
      <c r="FEE32"/>
      <c r="FEF32"/>
      <c r="FEG32"/>
      <c r="FEH32"/>
      <c r="FEI32"/>
      <c r="FEJ32"/>
      <c r="FEK32"/>
      <c r="FEL32"/>
      <c r="FEM32"/>
      <c r="FEN32"/>
      <c r="FEO32"/>
      <c r="FEP32"/>
      <c r="FEQ32"/>
      <c r="FER32"/>
      <c r="FES32"/>
      <c r="FET32"/>
      <c r="FEU32"/>
      <c r="FEV32"/>
      <c r="FEW32"/>
      <c r="FEX32"/>
      <c r="FEY32"/>
      <c r="FEZ32"/>
      <c r="FFA32"/>
      <c r="FFB32"/>
      <c r="FFC32"/>
      <c r="FFD32"/>
      <c r="FFE32"/>
      <c r="FFF32"/>
      <c r="FFG32"/>
      <c r="FFH32"/>
      <c r="FFI32"/>
      <c r="FFJ32"/>
      <c r="FFK32"/>
      <c r="FFL32"/>
      <c r="FFM32"/>
      <c r="FFN32"/>
      <c r="FFO32"/>
      <c r="FFP32"/>
      <c r="FFQ32"/>
      <c r="FFR32"/>
      <c r="FFS32"/>
      <c r="FFT32"/>
      <c r="FFU32"/>
      <c r="FFV32"/>
      <c r="FFW32"/>
      <c r="FFX32"/>
      <c r="FFY32"/>
      <c r="FFZ32"/>
      <c r="FGA32"/>
      <c r="FGB32"/>
      <c r="FGC32"/>
      <c r="FGD32"/>
      <c r="FGE32"/>
      <c r="FGF32"/>
      <c r="FGG32"/>
      <c r="FGH32"/>
      <c r="FGI32"/>
      <c r="FGJ32"/>
      <c r="FGK32"/>
      <c r="FGL32"/>
      <c r="FGM32"/>
      <c r="FGN32"/>
      <c r="FGO32"/>
      <c r="FGP32"/>
      <c r="FGQ32"/>
      <c r="FGR32"/>
      <c r="FGS32"/>
      <c r="FGT32"/>
      <c r="FGU32"/>
      <c r="FGV32"/>
      <c r="FGW32"/>
      <c r="FGX32"/>
      <c r="FGY32"/>
      <c r="FGZ32"/>
      <c r="FHA32"/>
      <c r="FHB32"/>
      <c r="FHC32"/>
      <c r="FHD32"/>
      <c r="FHE32"/>
      <c r="FHF32"/>
      <c r="FHG32"/>
      <c r="FHH32"/>
      <c r="FHI32"/>
      <c r="FHJ32"/>
      <c r="FHK32"/>
      <c r="FHL32"/>
      <c r="FHM32"/>
      <c r="FHN32"/>
      <c r="FHO32"/>
      <c r="FHP32"/>
      <c r="FHQ32"/>
      <c r="FHR32"/>
      <c r="FHS32"/>
      <c r="FHT32"/>
      <c r="FHU32"/>
      <c r="FHV32"/>
      <c r="FHW32"/>
      <c r="FHX32"/>
      <c r="FHY32"/>
      <c r="FHZ32"/>
      <c r="FIA32"/>
      <c r="FIB32"/>
      <c r="FIC32"/>
      <c r="FID32"/>
      <c r="FIE32"/>
      <c r="FIF32"/>
      <c r="FIG32"/>
      <c r="FIH32"/>
      <c r="FII32"/>
      <c r="FIJ32"/>
      <c r="FIK32"/>
      <c r="FIL32"/>
      <c r="FIM32"/>
      <c r="FIN32"/>
      <c r="FIO32"/>
      <c r="FIP32"/>
      <c r="FIQ32"/>
      <c r="FIR32"/>
      <c r="FIS32"/>
      <c r="FIT32"/>
      <c r="FIU32"/>
      <c r="FIV32"/>
      <c r="FIW32"/>
      <c r="FIX32"/>
      <c r="FIY32"/>
      <c r="FIZ32"/>
      <c r="FJA32"/>
      <c r="FJB32"/>
      <c r="FJC32"/>
      <c r="FJD32"/>
      <c r="FJE32"/>
      <c r="FJF32"/>
      <c r="FJG32"/>
      <c r="FJH32"/>
      <c r="FJI32"/>
      <c r="FJJ32"/>
      <c r="FJK32"/>
      <c r="FJL32"/>
      <c r="FJM32"/>
      <c r="FJN32"/>
      <c r="FJO32"/>
      <c r="FJP32"/>
      <c r="FJQ32"/>
      <c r="FJR32"/>
      <c r="FJS32"/>
      <c r="FJT32"/>
      <c r="FJU32"/>
      <c r="FJV32"/>
      <c r="FJW32"/>
      <c r="FJX32"/>
      <c r="FJY32"/>
      <c r="FJZ32"/>
      <c r="FKA32"/>
      <c r="FKB32"/>
      <c r="FKC32"/>
      <c r="FKD32"/>
      <c r="FKE32"/>
      <c r="FKF32"/>
      <c r="FKG32"/>
      <c r="FKH32"/>
      <c r="FKI32"/>
      <c r="FKJ32"/>
      <c r="FKK32"/>
      <c r="FKL32"/>
      <c r="FKM32"/>
      <c r="FKN32"/>
      <c r="FKO32"/>
      <c r="FKP32"/>
      <c r="FKQ32"/>
      <c r="FKR32"/>
      <c r="FKS32"/>
      <c r="FKT32"/>
      <c r="FKU32"/>
      <c r="FKV32"/>
      <c r="FKW32"/>
      <c r="FKX32"/>
      <c r="FKY32"/>
      <c r="FKZ32"/>
      <c r="FLA32"/>
      <c r="FLB32"/>
      <c r="FLC32"/>
      <c r="FLD32"/>
      <c r="FLE32"/>
      <c r="FLF32"/>
      <c r="FLG32"/>
      <c r="FLH32"/>
      <c r="FLI32"/>
      <c r="FLJ32"/>
      <c r="FLK32"/>
      <c r="FLL32"/>
      <c r="FLM32"/>
      <c r="FLN32"/>
      <c r="FLO32"/>
      <c r="FLP32"/>
      <c r="FLQ32"/>
      <c r="FLR32"/>
      <c r="FLS32"/>
      <c r="FLT32"/>
      <c r="FLU32"/>
      <c r="FLV32"/>
      <c r="FLW32"/>
      <c r="FLX32"/>
      <c r="FLY32"/>
      <c r="FLZ32"/>
      <c r="FMA32"/>
      <c r="FMB32"/>
      <c r="FMC32"/>
      <c r="FMD32"/>
      <c r="FME32"/>
      <c r="FMF32"/>
      <c r="FMG32"/>
      <c r="FMH32"/>
      <c r="FMI32"/>
      <c r="FMJ32"/>
      <c r="FMK32"/>
      <c r="FML32"/>
      <c r="FMM32"/>
      <c r="FMN32"/>
      <c r="FMO32"/>
      <c r="FMP32"/>
      <c r="FMQ32"/>
      <c r="FMR32"/>
      <c r="FMS32"/>
      <c r="FMT32"/>
      <c r="FMU32"/>
      <c r="FMV32"/>
      <c r="FMW32"/>
      <c r="FMX32"/>
      <c r="FMY32"/>
      <c r="FMZ32"/>
      <c r="FNA32"/>
      <c r="FNB32"/>
      <c r="FNC32"/>
      <c r="FND32"/>
      <c r="FNE32"/>
      <c r="FNF32"/>
      <c r="FNG32"/>
      <c r="FNH32"/>
      <c r="FNI32"/>
      <c r="FNJ32"/>
      <c r="FNK32"/>
      <c r="FNL32"/>
      <c r="FNM32"/>
      <c r="FNN32"/>
      <c r="FNO32"/>
      <c r="FNP32"/>
      <c r="FNQ32"/>
      <c r="FNR32"/>
      <c r="FNS32"/>
      <c r="FNT32"/>
      <c r="FNU32"/>
      <c r="FNV32"/>
      <c r="FNW32"/>
      <c r="FNX32"/>
      <c r="FNY32"/>
      <c r="FNZ32"/>
      <c r="FOA32"/>
      <c r="FOB32"/>
      <c r="FOC32"/>
      <c r="FOD32"/>
      <c r="FOE32"/>
      <c r="FOF32"/>
      <c r="FOG32"/>
      <c r="FOH32"/>
      <c r="FOI32"/>
      <c r="FOJ32"/>
      <c r="FOK32"/>
      <c r="FOL32"/>
      <c r="FOM32"/>
      <c r="FON32"/>
      <c r="FOO32"/>
      <c r="FOP32"/>
      <c r="FOQ32"/>
      <c r="FOR32"/>
      <c r="FOS32"/>
      <c r="FOT32"/>
      <c r="FOU32"/>
      <c r="FOV32"/>
      <c r="FOW32"/>
      <c r="FOX32"/>
      <c r="FOY32"/>
      <c r="FOZ32"/>
      <c r="FPA32"/>
      <c r="FPB32"/>
      <c r="FPC32"/>
      <c r="FPD32"/>
      <c r="FPE32"/>
      <c r="FPF32"/>
      <c r="FPG32"/>
      <c r="FPH32"/>
      <c r="FPI32"/>
      <c r="FPJ32"/>
      <c r="FPK32"/>
      <c r="FPL32"/>
      <c r="FPM32"/>
      <c r="FPN32"/>
      <c r="FPO32"/>
      <c r="FPP32"/>
      <c r="FPQ32"/>
      <c r="FPR32"/>
      <c r="FPS32"/>
      <c r="FPT32"/>
      <c r="FPU32"/>
      <c r="FPV32"/>
      <c r="FPW32"/>
      <c r="FPX32"/>
      <c r="FPY32"/>
      <c r="FPZ32"/>
      <c r="FQA32"/>
      <c r="FQB32"/>
      <c r="FQC32"/>
      <c r="FQD32"/>
      <c r="FQE32"/>
      <c r="FQF32"/>
      <c r="FQG32"/>
      <c r="FQH32"/>
      <c r="FQI32"/>
      <c r="FQJ32"/>
      <c r="FQK32"/>
      <c r="FQL32"/>
      <c r="FQM32"/>
      <c r="FQN32"/>
      <c r="FQO32"/>
      <c r="FQP32"/>
      <c r="FQQ32"/>
      <c r="FQR32"/>
      <c r="FQS32"/>
      <c r="FQT32"/>
      <c r="FQU32"/>
      <c r="FQV32"/>
      <c r="FQW32"/>
      <c r="FQX32"/>
      <c r="FQY32"/>
      <c r="FQZ32"/>
      <c r="FRA32"/>
      <c r="FRB32"/>
      <c r="FRC32"/>
      <c r="FRD32"/>
      <c r="FRE32"/>
      <c r="FRF32"/>
      <c r="FRG32"/>
      <c r="FRH32"/>
      <c r="FRI32"/>
      <c r="FRJ32"/>
      <c r="FRK32"/>
      <c r="FRL32"/>
      <c r="FRM32"/>
      <c r="FRN32"/>
      <c r="FRO32"/>
      <c r="FRP32"/>
      <c r="FRQ32"/>
      <c r="FRR32"/>
      <c r="FRS32"/>
      <c r="FRT32"/>
      <c r="FRU32"/>
      <c r="FRV32"/>
      <c r="FRW32"/>
      <c r="FRX32"/>
      <c r="FRY32"/>
      <c r="FRZ32"/>
      <c r="FSA32"/>
      <c r="FSB32"/>
      <c r="FSC32"/>
      <c r="FSD32"/>
      <c r="FSE32"/>
      <c r="FSF32"/>
      <c r="FSG32"/>
      <c r="FSH32"/>
      <c r="FSI32"/>
      <c r="FSJ32"/>
      <c r="FSK32"/>
      <c r="FSL32"/>
      <c r="FSM32"/>
      <c r="FSN32"/>
      <c r="FSO32"/>
      <c r="FSP32"/>
      <c r="FSQ32"/>
      <c r="FSR32"/>
      <c r="FSS32"/>
      <c r="FST32"/>
      <c r="FSU32"/>
      <c r="FSV32"/>
      <c r="FSW32"/>
      <c r="FSX32"/>
      <c r="FSY32"/>
      <c r="FSZ32"/>
      <c r="FTA32"/>
      <c r="FTB32"/>
      <c r="FTC32"/>
      <c r="FTD32"/>
      <c r="FTE32"/>
      <c r="FTF32"/>
      <c r="FTG32"/>
      <c r="FTH32"/>
      <c r="FTI32"/>
      <c r="FTJ32"/>
      <c r="FTK32"/>
      <c r="FTL32"/>
      <c r="FTM32"/>
      <c r="FTN32"/>
      <c r="FTO32"/>
      <c r="FTP32"/>
      <c r="FTQ32"/>
      <c r="FTR32"/>
      <c r="FTS32"/>
      <c r="FTT32"/>
      <c r="FTU32"/>
      <c r="FTV32"/>
      <c r="FTW32"/>
      <c r="FTX32"/>
      <c r="FTY32"/>
      <c r="FTZ32"/>
      <c r="FUA32"/>
      <c r="FUB32"/>
      <c r="FUC32"/>
      <c r="FUD32"/>
      <c r="FUE32"/>
      <c r="FUF32"/>
      <c r="FUG32"/>
      <c r="FUH32"/>
      <c r="FUI32"/>
      <c r="FUJ32"/>
      <c r="FUK32"/>
      <c r="FUL32"/>
      <c r="FUM32"/>
      <c r="FUN32"/>
      <c r="FUO32"/>
      <c r="FUP32"/>
      <c r="FUQ32"/>
      <c r="FUR32"/>
      <c r="FUS32"/>
      <c r="FUT32"/>
      <c r="FUU32"/>
      <c r="FUV32"/>
      <c r="FUW32"/>
      <c r="FUX32"/>
      <c r="FUY32"/>
      <c r="FUZ32"/>
      <c r="FVA32"/>
      <c r="FVB32"/>
      <c r="FVC32"/>
      <c r="FVD32"/>
      <c r="FVE32"/>
      <c r="FVF32"/>
      <c r="FVG32"/>
      <c r="FVH32"/>
      <c r="FVI32"/>
      <c r="FVJ32"/>
      <c r="FVK32"/>
      <c r="FVL32"/>
      <c r="FVM32"/>
      <c r="FVN32"/>
      <c r="FVO32"/>
      <c r="FVP32"/>
      <c r="FVQ32"/>
      <c r="FVR32"/>
      <c r="FVS32"/>
      <c r="FVT32"/>
      <c r="FVU32"/>
      <c r="FVV32"/>
      <c r="FVW32"/>
      <c r="FVX32"/>
      <c r="FVY32"/>
      <c r="FVZ32"/>
      <c r="FWA32"/>
      <c r="FWB32"/>
      <c r="FWC32"/>
      <c r="FWD32"/>
      <c r="FWE32"/>
      <c r="FWF32"/>
      <c r="FWG32"/>
      <c r="FWH32"/>
      <c r="FWI32"/>
      <c r="FWJ32"/>
      <c r="FWK32"/>
      <c r="FWL32"/>
      <c r="FWM32"/>
      <c r="FWN32"/>
      <c r="FWO32"/>
      <c r="FWP32"/>
      <c r="FWQ32"/>
      <c r="FWR32"/>
      <c r="FWS32"/>
      <c r="FWT32"/>
      <c r="FWU32"/>
      <c r="FWV32"/>
      <c r="FWW32"/>
      <c r="FWX32"/>
      <c r="FWY32"/>
      <c r="FWZ32"/>
      <c r="FXA32"/>
      <c r="FXB32"/>
      <c r="FXC32"/>
      <c r="FXD32"/>
      <c r="FXE32"/>
      <c r="FXF32"/>
      <c r="FXG32"/>
      <c r="FXH32"/>
      <c r="FXI32"/>
      <c r="FXJ32"/>
      <c r="FXK32"/>
      <c r="FXL32"/>
      <c r="FXM32"/>
      <c r="FXN32"/>
      <c r="FXO32"/>
      <c r="FXP32"/>
      <c r="FXQ32"/>
      <c r="FXR32"/>
      <c r="FXS32"/>
      <c r="FXT32"/>
      <c r="FXU32"/>
      <c r="FXV32"/>
      <c r="FXW32"/>
      <c r="FXX32"/>
      <c r="FXY32"/>
      <c r="FXZ32"/>
      <c r="FYA32"/>
      <c r="FYB32"/>
      <c r="FYC32"/>
      <c r="FYD32"/>
      <c r="FYE32"/>
      <c r="FYF32"/>
      <c r="FYG32"/>
      <c r="FYH32"/>
      <c r="FYI32"/>
      <c r="FYJ32"/>
      <c r="FYK32"/>
      <c r="FYL32"/>
      <c r="FYM32"/>
      <c r="FYN32"/>
      <c r="FYO32"/>
      <c r="FYP32"/>
      <c r="FYQ32"/>
      <c r="FYR32"/>
      <c r="FYS32"/>
      <c r="FYT32"/>
      <c r="FYU32"/>
      <c r="FYV32"/>
      <c r="FYW32"/>
      <c r="FYX32"/>
      <c r="FYY32"/>
      <c r="FYZ32"/>
      <c r="FZA32"/>
      <c r="FZB32"/>
      <c r="FZC32"/>
      <c r="FZD32"/>
      <c r="FZE32"/>
      <c r="FZF32"/>
      <c r="FZG32"/>
      <c r="FZH32"/>
      <c r="FZI32"/>
      <c r="FZJ32"/>
      <c r="FZK32"/>
      <c r="FZL32"/>
      <c r="FZM32"/>
      <c r="FZN32"/>
      <c r="FZO32"/>
      <c r="FZP32"/>
      <c r="FZQ32"/>
      <c r="FZR32"/>
      <c r="FZS32"/>
      <c r="FZT32"/>
      <c r="FZU32"/>
      <c r="FZV32"/>
      <c r="FZW32"/>
      <c r="FZX32"/>
      <c r="FZY32"/>
      <c r="FZZ32"/>
      <c r="GAA32"/>
      <c r="GAB32"/>
      <c r="GAC32"/>
      <c r="GAD32"/>
      <c r="GAE32"/>
      <c r="GAF32"/>
      <c r="GAG32"/>
      <c r="GAH32"/>
      <c r="GAI32"/>
      <c r="GAJ32"/>
      <c r="GAK32"/>
      <c r="GAL32"/>
      <c r="GAM32"/>
      <c r="GAN32"/>
      <c r="GAO32"/>
      <c r="GAP32"/>
      <c r="GAQ32"/>
      <c r="GAR32"/>
      <c r="GAS32"/>
      <c r="GAT32"/>
      <c r="GAU32"/>
      <c r="GAV32"/>
      <c r="GAW32"/>
      <c r="GAX32"/>
      <c r="GAY32"/>
      <c r="GAZ32"/>
      <c r="GBA32"/>
      <c r="GBB32"/>
      <c r="GBC32"/>
      <c r="GBD32"/>
      <c r="GBE32"/>
      <c r="GBF32"/>
      <c r="GBG32"/>
    </row>
    <row r="33" spans="1:4791" ht="13.8" customHeight="1" x14ac:dyDescent="0.25">
      <c r="A33" s="1" t="s">
        <v>2408</v>
      </c>
      <c r="B33" s="1">
        <v>192126.55999999994</v>
      </c>
      <c r="E33"/>
      <c r="F33"/>
      <c r="G33" s="1" t="s">
        <v>3065</v>
      </c>
      <c r="H33" s="1">
        <v>232</v>
      </c>
      <c r="I33"/>
      <c r="J33" s="1" t="s">
        <v>3072</v>
      </c>
      <c r="K33" s="10">
        <v>0.20583333333333334</v>
      </c>
      <c r="L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/>
      <c r="AND33"/>
      <c r="ANE33"/>
      <c r="ANF33"/>
      <c r="ANG33"/>
      <c r="ANH33"/>
      <c r="ANI33"/>
      <c r="ANJ33"/>
      <c r="ANK33"/>
      <c r="ANL33"/>
      <c r="ANM33"/>
      <c r="ANN33"/>
      <c r="ANO33"/>
      <c r="ANP33"/>
      <c r="ANQ33"/>
      <c r="ANR33"/>
      <c r="ANS33"/>
      <c r="ANT33"/>
      <c r="ANU33"/>
      <c r="ANV33"/>
      <c r="ANW33"/>
      <c r="ANX33"/>
      <c r="ANY33"/>
      <c r="ANZ33"/>
      <c r="AOA33"/>
      <c r="AOB33"/>
      <c r="AOC33"/>
      <c r="AOD33"/>
      <c r="AOE33"/>
      <c r="AOF33"/>
      <c r="AOG33"/>
      <c r="AOH33"/>
      <c r="AOI33"/>
      <c r="AOJ33"/>
      <c r="AOK33"/>
      <c r="AOL33"/>
      <c r="AOM33"/>
      <c r="AON33"/>
      <c r="AOO33"/>
      <c r="AOP33"/>
      <c r="AOQ33"/>
      <c r="AOR33"/>
      <c r="AOS33"/>
      <c r="AOT33"/>
      <c r="AOU33"/>
      <c r="AOV33"/>
      <c r="AOW33"/>
      <c r="AOX33"/>
      <c r="AOY33"/>
      <c r="AOZ33"/>
      <c r="APA33"/>
      <c r="APB33"/>
      <c r="APC33"/>
      <c r="APD33"/>
      <c r="APE33"/>
      <c r="APF33"/>
      <c r="APG33"/>
      <c r="APH33"/>
      <c r="API33"/>
      <c r="APJ33"/>
      <c r="APK33"/>
      <c r="APL33"/>
      <c r="APM33"/>
      <c r="APN33"/>
      <c r="APO33"/>
      <c r="APP33"/>
      <c r="APQ33"/>
      <c r="APR33"/>
      <c r="APS33"/>
      <c r="APT33"/>
      <c r="APU33"/>
      <c r="APV33"/>
      <c r="APW33"/>
      <c r="APX33"/>
      <c r="APY33"/>
      <c r="APZ33"/>
      <c r="AQA33"/>
      <c r="AQB33"/>
      <c r="AQC33"/>
      <c r="AQD33"/>
      <c r="AQE33"/>
      <c r="AQF33"/>
      <c r="AQG33"/>
      <c r="AQH33"/>
      <c r="AQI33"/>
      <c r="AQJ33"/>
      <c r="AQK33"/>
      <c r="AQL33"/>
      <c r="AQM33"/>
      <c r="AQN33"/>
      <c r="AQO33"/>
      <c r="AQP33"/>
      <c r="AQQ33"/>
      <c r="AQR33"/>
      <c r="AQS33"/>
      <c r="AQT33"/>
      <c r="AQU33"/>
      <c r="AQV33"/>
      <c r="AQW33"/>
      <c r="AQX33"/>
      <c r="AQY33"/>
      <c r="AQZ33"/>
      <c r="ARA33"/>
      <c r="ARB33"/>
      <c r="ARC33"/>
      <c r="ARD33"/>
      <c r="ARE33"/>
      <c r="ARF33"/>
      <c r="ARG33"/>
      <c r="ARH33"/>
      <c r="ARI33"/>
      <c r="ARJ33"/>
      <c r="ARK33"/>
      <c r="ARL33"/>
      <c r="ARM33"/>
      <c r="ARN33"/>
      <c r="ARO33"/>
      <c r="ARP33"/>
      <c r="ARQ33"/>
      <c r="ARR33"/>
      <c r="ARS33"/>
      <c r="ART33"/>
      <c r="ARU33"/>
      <c r="ARV33"/>
      <c r="ARW33"/>
      <c r="ARX33"/>
      <c r="ARY33"/>
      <c r="ARZ33"/>
      <c r="ASA33"/>
      <c r="ASB33"/>
      <c r="ASC33"/>
      <c r="ASD33"/>
      <c r="ASE33"/>
      <c r="ASF33"/>
      <c r="ASG33"/>
      <c r="ASH33"/>
      <c r="ASI33"/>
      <c r="ASJ33"/>
      <c r="ASK33"/>
      <c r="ASL33"/>
      <c r="ASM33"/>
      <c r="ASN33"/>
      <c r="ASO33"/>
      <c r="ASP33"/>
      <c r="ASQ33"/>
      <c r="ASR33"/>
      <c r="ASS33"/>
      <c r="AST33"/>
      <c r="ASU33"/>
      <c r="ASV33"/>
      <c r="ASW33"/>
      <c r="ASX33"/>
      <c r="ASY33"/>
      <c r="ASZ33"/>
      <c r="ATA33"/>
      <c r="ATB33"/>
      <c r="ATC33"/>
      <c r="ATD33"/>
      <c r="ATE33"/>
      <c r="ATF33"/>
      <c r="ATG33"/>
      <c r="ATH33"/>
      <c r="ATI33"/>
      <c r="ATJ33"/>
      <c r="ATK33"/>
      <c r="ATL33"/>
      <c r="ATM33"/>
      <c r="ATN33"/>
      <c r="ATO33"/>
      <c r="ATP33"/>
      <c r="ATQ33"/>
      <c r="ATR33"/>
      <c r="ATS33"/>
      <c r="ATT33"/>
      <c r="ATU33"/>
      <c r="ATV33"/>
      <c r="ATW33"/>
      <c r="ATX33"/>
      <c r="ATY33"/>
      <c r="ATZ33"/>
      <c r="AUA33"/>
      <c r="AUB33"/>
      <c r="AUC33"/>
      <c r="AUD33"/>
      <c r="AUE33"/>
      <c r="AUF33"/>
      <c r="AUG33"/>
      <c r="AUH33"/>
      <c r="AUI33"/>
      <c r="AUJ33"/>
      <c r="AUK33"/>
      <c r="AUL33"/>
      <c r="AUM33"/>
      <c r="AUN33"/>
      <c r="AUO33"/>
      <c r="AUP33"/>
      <c r="AUQ33"/>
      <c r="AUR33"/>
      <c r="AUS33"/>
      <c r="AUT33"/>
      <c r="AUU33"/>
      <c r="AUV33"/>
      <c r="AUW33"/>
      <c r="AUX33"/>
      <c r="AUY33"/>
      <c r="AUZ33"/>
      <c r="AVA33"/>
      <c r="AVB33"/>
      <c r="AVC33"/>
      <c r="AVD33"/>
      <c r="AVE33"/>
      <c r="AVF33"/>
      <c r="AVG33"/>
      <c r="AVH33"/>
      <c r="AVI33"/>
      <c r="AVJ33"/>
      <c r="AVK33"/>
      <c r="AVL33"/>
      <c r="AVM33"/>
      <c r="AVN33"/>
      <c r="AVO33"/>
      <c r="AVP33"/>
      <c r="AVQ33"/>
      <c r="AVR33"/>
      <c r="AVS33"/>
      <c r="AVT33"/>
      <c r="AVU33"/>
      <c r="AVV33"/>
      <c r="AVW33"/>
      <c r="AVX33"/>
      <c r="AVY33"/>
      <c r="AVZ33"/>
      <c r="AWA33"/>
      <c r="AWB33"/>
      <c r="AWC33"/>
      <c r="AWD33"/>
      <c r="AWE33"/>
      <c r="AWF33"/>
      <c r="AWG33"/>
      <c r="AWH33"/>
      <c r="AWI33"/>
      <c r="AWJ33"/>
      <c r="AWK33"/>
      <c r="AWL33"/>
      <c r="AWM33"/>
      <c r="AWN33"/>
      <c r="AWO33"/>
      <c r="AWP33"/>
      <c r="AWQ33"/>
      <c r="AWR33"/>
      <c r="AWS33"/>
      <c r="AWT33"/>
      <c r="AWU33"/>
      <c r="AWV33"/>
      <c r="AWW33"/>
      <c r="AWX33"/>
      <c r="AWY33"/>
      <c r="AWZ33"/>
      <c r="AXA33"/>
      <c r="AXB33"/>
      <c r="AXC33"/>
      <c r="AXD33"/>
      <c r="AXE33"/>
      <c r="AXF33"/>
      <c r="AXG33"/>
      <c r="AXH33"/>
      <c r="AXI33"/>
      <c r="AXJ33"/>
      <c r="AXK33"/>
      <c r="AXL33"/>
      <c r="AXM33"/>
      <c r="AXN33"/>
      <c r="AXO33"/>
      <c r="AXP33"/>
      <c r="AXQ33"/>
      <c r="AXR33"/>
      <c r="AXS33"/>
      <c r="AXT33"/>
      <c r="AXU33"/>
      <c r="AXV33"/>
      <c r="AXW33"/>
      <c r="AXX33"/>
      <c r="AXY33"/>
      <c r="AXZ33"/>
      <c r="AYA33"/>
      <c r="AYB33"/>
      <c r="AYC33"/>
      <c r="AYD33"/>
      <c r="AYE33"/>
      <c r="AYF33"/>
      <c r="AYG33"/>
      <c r="AYH33"/>
      <c r="AYI33"/>
      <c r="AYJ33"/>
      <c r="AYK33"/>
      <c r="AYL33"/>
      <c r="AYM33"/>
      <c r="AYN33"/>
      <c r="AYO33"/>
      <c r="AYP33"/>
      <c r="AYQ33"/>
      <c r="AYR33"/>
      <c r="AYS33"/>
      <c r="AYT33"/>
      <c r="AYU33"/>
      <c r="AYV33"/>
      <c r="AYW33"/>
      <c r="AYX33"/>
      <c r="AYY33"/>
      <c r="AYZ33"/>
      <c r="AZA33"/>
      <c r="AZB33"/>
      <c r="AZC33"/>
      <c r="AZD33"/>
      <c r="AZE33"/>
      <c r="AZF33"/>
      <c r="AZG33"/>
      <c r="AZH33"/>
      <c r="AZI33"/>
      <c r="AZJ33"/>
      <c r="AZK33"/>
      <c r="AZL33"/>
      <c r="AZM33"/>
      <c r="AZN33"/>
      <c r="AZO33"/>
      <c r="AZP33"/>
      <c r="AZQ33"/>
      <c r="AZR33"/>
      <c r="AZS33"/>
      <c r="AZT33"/>
      <c r="AZU33"/>
      <c r="AZV33"/>
      <c r="AZW33"/>
      <c r="AZX33"/>
      <c r="AZY33"/>
      <c r="AZZ33"/>
      <c r="BAA33"/>
      <c r="BAB33"/>
      <c r="BAC33"/>
      <c r="BAD33"/>
      <c r="BAE33"/>
      <c r="BAF33"/>
      <c r="BAG33"/>
      <c r="BAH33"/>
      <c r="BAI33"/>
      <c r="BAJ33"/>
      <c r="BAK33"/>
      <c r="BAL33"/>
      <c r="BAM33"/>
      <c r="BAN33"/>
      <c r="BAO33"/>
      <c r="BAP33"/>
      <c r="BAQ33"/>
      <c r="BAR33"/>
      <c r="BAS33"/>
      <c r="BAT33"/>
      <c r="BAU33"/>
      <c r="BAV33"/>
      <c r="BAW33"/>
      <c r="BAX33"/>
      <c r="BAY33"/>
      <c r="BAZ33"/>
      <c r="BBA33"/>
      <c r="BBB33"/>
      <c r="BBC33"/>
      <c r="BBD33"/>
      <c r="BBE33"/>
      <c r="BBF33"/>
      <c r="BBG33"/>
      <c r="BBH33"/>
      <c r="BBI33"/>
      <c r="BBJ33"/>
      <c r="BBK33"/>
      <c r="BBL33"/>
      <c r="BBM33"/>
      <c r="BBN33"/>
      <c r="BBO33"/>
      <c r="BBP33"/>
      <c r="BBQ33"/>
      <c r="BBR33"/>
      <c r="BBS33"/>
      <c r="BBT33"/>
      <c r="BBU33"/>
      <c r="BBV33"/>
      <c r="BBW33"/>
      <c r="BBX33"/>
      <c r="BBY33"/>
      <c r="BBZ33"/>
      <c r="BCA33"/>
      <c r="BCB33"/>
      <c r="BCC33"/>
      <c r="BCD33"/>
      <c r="BCE33"/>
      <c r="BCF33"/>
      <c r="BCG33"/>
      <c r="BCH33"/>
      <c r="BCI33"/>
      <c r="BCJ33"/>
      <c r="BCK33"/>
      <c r="BCL33"/>
      <c r="BCM33"/>
      <c r="BCN33"/>
      <c r="BCO33"/>
      <c r="BCP33"/>
      <c r="BCQ33"/>
      <c r="BCR33"/>
      <c r="BCS33"/>
      <c r="BCT33"/>
      <c r="BCU33"/>
      <c r="BCV33"/>
      <c r="BCW33"/>
      <c r="BCX33"/>
      <c r="BCY33"/>
      <c r="BCZ33"/>
      <c r="BDA33"/>
      <c r="BDB33"/>
      <c r="BDC33"/>
      <c r="BDD33"/>
      <c r="BDE33"/>
      <c r="BDF33"/>
      <c r="BDG33"/>
      <c r="BDH33"/>
      <c r="BDI33"/>
      <c r="BDJ33"/>
      <c r="BDK33"/>
      <c r="BDL33"/>
      <c r="BDM33"/>
      <c r="BDN33"/>
      <c r="BDO33"/>
      <c r="BDP33"/>
      <c r="BDQ33"/>
      <c r="BDR33"/>
      <c r="BDS33"/>
      <c r="BDT33"/>
      <c r="BDU33"/>
      <c r="BDV33"/>
      <c r="BDW33"/>
      <c r="BDX33"/>
      <c r="BDY33"/>
      <c r="BDZ33"/>
      <c r="BEA33"/>
      <c r="BEB33"/>
      <c r="BEC33"/>
      <c r="BED33"/>
      <c r="BEE33"/>
      <c r="BEF33"/>
      <c r="BEG33"/>
      <c r="BEH33"/>
      <c r="BEI33"/>
      <c r="BEJ33"/>
      <c r="BEK33"/>
      <c r="BEL33"/>
      <c r="BEM33"/>
      <c r="BEN33"/>
      <c r="BEO33"/>
      <c r="BEP33"/>
      <c r="BEQ33"/>
      <c r="BER33"/>
      <c r="BES33"/>
      <c r="BET33"/>
      <c r="BEU33"/>
      <c r="BEV33"/>
      <c r="BEW33"/>
      <c r="BEX33"/>
      <c r="BEY33"/>
      <c r="BEZ33"/>
      <c r="BFA33"/>
      <c r="BFB33"/>
      <c r="BFC33"/>
      <c r="BFD33"/>
      <c r="BFE33"/>
      <c r="BFF33"/>
      <c r="BFG33"/>
      <c r="BFH33"/>
      <c r="BFI33"/>
      <c r="BFJ33"/>
      <c r="BFK33"/>
      <c r="BFL33"/>
      <c r="BFM33"/>
      <c r="BFN33"/>
      <c r="BFO33"/>
      <c r="BFP33"/>
      <c r="BFQ33"/>
      <c r="BFR33"/>
      <c r="BFS33"/>
      <c r="BFT33"/>
      <c r="BFU33"/>
      <c r="BFV33"/>
      <c r="BFW33"/>
      <c r="BFX33"/>
      <c r="BFY33"/>
      <c r="BFZ33"/>
      <c r="BGA33"/>
      <c r="BGB33"/>
      <c r="BGC33"/>
      <c r="BGD33"/>
      <c r="BGE33"/>
      <c r="BGF33"/>
      <c r="BGG33"/>
      <c r="BGH33"/>
      <c r="BGI33"/>
      <c r="BGJ33"/>
      <c r="BGK33"/>
      <c r="BGL33"/>
      <c r="BGM33"/>
      <c r="BGN33"/>
      <c r="BGO33"/>
      <c r="BGP33"/>
      <c r="BGQ33"/>
      <c r="BGR33"/>
      <c r="BGS33"/>
      <c r="BGT33"/>
      <c r="BGU33"/>
      <c r="BGV33"/>
      <c r="BGW33"/>
      <c r="BGX33"/>
      <c r="BGY33"/>
      <c r="BGZ33"/>
      <c r="BHA33"/>
      <c r="BHB33"/>
      <c r="BHC33"/>
      <c r="BHD33"/>
      <c r="BHE33"/>
      <c r="BHF33"/>
      <c r="BHG33"/>
      <c r="BHH33"/>
      <c r="BHI33"/>
      <c r="BHJ33"/>
      <c r="BHK33"/>
      <c r="BHL33"/>
      <c r="BHM33"/>
      <c r="BHN33"/>
      <c r="BHO33"/>
      <c r="BHP33"/>
      <c r="BHQ33"/>
      <c r="BHR33"/>
      <c r="BHS33"/>
      <c r="BHT33"/>
      <c r="BHU33"/>
      <c r="BHV33"/>
      <c r="BHW33"/>
      <c r="BHX33"/>
      <c r="BHY33"/>
      <c r="BHZ33"/>
      <c r="BIA33"/>
      <c r="BIB33"/>
      <c r="BIC33"/>
      <c r="BID33"/>
      <c r="BIE33"/>
      <c r="BIF33"/>
      <c r="BIG33"/>
      <c r="BIH33"/>
      <c r="BII33"/>
      <c r="BIJ33"/>
      <c r="BIK33"/>
      <c r="BIL33"/>
      <c r="BIM33"/>
      <c r="BIN33"/>
      <c r="BIO33"/>
      <c r="BIP33"/>
      <c r="BIQ33"/>
      <c r="BIR33"/>
      <c r="BIS33"/>
      <c r="BIT33"/>
      <c r="BIU33"/>
      <c r="BIV33"/>
      <c r="BIW33"/>
      <c r="BIX33"/>
      <c r="BIY33"/>
      <c r="BIZ33"/>
      <c r="BJA33"/>
      <c r="BJB33"/>
      <c r="BJC33"/>
      <c r="BJD33"/>
      <c r="BJE33"/>
      <c r="BJF33"/>
      <c r="BJG33"/>
      <c r="BJH33"/>
      <c r="BJI33"/>
      <c r="BJJ33"/>
      <c r="BJK33"/>
      <c r="BJL33"/>
      <c r="BJM33"/>
      <c r="BJN33"/>
      <c r="BJO33"/>
      <c r="BJP33"/>
      <c r="BJQ33"/>
      <c r="BJR33"/>
      <c r="BJS33"/>
      <c r="BJT33"/>
      <c r="BJU33"/>
      <c r="BJV33"/>
      <c r="BJW33"/>
      <c r="BJX33"/>
      <c r="BJY33"/>
      <c r="BJZ33"/>
      <c r="BKA33"/>
      <c r="BKB33"/>
      <c r="BKC33"/>
      <c r="BKD33"/>
      <c r="BKE33"/>
      <c r="BKF33"/>
      <c r="BKG33"/>
      <c r="BKH33"/>
      <c r="BKI33"/>
      <c r="BKJ33"/>
      <c r="BKK33"/>
      <c r="BKL33"/>
      <c r="BKM33"/>
      <c r="BKN33"/>
      <c r="BKO33"/>
      <c r="BKP33"/>
      <c r="BKQ33"/>
      <c r="BKR33"/>
      <c r="BKS33"/>
      <c r="BKT33"/>
      <c r="BKU33"/>
      <c r="BKV33"/>
      <c r="BKW33"/>
      <c r="BKX33"/>
      <c r="BKY33"/>
      <c r="BKZ33"/>
      <c r="BLA33"/>
      <c r="BLB33"/>
      <c r="BLC33"/>
      <c r="BLD33"/>
      <c r="BLE33"/>
      <c r="BLF33"/>
      <c r="BLG33"/>
      <c r="BLH33"/>
      <c r="BLI33"/>
      <c r="BLJ33"/>
      <c r="BLK33"/>
      <c r="BLL33"/>
      <c r="BLM33"/>
      <c r="BLN33"/>
      <c r="BLO33"/>
      <c r="BLP33"/>
      <c r="BLQ33"/>
      <c r="BLR33"/>
      <c r="BLS33"/>
      <c r="BLT33"/>
      <c r="BLU33"/>
      <c r="BLV33"/>
      <c r="BLW33"/>
      <c r="BLX33"/>
      <c r="BLY33"/>
      <c r="BLZ33"/>
      <c r="BMA33"/>
      <c r="BMB33"/>
      <c r="BMC33"/>
      <c r="BMD33"/>
      <c r="BME33"/>
      <c r="BMF33"/>
      <c r="BMG33"/>
      <c r="BMH33"/>
      <c r="BMI33"/>
      <c r="BMJ33"/>
      <c r="BMK33"/>
      <c r="BML33"/>
      <c r="BMM33"/>
      <c r="BMN33"/>
      <c r="BMO33"/>
      <c r="BMP33"/>
      <c r="BMQ33"/>
      <c r="BMR33"/>
      <c r="BMS33"/>
      <c r="BMT33"/>
      <c r="BMU33"/>
      <c r="BMV33"/>
      <c r="BMW33"/>
      <c r="BMX33"/>
      <c r="BMY33"/>
      <c r="BMZ33"/>
      <c r="BNA33"/>
      <c r="BNB33"/>
      <c r="BNC33"/>
      <c r="BND33"/>
      <c r="BNE33"/>
      <c r="BNF33"/>
      <c r="BNG33"/>
      <c r="BNH33"/>
      <c r="BNI33"/>
      <c r="BNJ33"/>
      <c r="BNK33"/>
      <c r="BNL33"/>
      <c r="BNM33"/>
      <c r="BNN33"/>
      <c r="BNO33"/>
      <c r="BNP33"/>
      <c r="BNQ33"/>
      <c r="BNR33"/>
      <c r="BNS33"/>
      <c r="BNT33"/>
      <c r="BNU33"/>
      <c r="BNV33"/>
      <c r="BNW33"/>
      <c r="BNX33"/>
      <c r="BNY33"/>
      <c r="BNZ33"/>
      <c r="BOA33"/>
      <c r="BOB33"/>
      <c r="BOC33"/>
      <c r="BOD33"/>
      <c r="BOE33"/>
      <c r="BOF33"/>
      <c r="BOG33"/>
      <c r="BOH33"/>
      <c r="BOI33"/>
      <c r="BOJ33"/>
      <c r="BOK33"/>
      <c r="BOL33"/>
      <c r="BOM33"/>
      <c r="BON33"/>
      <c r="BOO33"/>
      <c r="BOP33"/>
      <c r="BOQ33"/>
      <c r="BOR33"/>
      <c r="BOS33"/>
      <c r="BOT33"/>
      <c r="BOU33"/>
      <c r="BOV33"/>
      <c r="BOW33"/>
      <c r="BOX33"/>
      <c r="BOY33"/>
      <c r="BOZ33"/>
      <c r="BPA33"/>
      <c r="BPB33"/>
      <c r="BPC33"/>
      <c r="BPD33"/>
      <c r="BPE33"/>
      <c r="BPF33"/>
      <c r="BPG33"/>
      <c r="BPH33"/>
      <c r="BPI33"/>
      <c r="BPJ33"/>
      <c r="BPK33"/>
      <c r="BPL33"/>
      <c r="BPM33"/>
      <c r="BPN33"/>
      <c r="BPO33"/>
      <c r="BPP33"/>
      <c r="BPQ33"/>
      <c r="BPR33"/>
      <c r="BPS33"/>
      <c r="BPT33"/>
      <c r="BPU33"/>
      <c r="BPV33"/>
      <c r="BPW33"/>
      <c r="BPX33"/>
      <c r="BPY33"/>
      <c r="BPZ33"/>
      <c r="BQA33"/>
      <c r="BQB33"/>
      <c r="BQC33"/>
      <c r="BQD33"/>
      <c r="BQE33"/>
      <c r="BQF33"/>
      <c r="BQG33"/>
      <c r="BQH33"/>
      <c r="BQI33"/>
      <c r="BQJ33"/>
      <c r="BQK33"/>
      <c r="BQL33"/>
      <c r="BQM33"/>
      <c r="BQN33"/>
      <c r="BQO33"/>
      <c r="BQP33"/>
      <c r="BQQ33"/>
      <c r="BQR33"/>
      <c r="BQS33"/>
      <c r="BQT33"/>
      <c r="BQU33"/>
      <c r="BQV33"/>
      <c r="BQW33"/>
      <c r="BQX33"/>
      <c r="BQY33"/>
      <c r="BQZ33"/>
      <c r="BRA33"/>
      <c r="BRB33"/>
      <c r="BRC33"/>
      <c r="BRD33"/>
      <c r="BRE33"/>
      <c r="BRF33"/>
      <c r="BRG33"/>
      <c r="BRH33"/>
      <c r="BRI33"/>
      <c r="BRJ33"/>
      <c r="BRK33"/>
      <c r="BRL33"/>
      <c r="BRM33"/>
      <c r="BRN33"/>
      <c r="BRO33"/>
      <c r="BRP33"/>
      <c r="BRQ33"/>
      <c r="BRR33"/>
      <c r="BRS33"/>
      <c r="BRT33"/>
      <c r="BRU33"/>
      <c r="BRV33"/>
      <c r="BRW33"/>
      <c r="BRX33"/>
      <c r="BRY33"/>
      <c r="BRZ33"/>
      <c r="BSA33"/>
      <c r="BSB33"/>
      <c r="BSC33"/>
      <c r="BSD33"/>
      <c r="BSE33"/>
      <c r="BSF33"/>
      <c r="BSG33"/>
      <c r="BSH33"/>
      <c r="BSI33"/>
      <c r="BSJ33"/>
      <c r="BSK33"/>
      <c r="BSL33"/>
      <c r="BSM33"/>
      <c r="BSN33"/>
      <c r="BSO33"/>
      <c r="BSP33"/>
      <c r="BSQ33"/>
      <c r="BSR33"/>
      <c r="BSS33"/>
      <c r="BST33"/>
      <c r="BSU33"/>
      <c r="BSV33"/>
      <c r="BSW33"/>
      <c r="BSX33"/>
      <c r="BSY33"/>
      <c r="BSZ33"/>
      <c r="BTA33"/>
      <c r="BTB33"/>
      <c r="BTC33"/>
      <c r="BTD33"/>
      <c r="BTE33"/>
      <c r="BTF33"/>
      <c r="BTG33"/>
      <c r="BTH33"/>
      <c r="BTI33"/>
      <c r="BTJ33"/>
      <c r="BTK33"/>
      <c r="BTL33"/>
      <c r="BTM33"/>
      <c r="BTN33"/>
      <c r="BTO33"/>
      <c r="BTP33"/>
      <c r="BTQ33"/>
      <c r="BTR33"/>
      <c r="BTS33"/>
      <c r="BTT33"/>
      <c r="BTU33"/>
      <c r="BTV33"/>
      <c r="BTW33"/>
      <c r="BTX33"/>
      <c r="BTY33"/>
      <c r="BTZ33"/>
      <c r="BUA33"/>
      <c r="BUB33"/>
      <c r="BUC33"/>
      <c r="BUD33"/>
      <c r="BUE33"/>
      <c r="BUF33"/>
      <c r="BUG33"/>
      <c r="BUH33"/>
      <c r="BUI33"/>
      <c r="BUJ33"/>
      <c r="BUK33"/>
      <c r="BUL33"/>
      <c r="BUM33"/>
      <c r="BUN33"/>
      <c r="BUO33"/>
      <c r="BUP33"/>
      <c r="BUQ33"/>
      <c r="BUR33"/>
      <c r="BUS33"/>
      <c r="BUT33"/>
      <c r="BUU33"/>
      <c r="BUV33"/>
      <c r="BUW33"/>
      <c r="BUX33"/>
      <c r="BUY33"/>
      <c r="BUZ33"/>
      <c r="BVA33"/>
      <c r="BVB33"/>
      <c r="BVC33"/>
      <c r="BVD33"/>
      <c r="BVE33"/>
      <c r="BVF33"/>
      <c r="BVG33"/>
      <c r="BVH33"/>
      <c r="BVI33"/>
      <c r="BVJ33"/>
      <c r="BVK33"/>
      <c r="BVL33"/>
      <c r="BVM33"/>
      <c r="BVN33"/>
      <c r="BVO33"/>
      <c r="BVP33"/>
      <c r="BVQ33"/>
      <c r="BVR33"/>
      <c r="BVS33"/>
      <c r="BVT33"/>
      <c r="BVU33"/>
      <c r="BVV33"/>
      <c r="BVW33"/>
      <c r="BVX33"/>
      <c r="BVY33"/>
      <c r="BVZ33"/>
      <c r="BWA33"/>
      <c r="BWB33"/>
      <c r="BWC33"/>
      <c r="BWD33"/>
      <c r="BWE33"/>
      <c r="BWF33"/>
      <c r="BWG33"/>
      <c r="BWH33"/>
      <c r="BWI33"/>
      <c r="BWJ33"/>
      <c r="BWK33"/>
      <c r="BWL33"/>
      <c r="BWM33"/>
      <c r="BWN33"/>
      <c r="BWO33"/>
      <c r="BWP33"/>
      <c r="BWQ33"/>
      <c r="BWR33"/>
      <c r="BWS33"/>
      <c r="BWT33"/>
      <c r="BWU33"/>
      <c r="BWV33"/>
      <c r="BWW33"/>
      <c r="BWX33"/>
      <c r="BWY33"/>
      <c r="BWZ33"/>
      <c r="BXA33"/>
      <c r="BXB33"/>
      <c r="BXC33"/>
      <c r="BXD33"/>
      <c r="BXE33"/>
      <c r="BXF33"/>
      <c r="BXG33"/>
      <c r="BXH33"/>
      <c r="BXI33"/>
      <c r="BXJ33"/>
      <c r="BXK33"/>
      <c r="BXL33"/>
      <c r="BXM33"/>
      <c r="BXN33"/>
      <c r="BXO33"/>
      <c r="BXP33"/>
      <c r="BXQ33"/>
      <c r="BXR33"/>
      <c r="BXS33"/>
      <c r="BXT33"/>
      <c r="BXU33"/>
      <c r="BXV33"/>
      <c r="BXW33"/>
      <c r="BXX33"/>
      <c r="BXY33"/>
      <c r="BXZ33"/>
      <c r="BYA33"/>
      <c r="BYB33"/>
      <c r="BYC33"/>
      <c r="BYD33"/>
      <c r="BYE33"/>
      <c r="BYF33"/>
      <c r="BYG33"/>
      <c r="BYH33"/>
      <c r="BYI33"/>
      <c r="BYJ33"/>
      <c r="BYK33"/>
      <c r="BYL33"/>
      <c r="BYM33"/>
      <c r="BYN33"/>
      <c r="BYO33"/>
      <c r="BYP33"/>
      <c r="BYQ33"/>
      <c r="BYR33"/>
      <c r="BYS33"/>
      <c r="BYT33"/>
      <c r="BYU33"/>
      <c r="BYV33"/>
      <c r="BYW33"/>
      <c r="BYX33"/>
      <c r="BYY33"/>
      <c r="BYZ33"/>
      <c r="BZA33"/>
      <c r="BZB33"/>
      <c r="BZC33"/>
      <c r="BZD33"/>
      <c r="BZE33"/>
      <c r="BZF33"/>
      <c r="BZG33"/>
      <c r="BZH33"/>
      <c r="BZI33"/>
      <c r="BZJ33"/>
      <c r="BZK33"/>
      <c r="BZL33"/>
      <c r="BZM33"/>
      <c r="BZN33"/>
      <c r="BZO33"/>
      <c r="BZP33"/>
      <c r="BZQ33"/>
      <c r="BZR33"/>
      <c r="BZS33"/>
      <c r="BZT33"/>
      <c r="BZU33"/>
      <c r="BZV33"/>
      <c r="BZW33"/>
      <c r="BZX33"/>
      <c r="BZY33"/>
      <c r="BZZ33"/>
      <c r="CAA33"/>
      <c r="CAB33"/>
      <c r="CAC33"/>
      <c r="CAD33"/>
      <c r="CAE33"/>
      <c r="CAF33"/>
      <c r="CAG33"/>
      <c r="CAH33"/>
      <c r="CAI33"/>
      <c r="CAJ33"/>
      <c r="CAK33"/>
      <c r="CAL33"/>
      <c r="CAM33"/>
      <c r="CAN33"/>
      <c r="CAO33"/>
      <c r="CAP33"/>
      <c r="CAQ33"/>
      <c r="CAR33"/>
      <c r="CAS33"/>
      <c r="CAT33"/>
      <c r="CAU33"/>
      <c r="CAV33"/>
      <c r="CAW33"/>
      <c r="CAX33"/>
      <c r="CAY33"/>
      <c r="CAZ33"/>
      <c r="CBA33"/>
      <c r="CBB33"/>
      <c r="CBC33"/>
      <c r="CBD33"/>
      <c r="CBE33"/>
      <c r="CBF33"/>
      <c r="CBG33"/>
      <c r="CBH33"/>
      <c r="CBI33"/>
      <c r="CBJ33"/>
      <c r="CBK33"/>
      <c r="CBL33"/>
      <c r="CBM33"/>
      <c r="CBN33"/>
      <c r="CBO33"/>
      <c r="CBP33"/>
      <c r="CBQ33"/>
      <c r="CBR33"/>
      <c r="CBS33"/>
      <c r="CBT33"/>
      <c r="CBU33"/>
      <c r="CBV33"/>
      <c r="CBW33"/>
      <c r="CBX33"/>
      <c r="CBY33"/>
      <c r="CBZ33"/>
      <c r="CCA33"/>
      <c r="CCB33"/>
      <c r="CCC33"/>
      <c r="CCD33"/>
      <c r="CCE33"/>
      <c r="CCF33"/>
      <c r="CCG33"/>
      <c r="CCH33"/>
      <c r="CCI33"/>
      <c r="CCJ33"/>
      <c r="CCK33"/>
      <c r="CCL33"/>
      <c r="CCM33"/>
      <c r="CCN33"/>
      <c r="CCO33"/>
      <c r="CCP33"/>
      <c r="CCQ33"/>
      <c r="CCR33"/>
      <c r="CCS33"/>
      <c r="CCT33"/>
      <c r="CCU33"/>
      <c r="CCV33"/>
      <c r="CCW33"/>
      <c r="CCX33"/>
      <c r="CCY33"/>
      <c r="CCZ33"/>
      <c r="CDA33"/>
      <c r="CDB33"/>
      <c r="CDC33"/>
      <c r="CDD33"/>
      <c r="CDE33"/>
      <c r="CDF33"/>
      <c r="CDG33"/>
      <c r="CDH33"/>
      <c r="CDI33"/>
      <c r="CDJ33"/>
      <c r="CDK33"/>
      <c r="CDL33"/>
      <c r="CDM33"/>
      <c r="CDN33"/>
      <c r="CDO33"/>
      <c r="CDP33"/>
      <c r="CDQ33"/>
      <c r="CDR33"/>
      <c r="CDS33"/>
      <c r="CDT33"/>
      <c r="CDU33"/>
      <c r="CDV33"/>
      <c r="CDW33"/>
      <c r="CDX33"/>
      <c r="CDY33"/>
      <c r="CDZ33"/>
      <c r="CEA33"/>
      <c r="CEB33"/>
      <c r="CEC33"/>
      <c r="CED33"/>
      <c r="CEE33"/>
      <c r="CEF33"/>
      <c r="CEG33"/>
      <c r="CEH33"/>
      <c r="CEI33"/>
      <c r="CEJ33"/>
      <c r="CEK33"/>
      <c r="CEL33"/>
      <c r="CEM33"/>
      <c r="CEN33"/>
      <c r="CEO33"/>
      <c r="CEP33"/>
      <c r="CEQ33"/>
      <c r="CER33"/>
      <c r="CES33"/>
      <c r="CET33"/>
      <c r="CEU33"/>
      <c r="CEV33"/>
      <c r="CEW33"/>
      <c r="CEX33"/>
      <c r="CEY33"/>
      <c r="CEZ33"/>
      <c r="CFA33"/>
      <c r="CFB33"/>
      <c r="CFC33"/>
      <c r="CFD33"/>
      <c r="CFE33"/>
      <c r="CFF33"/>
      <c r="CFG33"/>
      <c r="CFH33"/>
      <c r="CFI33"/>
      <c r="CFJ33"/>
      <c r="CFK33"/>
      <c r="CFL33"/>
      <c r="CFM33"/>
      <c r="CFN33"/>
      <c r="CFO33"/>
      <c r="CFP33"/>
      <c r="CFQ33"/>
      <c r="CFR33"/>
      <c r="CFS33"/>
      <c r="CFT33"/>
      <c r="CFU33"/>
      <c r="CFV33"/>
      <c r="CFW33"/>
      <c r="CFX33"/>
      <c r="CFY33"/>
      <c r="CFZ33"/>
      <c r="CGA33"/>
      <c r="CGB33"/>
      <c r="CGC33"/>
      <c r="CGD33"/>
      <c r="CGE33"/>
      <c r="CGF33"/>
      <c r="CGG33"/>
      <c r="CGH33"/>
      <c r="CGI33"/>
      <c r="CGJ33"/>
      <c r="CGK33"/>
      <c r="CGL33"/>
      <c r="CGM33"/>
      <c r="CGN33"/>
      <c r="CGO33"/>
      <c r="CGP33"/>
      <c r="CGQ33"/>
      <c r="CGR33"/>
      <c r="CGS33"/>
      <c r="CGT33"/>
      <c r="CGU33"/>
      <c r="CGV33"/>
      <c r="CGW33"/>
      <c r="CGX33"/>
      <c r="CGY33"/>
      <c r="CGZ33"/>
      <c r="CHA33"/>
      <c r="CHB33"/>
      <c r="CHC33"/>
      <c r="CHD33"/>
      <c r="CHE33"/>
      <c r="CHF33"/>
      <c r="CHG33"/>
      <c r="CHH33"/>
      <c r="CHI33"/>
      <c r="CHJ33"/>
      <c r="CHK33"/>
      <c r="CHL33"/>
      <c r="CHM33"/>
      <c r="CHN33"/>
      <c r="CHO33"/>
      <c r="CHP33"/>
      <c r="CHQ33"/>
      <c r="CHR33"/>
      <c r="CHS33"/>
      <c r="CHT33"/>
      <c r="CHU33"/>
      <c r="CHV33"/>
      <c r="CHW33"/>
      <c r="CHX33"/>
      <c r="CHY33"/>
      <c r="CHZ33"/>
      <c r="CIA33"/>
      <c r="CIB33"/>
      <c r="CIC33"/>
      <c r="CID33"/>
      <c r="CIE33"/>
      <c r="CIF33"/>
      <c r="CIG33"/>
      <c r="CIH33"/>
      <c r="CII33"/>
      <c r="CIJ33"/>
      <c r="CIK33"/>
      <c r="CIL33"/>
      <c r="CIM33"/>
      <c r="CIN33"/>
      <c r="CIO33"/>
      <c r="CIP33"/>
      <c r="CIQ33"/>
      <c r="CIR33"/>
      <c r="CIS33"/>
      <c r="CIT33"/>
      <c r="CIU33"/>
      <c r="CIV33"/>
      <c r="CIW33"/>
      <c r="CIX33"/>
      <c r="CIY33"/>
      <c r="CIZ33"/>
      <c r="CJA33"/>
      <c r="CJB33"/>
      <c r="CJC33"/>
      <c r="CJD33"/>
      <c r="CJE33"/>
      <c r="CJF33"/>
      <c r="CJG33"/>
      <c r="CJH33"/>
      <c r="CJI33"/>
      <c r="CJJ33"/>
      <c r="CJK33"/>
      <c r="CJL33"/>
      <c r="CJM33"/>
      <c r="CJN33"/>
      <c r="CJO33"/>
      <c r="CJP33"/>
      <c r="CJQ33"/>
      <c r="CJR33"/>
      <c r="CJS33"/>
      <c r="CJT33"/>
      <c r="CJU33"/>
      <c r="CJV33"/>
      <c r="CJW33"/>
      <c r="CJX33"/>
      <c r="CJY33"/>
      <c r="CJZ33"/>
      <c r="CKA33"/>
      <c r="CKB33"/>
      <c r="CKC33"/>
      <c r="CKD33"/>
      <c r="CKE33"/>
      <c r="CKF33"/>
      <c r="CKG33"/>
      <c r="CKH33"/>
      <c r="CKI33"/>
      <c r="CKJ33"/>
      <c r="CKK33"/>
      <c r="CKL33"/>
      <c r="CKM33"/>
      <c r="CKN33"/>
      <c r="CKO33"/>
      <c r="CKP33"/>
      <c r="CKQ33"/>
      <c r="CKR33"/>
      <c r="CKS33"/>
      <c r="CKT33"/>
      <c r="CKU33"/>
      <c r="CKV33"/>
      <c r="CKW33"/>
      <c r="CKX33"/>
      <c r="CKY33"/>
      <c r="CKZ33"/>
      <c r="CLA33"/>
      <c r="CLB33"/>
      <c r="CLC33"/>
      <c r="CLD33"/>
      <c r="CLE33"/>
      <c r="CLF33"/>
      <c r="CLG33"/>
      <c r="CLH33"/>
      <c r="CLI33"/>
      <c r="CLJ33"/>
      <c r="CLK33"/>
      <c r="CLL33"/>
      <c r="CLM33"/>
      <c r="CLN33"/>
      <c r="CLO33"/>
      <c r="CLP33"/>
      <c r="CLQ33"/>
      <c r="CLR33"/>
      <c r="CLS33"/>
      <c r="CLT33"/>
      <c r="CLU33"/>
      <c r="CLV33"/>
      <c r="CLW33"/>
      <c r="CLX33"/>
      <c r="CLY33"/>
      <c r="CLZ33"/>
      <c r="CMA33"/>
      <c r="CMB33"/>
      <c r="CMC33"/>
      <c r="CMD33"/>
      <c r="CME33"/>
      <c r="CMF33"/>
      <c r="CMG33"/>
      <c r="CMH33"/>
      <c r="CMI33"/>
      <c r="CMJ33"/>
      <c r="CMK33"/>
      <c r="CML33"/>
      <c r="CMM33"/>
      <c r="CMN33"/>
      <c r="CMO33"/>
      <c r="CMP33"/>
      <c r="CMQ33"/>
      <c r="CMR33"/>
      <c r="CMS33"/>
      <c r="CMT33"/>
      <c r="CMU33"/>
      <c r="CMV33"/>
      <c r="CMW33"/>
      <c r="CMX33"/>
      <c r="CMY33"/>
      <c r="CMZ33"/>
      <c r="CNA33"/>
      <c r="CNB33"/>
      <c r="CNC33"/>
      <c r="CND33"/>
      <c r="CNE33"/>
      <c r="CNF33"/>
      <c r="CNG33"/>
      <c r="CNH33"/>
      <c r="CNI33"/>
      <c r="CNJ33"/>
      <c r="CNK33"/>
      <c r="CNL33"/>
      <c r="CNM33"/>
      <c r="CNN33"/>
      <c r="CNO33"/>
      <c r="CNP33"/>
      <c r="CNQ33"/>
      <c r="CNR33"/>
      <c r="CNS33"/>
      <c r="CNT33"/>
      <c r="CNU33"/>
      <c r="CNV33"/>
      <c r="CNW33"/>
      <c r="CNX33"/>
      <c r="CNY33"/>
      <c r="CNZ33"/>
      <c r="COA33"/>
      <c r="COB33"/>
      <c r="COC33"/>
      <c r="COD33"/>
      <c r="COE33"/>
      <c r="COF33"/>
      <c r="COG33"/>
      <c r="COH33"/>
      <c r="COI33"/>
      <c r="COJ33"/>
      <c r="COK33"/>
      <c r="COL33"/>
      <c r="COM33"/>
      <c r="CON33"/>
      <c r="COO33"/>
      <c r="COP33"/>
      <c r="COQ33"/>
      <c r="COR33"/>
      <c r="COS33"/>
      <c r="COT33"/>
      <c r="COU33"/>
      <c r="COV33"/>
      <c r="COW33"/>
      <c r="COX33"/>
      <c r="COY33"/>
      <c r="COZ33"/>
      <c r="CPA33"/>
      <c r="CPB33"/>
      <c r="CPC33"/>
      <c r="CPD33"/>
      <c r="CPE33"/>
      <c r="CPF33"/>
      <c r="CPG33"/>
      <c r="CPH33"/>
      <c r="CPI33"/>
      <c r="CPJ33"/>
      <c r="CPK33"/>
      <c r="CPL33"/>
      <c r="CPM33"/>
      <c r="CPN33"/>
      <c r="CPO33"/>
      <c r="CPP33"/>
      <c r="CPQ33"/>
      <c r="CPR33"/>
      <c r="CPS33"/>
      <c r="CPT33"/>
      <c r="CPU33"/>
      <c r="CPV33"/>
      <c r="CPW33"/>
      <c r="CPX33"/>
      <c r="CPY33"/>
      <c r="CPZ33"/>
      <c r="CQA33"/>
      <c r="CQB33"/>
      <c r="CQC33"/>
      <c r="CQD33"/>
      <c r="CQE33"/>
      <c r="CQF33"/>
      <c r="CQG33"/>
      <c r="CQH33"/>
      <c r="CQI33"/>
      <c r="CQJ33"/>
      <c r="CQK33"/>
      <c r="CQL33"/>
      <c r="CQM33"/>
      <c r="CQN33"/>
      <c r="CQO33"/>
      <c r="CQP33"/>
      <c r="CQQ33"/>
      <c r="CQR33"/>
      <c r="CQS33"/>
      <c r="CQT33"/>
      <c r="CQU33"/>
      <c r="CQV33"/>
      <c r="CQW33"/>
      <c r="CQX33"/>
      <c r="CQY33"/>
      <c r="CQZ33"/>
      <c r="CRA33"/>
      <c r="CRB33"/>
      <c r="CRC33"/>
      <c r="CRD33"/>
      <c r="CRE33"/>
      <c r="CRF33"/>
      <c r="CRG33"/>
      <c r="CRH33"/>
      <c r="CRI33"/>
      <c r="CRJ33"/>
      <c r="CRK33"/>
      <c r="CRL33"/>
      <c r="CRM33"/>
      <c r="CRN33"/>
      <c r="CRO33"/>
      <c r="CRP33"/>
      <c r="CRQ33"/>
      <c r="CRR33"/>
      <c r="CRS33"/>
      <c r="CRT33"/>
      <c r="CRU33"/>
      <c r="CRV33"/>
      <c r="CRW33"/>
      <c r="CRX33"/>
      <c r="CRY33"/>
      <c r="CRZ33"/>
      <c r="CSA33"/>
      <c r="CSB33"/>
      <c r="CSC33"/>
      <c r="CSD33"/>
      <c r="CSE33"/>
      <c r="CSF33"/>
      <c r="CSG33"/>
      <c r="CSH33"/>
      <c r="CSI33"/>
      <c r="CSJ33"/>
      <c r="CSK33"/>
      <c r="CSL33"/>
      <c r="CSM33"/>
      <c r="CSN33"/>
      <c r="CSO33"/>
      <c r="CSP33"/>
      <c r="CSQ33"/>
      <c r="CSR33"/>
      <c r="CSS33"/>
      <c r="CST33"/>
      <c r="CSU33"/>
      <c r="CSV33"/>
      <c r="CSW33"/>
      <c r="CSX33"/>
      <c r="CSY33"/>
      <c r="CSZ33"/>
      <c r="CTA33"/>
      <c r="CTB33"/>
      <c r="CTC33"/>
      <c r="CTD33"/>
      <c r="CTE33"/>
      <c r="CTF33"/>
      <c r="CTG33"/>
      <c r="CTH33"/>
      <c r="CTI33"/>
      <c r="CTJ33"/>
      <c r="CTK33"/>
      <c r="CTL33"/>
      <c r="CTM33"/>
      <c r="CTN33"/>
      <c r="CTO33"/>
      <c r="CTP33"/>
      <c r="CTQ33"/>
      <c r="CTR33"/>
      <c r="CTS33"/>
      <c r="CTT33"/>
      <c r="CTU33"/>
      <c r="CTV33"/>
      <c r="CTW33"/>
      <c r="CTX33"/>
      <c r="CTY33"/>
      <c r="CTZ33"/>
      <c r="CUA33"/>
      <c r="CUB33"/>
      <c r="CUC33"/>
      <c r="CUD33"/>
      <c r="CUE33"/>
      <c r="CUF33"/>
      <c r="CUG33"/>
      <c r="CUH33"/>
      <c r="CUI33"/>
      <c r="CUJ33"/>
      <c r="CUK33"/>
      <c r="CUL33"/>
      <c r="CUM33"/>
      <c r="CUN33"/>
      <c r="CUO33"/>
      <c r="CUP33"/>
      <c r="CUQ33"/>
      <c r="CUR33"/>
      <c r="CUS33"/>
      <c r="CUT33"/>
      <c r="CUU33"/>
      <c r="CUV33"/>
      <c r="CUW33"/>
      <c r="CUX33"/>
      <c r="CUY33"/>
      <c r="CUZ33"/>
      <c r="CVA33"/>
      <c r="CVB33"/>
      <c r="CVC33"/>
      <c r="CVD33"/>
      <c r="CVE33"/>
      <c r="CVF33"/>
      <c r="CVG33"/>
      <c r="CVH33"/>
      <c r="CVI33"/>
      <c r="CVJ33"/>
      <c r="CVK33"/>
      <c r="CVL33"/>
      <c r="CVM33"/>
      <c r="CVN33"/>
      <c r="CVO33"/>
      <c r="CVP33"/>
      <c r="CVQ33"/>
      <c r="CVR33"/>
      <c r="CVS33"/>
      <c r="CVT33"/>
      <c r="CVU33"/>
      <c r="CVV33"/>
      <c r="CVW33"/>
      <c r="CVX33"/>
      <c r="CVY33"/>
      <c r="CVZ33"/>
      <c r="CWA33"/>
      <c r="CWB33"/>
      <c r="CWC33"/>
      <c r="CWD33"/>
      <c r="CWE33"/>
      <c r="CWF33"/>
      <c r="CWG33"/>
      <c r="CWH33"/>
      <c r="CWI33"/>
      <c r="CWJ33"/>
      <c r="CWK33"/>
      <c r="CWL33"/>
      <c r="CWM33"/>
      <c r="CWN33"/>
      <c r="CWO33"/>
      <c r="CWP33"/>
      <c r="CWQ33"/>
      <c r="CWR33"/>
      <c r="CWS33"/>
      <c r="CWT33"/>
      <c r="CWU33"/>
      <c r="CWV33"/>
      <c r="CWW33"/>
      <c r="CWX33"/>
      <c r="CWY33"/>
      <c r="CWZ33"/>
      <c r="CXA33"/>
      <c r="CXB33"/>
      <c r="CXC33"/>
      <c r="CXD33"/>
      <c r="CXE33"/>
      <c r="CXF33"/>
      <c r="CXG33"/>
      <c r="CXH33"/>
      <c r="CXI33"/>
      <c r="CXJ33"/>
      <c r="CXK33"/>
      <c r="CXL33"/>
      <c r="CXM33"/>
      <c r="CXN33"/>
      <c r="CXO33"/>
      <c r="CXP33"/>
      <c r="CXQ33"/>
      <c r="CXR33"/>
      <c r="CXS33"/>
      <c r="CXT33"/>
      <c r="CXU33"/>
      <c r="CXV33"/>
      <c r="CXW33"/>
      <c r="CXX33"/>
      <c r="CXY33"/>
      <c r="CXZ33"/>
      <c r="CYA33"/>
      <c r="CYB33"/>
      <c r="CYC33"/>
      <c r="CYD33"/>
      <c r="CYE33"/>
      <c r="CYF33"/>
      <c r="CYG33"/>
      <c r="CYH33"/>
      <c r="CYI33"/>
      <c r="CYJ33"/>
      <c r="CYK33"/>
      <c r="CYL33"/>
      <c r="CYM33"/>
      <c r="CYN33"/>
      <c r="CYO33"/>
      <c r="CYP33"/>
      <c r="CYQ33"/>
      <c r="CYR33"/>
      <c r="CYS33"/>
      <c r="CYT33"/>
      <c r="CYU33"/>
      <c r="CYV33"/>
      <c r="CYW33"/>
      <c r="CYX33"/>
      <c r="CYY33"/>
      <c r="CYZ33"/>
      <c r="CZA33"/>
      <c r="CZB33"/>
      <c r="CZC33"/>
      <c r="CZD33"/>
      <c r="CZE33"/>
      <c r="CZF33"/>
      <c r="CZG33"/>
      <c r="CZH33"/>
      <c r="CZI33"/>
      <c r="CZJ33"/>
      <c r="CZK33"/>
      <c r="CZL33"/>
      <c r="CZM33"/>
      <c r="CZN33"/>
      <c r="CZO33"/>
      <c r="CZP33"/>
      <c r="CZQ33"/>
      <c r="CZR33"/>
      <c r="CZS33"/>
      <c r="CZT33"/>
      <c r="CZU33"/>
      <c r="CZV33"/>
      <c r="CZW33"/>
      <c r="CZX33"/>
      <c r="CZY33"/>
      <c r="CZZ33"/>
      <c r="DAA33"/>
      <c r="DAB33"/>
      <c r="DAC33"/>
      <c r="DAD33"/>
      <c r="DAE33"/>
      <c r="DAF33"/>
      <c r="DAG33"/>
      <c r="DAH33"/>
      <c r="DAI33"/>
      <c r="DAJ33"/>
      <c r="DAK33"/>
      <c r="DAL33"/>
      <c r="DAM33"/>
      <c r="DAN33"/>
      <c r="DAO33"/>
      <c r="DAP33"/>
      <c r="DAQ33"/>
      <c r="DAR33"/>
      <c r="DAS33"/>
      <c r="DAT33"/>
      <c r="DAU33"/>
      <c r="DAV33"/>
      <c r="DAW33"/>
      <c r="DAX33"/>
      <c r="DAY33"/>
      <c r="DAZ33"/>
      <c r="DBA33"/>
      <c r="DBB33"/>
      <c r="DBC33"/>
      <c r="DBD33"/>
      <c r="DBE33"/>
      <c r="DBF33"/>
      <c r="DBG33"/>
      <c r="DBH33"/>
      <c r="DBI33"/>
      <c r="DBJ33"/>
      <c r="DBK33"/>
      <c r="DBL33"/>
      <c r="DBM33"/>
      <c r="DBN33"/>
      <c r="DBO33"/>
      <c r="DBP33"/>
      <c r="DBQ33"/>
      <c r="DBR33"/>
      <c r="DBS33"/>
      <c r="DBT33"/>
      <c r="DBU33"/>
      <c r="DBV33"/>
      <c r="DBW33"/>
      <c r="DBX33"/>
      <c r="DBY33"/>
      <c r="DBZ33"/>
      <c r="DCA33"/>
      <c r="DCB33"/>
      <c r="DCC33"/>
      <c r="DCD33"/>
      <c r="DCE33"/>
      <c r="DCF33"/>
      <c r="DCG33"/>
      <c r="DCH33"/>
      <c r="DCI33"/>
      <c r="DCJ33"/>
      <c r="DCK33"/>
      <c r="DCL33"/>
      <c r="DCM33"/>
      <c r="DCN33"/>
      <c r="DCO33"/>
      <c r="DCP33"/>
      <c r="DCQ33"/>
      <c r="DCR33"/>
      <c r="DCS33"/>
      <c r="DCT33"/>
      <c r="DCU33"/>
      <c r="DCV33"/>
      <c r="DCW33"/>
      <c r="DCX33"/>
      <c r="DCY33"/>
      <c r="DCZ33"/>
      <c r="DDA33"/>
      <c r="DDB33"/>
      <c r="DDC33"/>
      <c r="DDD33"/>
      <c r="DDE33"/>
      <c r="DDF33"/>
      <c r="DDG33"/>
      <c r="DDH33"/>
      <c r="DDI33"/>
      <c r="DDJ33"/>
      <c r="DDK33"/>
      <c r="DDL33"/>
      <c r="DDM33"/>
      <c r="DDN33"/>
      <c r="DDO33"/>
      <c r="DDP33"/>
      <c r="DDQ33"/>
      <c r="DDR33"/>
      <c r="DDS33"/>
      <c r="DDT33"/>
      <c r="DDU33"/>
      <c r="DDV33"/>
      <c r="DDW33"/>
      <c r="DDX33"/>
      <c r="DDY33"/>
      <c r="DDZ33"/>
      <c r="DEA33"/>
      <c r="DEB33"/>
      <c r="DEC33"/>
      <c r="DED33"/>
      <c r="DEE33"/>
      <c r="DEF33"/>
      <c r="DEG33"/>
      <c r="DEH33"/>
      <c r="DEI33"/>
      <c r="DEJ33"/>
      <c r="DEK33"/>
      <c r="DEL33"/>
      <c r="DEM33"/>
      <c r="DEN33"/>
      <c r="DEO33"/>
      <c r="DEP33"/>
      <c r="DEQ33"/>
      <c r="DER33"/>
      <c r="DES33"/>
      <c r="DET33"/>
      <c r="DEU33"/>
      <c r="DEV33"/>
      <c r="DEW33"/>
      <c r="DEX33"/>
      <c r="DEY33"/>
      <c r="DEZ33"/>
      <c r="DFA33"/>
      <c r="DFB33"/>
      <c r="DFC33"/>
      <c r="DFD33"/>
      <c r="DFE33"/>
      <c r="DFF33"/>
      <c r="DFG33"/>
      <c r="DFH33"/>
      <c r="DFI33"/>
      <c r="DFJ33"/>
      <c r="DFK33"/>
      <c r="DFL33"/>
      <c r="DFM33"/>
      <c r="DFN33"/>
      <c r="DFO33"/>
      <c r="DFP33"/>
      <c r="DFQ33"/>
      <c r="DFR33"/>
      <c r="DFS33"/>
      <c r="DFT33"/>
      <c r="DFU33"/>
      <c r="DFV33"/>
      <c r="DFW33"/>
      <c r="DFX33"/>
      <c r="DFY33"/>
      <c r="DFZ33"/>
      <c r="DGA33"/>
      <c r="DGB33"/>
      <c r="DGC33"/>
      <c r="DGD33"/>
      <c r="DGE33"/>
      <c r="DGF33"/>
      <c r="DGG33"/>
      <c r="DGH33"/>
      <c r="DGI33"/>
      <c r="DGJ33"/>
      <c r="DGK33"/>
      <c r="DGL33"/>
      <c r="DGM33"/>
      <c r="DGN33"/>
      <c r="DGO33"/>
      <c r="DGP33"/>
      <c r="DGQ33"/>
      <c r="DGR33"/>
      <c r="DGS33"/>
      <c r="DGT33"/>
      <c r="DGU33"/>
      <c r="DGV33"/>
      <c r="DGW33"/>
      <c r="DGX33"/>
      <c r="DGY33"/>
      <c r="DGZ33"/>
      <c r="DHA33"/>
      <c r="DHB33"/>
      <c r="DHC33"/>
      <c r="DHD33"/>
      <c r="DHE33"/>
      <c r="DHF33"/>
      <c r="DHG33"/>
      <c r="DHH33"/>
      <c r="DHI33"/>
      <c r="DHJ33"/>
      <c r="DHK33"/>
      <c r="DHL33"/>
      <c r="DHM33"/>
      <c r="DHN33"/>
      <c r="DHO33"/>
      <c r="DHP33"/>
      <c r="DHQ33"/>
      <c r="DHR33"/>
      <c r="DHS33"/>
      <c r="DHT33"/>
      <c r="DHU33"/>
      <c r="DHV33"/>
      <c r="DHW33"/>
      <c r="DHX33"/>
      <c r="DHY33"/>
      <c r="DHZ33"/>
      <c r="DIA33"/>
      <c r="DIB33"/>
      <c r="DIC33"/>
      <c r="DID33"/>
      <c r="DIE33"/>
      <c r="DIF33"/>
      <c r="DIG33"/>
      <c r="DIH33"/>
      <c r="DII33"/>
      <c r="DIJ33"/>
      <c r="DIK33"/>
      <c r="DIL33"/>
      <c r="DIM33"/>
      <c r="DIN33"/>
      <c r="DIO33"/>
      <c r="DIP33"/>
      <c r="DIQ33"/>
      <c r="DIR33"/>
      <c r="DIS33"/>
      <c r="DIT33"/>
      <c r="DIU33"/>
      <c r="DIV33"/>
      <c r="DIW33"/>
      <c r="DIX33"/>
      <c r="DIY33"/>
      <c r="DIZ33"/>
      <c r="DJA33"/>
      <c r="DJB33"/>
      <c r="DJC33"/>
      <c r="DJD33"/>
      <c r="DJE33"/>
      <c r="DJF33"/>
      <c r="DJG33"/>
      <c r="DJH33"/>
      <c r="DJI33"/>
      <c r="DJJ33"/>
      <c r="DJK33"/>
      <c r="DJL33"/>
      <c r="DJM33"/>
      <c r="DJN33"/>
      <c r="DJO33"/>
      <c r="DJP33"/>
      <c r="DJQ33"/>
      <c r="DJR33"/>
      <c r="DJS33"/>
      <c r="DJT33"/>
      <c r="DJU33"/>
      <c r="DJV33"/>
      <c r="DJW33"/>
      <c r="DJX33"/>
      <c r="DJY33"/>
      <c r="DJZ33"/>
      <c r="DKA33"/>
      <c r="DKB33"/>
      <c r="DKC33"/>
      <c r="DKD33"/>
      <c r="DKE33"/>
      <c r="DKF33"/>
      <c r="DKG33"/>
      <c r="DKH33"/>
      <c r="DKI33"/>
      <c r="DKJ33"/>
      <c r="DKK33"/>
      <c r="DKL33"/>
      <c r="DKM33"/>
      <c r="DKN33"/>
      <c r="DKO33"/>
      <c r="DKP33"/>
      <c r="DKQ33"/>
      <c r="DKR33"/>
      <c r="DKS33"/>
      <c r="DKT33"/>
      <c r="DKU33"/>
      <c r="DKV33"/>
      <c r="DKW33"/>
      <c r="DKX33"/>
      <c r="DKY33"/>
      <c r="DKZ33"/>
      <c r="DLA33"/>
      <c r="DLB33"/>
      <c r="DLC33"/>
      <c r="DLD33"/>
      <c r="DLE33"/>
      <c r="DLF33"/>
      <c r="DLG33"/>
      <c r="DLH33"/>
      <c r="DLI33"/>
      <c r="DLJ33"/>
      <c r="DLK33"/>
      <c r="DLL33"/>
      <c r="DLM33"/>
      <c r="DLN33"/>
      <c r="DLO33"/>
      <c r="DLP33"/>
      <c r="DLQ33"/>
      <c r="DLR33"/>
      <c r="DLS33"/>
      <c r="DLT33"/>
      <c r="DLU33"/>
      <c r="DLV33"/>
      <c r="DLW33"/>
      <c r="DLX33"/>
      <c r="DLY33"/>
      <c r="DLZ33"/>
      <c r="DMA33"/>
      <c r="DMB33"/>
      <c r="DMC33"/>
      <c r="DMD33"/>
      <c r="DME33"/>
      <c r="DMF33"/>
      <c r="DMG33"/>
      <c r="DMH33"/>
      <c r="DMI33"/>
      <c r="DMJ33"/>
      <c r="DMK33"/>
      <c r="DML33"/>
      <c r="DMM33"/>
      <c r="DMN33"/>
      <c r="DMO33"/>
      <c r="DMP33"/>
      <c r="DMQ33"/>
      <c r="DMR33"/>
      <c r="DMS33"/>
      <c r="DMT33"/>
      <c r="DMU33"/>
      <c r="DMV33"/>
      <c r="DMW33"/>
      <c r="DMX33"/>
      <c r="DMY33"/>
      <c r="DMZ33"/>
      <c r="DNA33"/>
      <c r="DNB33"/>
      <c r="DNC33"/>
      <c r="DND33"/>
      <c r="DNE33"/>
      <c r="DNF33"/>
      <c r="DNG33"/>
      <c r="DNH33"/>
      <c r="DNI33"/>
      <c r="DNJ33"/>
      <c r="DNK33"/>
      <c r="DNL33"/>
      <c r="DNM33"/>
      <c r="DNN33"/>
      <c r="DNO33"/>
      <c r="DNP33"/>
      <c r="DNQ33"/>
      <c r="DNR33"/>
      <c r="DNS33"/>
      <c r="DNT33"/>
      <c r="DNU33"/>
      <c r="DNV33"/>
      <c r="DNW33"/>
      <c r="DNX33"/>
      <c r="DNY33"/>
      <c r="DNZ33"/>
      <c r="DOA33"/>
      <c r="DOB33"/>
      <c r="DOC33"/>
      <c r="DOD33"/>
      <c r="DOE33"/>
      <c r="DOF33"/>
      <c r="DOG33"/>
      <c r="DOH33"/>
      <c r="DOI33"/>
      <c r="DOJ33"/>
      <c r="DOK33"/>
      <c r="DOL33"/>
      <c r="DOM33"/>
      <c r="DON33"/>
      <c r="DOO33"/>
      <c r="DOP33"/>
      <c r="DOQ33"/>
      <c r="DOR33"/>
      <c r="DOS33"/>
      <c r="DOT33"/>
      <c r="DOU33"/>
      <c r="DOV33"/>
      <c r="DOW33"/>
      <c r="DOX33"/>
      <c r="DOY33"/>
      <c r="DOZ33"/>
      <c r="DPA33"/>
      <c r="DPB33"/>
      <c r="DPC33"/>
      <c r="DPD33"/>
      <c r="DPE33"/>
      <c r="DPF33"/>
      <c r="DPG33"/>
      <c r="DPH33"/>
      <c r="DPI33"/>
      <c r="DPJ33"/>
      <c r="DPK33"/>
      <c r="DPL33"/>
      <c r="DPM33"/>
      <c r="DPN33"/>
      <c r="DPO33"/>
      <c r="DPP33"/>
      <c r="DPQ33"/>
      <c r="DPR33"/>
      <c r="DPS33"/>
      <c r="DPT33"/>
      <c r="DPU33"/>
      <c r="DPV33"/>
      <c r="DPW33"/>
      <c r="DPX33"/>
      <c r="DPY33"/>
      <c r="DPZ33"/>
      <c r="DQA33"/>
      <c r="DQB33"/>
      <c r="DQC33"/>
      <c r="DQD33"/>
      <c r="DQE33"/>
      <c r="DQF33"/>
      <c r="DQG33"/>
      <c r="DQH33"/>
      <c r="DQI33"/>
      <c r="DQJ33"/>
      <c r="DQK33"/>
      <c r="DQL33"/>
      <c r="DQM33"/>
      <c r="DQN33"/>
      <c r="DQO33"/>
      <c r="DQP33"/>
      <c r="DQQ33"/>
      <c r="DQR33"/>
      <c r="DQS33"/>
      <c r="DQT33"/>
      <c r="DQU33"/>
      <c r="DQV33"/>
      <c r="DQW33"/>
      <c r="DQX33"/>
      <c r="DQY33"/>
      <c r="DQZ33"/>
      <c r="DRA33"/>
      <c r="DRB33"/>
      <c r="DRC33"/>
      <c r="DRD33"/>
      <c r="DRE33"/>
      <c r="DRF33"/>
      <c r="DRG33"/>
      <c r="DRH33"/>
      <c r="DRI33"/>
      <c r="DRJ33"/>
      <c r="DRK33"/>
      <c r="DRL33"/>
      <c r="DRM33"/>
      <c r="DRN33"/>
      <c r="DRO33"/>
      <c r="DRP33"/>
      <c r="DRQ33"/>
      <c r="DRR33"/>
      <c r="DRS33"/>
      <c r="DRT33"/>
      <c r="DRU33"/>
      <c r="DRV33"/>
      <c r="DRW33"/>
      <c r="DRX33"/>
      <c r="DRY33"/>
      <c r="DRZ33"/>
      <c r="DSA33"/>
      <c r="DSB33"/>
      <c r="DSC33"/>
      <c r="DSD33"/>
      <c r="DSE33"/>
      <c r="DSF33"/>
      <c r="DSG33"/>
      <c r="DSH33"/>
      <c r="DSI33"/>
      <c r="DSJ33"/>
      <c r="DSK33"/>
      <c r="DSL33"/>
      <c r="DSM33"/>
      <c r="DSN33"/>
      <c r="DSO33"/>
      <c r="DSP33"/>
      <c r="DSQ33"/>
      <c r="DSR33"/>
      <c r="DSS33"/>
      <c r="DST33"/>
      <c r="DSU33"/>
      <c r="DSV33"/>
      <c r="DSW33"/>
      <c r="DSX33"/>
      <c r="DSY33"/>
      <c r="DSZ33"/>
      <c r="DTA33"/>
      <c r="DTB33"/>
      <c r="DTC33"/>
      <c r="DTD33"/>
      <c r="DTE33"/>
      <c r="DTF33"/>
      <c r="DTG33"/>
      <c r="DTH33"/>
      <c r="DTI33"/>
      <c r="DTJ33"/>
      <c r="DTK33"/>
      <c r="DTL33"/>
      <c r="DTM33"/>
      <c r="DTN33"/>
      <c r="DTO33"/>
      <c r="DTP33"/>
      <c r="DTQ33"/>
      <c r="DTR33"/>
      <c r="DTS33"/>
      <c r="DTT33"/>
      <c r="DTU33"/>
      <c r="DTV33"/>
      <c r="DTW33"/>
      <c r="DTX33"/>
      <c r="DTY33"/>
      <c r="DTZ33"/>
      <c r="DUA33"/>
      <c r="DUB33"/>
      <c r="DUC33"/>
      <c r="DUD33"/>
      <c r="DUE33"/>
      <c r="DUF33"/>
      <c r="DUG33"/>
      <c r="DUH33"/>
      <c r="DUI33"/>
      <c r="DUJ33"/>
      <c r="DUK33"/>
      <c r="DUL33"/>
      <c r="DUM33"/>
      <c r="DUN33"/>
      <c r="DUO33"/>
      <c r="DUP33"/>
      <c r="DUQ33"/>
      <c r="DUR33"/>
      <c r="DUS33"/>
      <c r="DUT33"/>
      <c r="DUU33"/>
      <c r="DUV33"/>
      <c r="DUW33"/>
      <c r="DUX33"/>
      <c r="DUY33"/>
      <c r="DUZ33"/>
      <c r="DVA33"/>
      <c r="DVB33"/>
      <c r="DVC33"/>
      <c r="DVD33"/>
      <c r="DVE33"/>
      <c r="DVF33"/>
      <c r="DVG33"/>
      <c r="DVH33"/>
      <c r="DVI33"/>
      <c r="DVJ33"/>
      <c r="DVK33"/>
      <c r="DVL33"/>
      <c r="DVM33"/>
      <c r="DVN33"/>
      <c r="DVO33"/>
      <c r="DVP33"/>
      <c r="DVQ33"/>
      <c r="DVR33"/>
      <c r="DVS33"/>
      <c r="DVT33"/>
      <c r="DVU33"/>
      <c r="DVV33"/>
      <c r="DVW33"/>
      <c r="DVX33"/>
      <c r="DVY33"/>
      <c r="DVZ33"/>
      <c r="DWA33"/>
      <c r="DWB33"/>
      <c r="DWC33"/>
      <c r="DWD33"/>
      <c r="DWE33"/>
      <c r="DWF33"/>
      <c r="DWG33"/>
      <c r="DWH33"/>
      <c r="DWI33"/>
      <c r="DWJ33"/>
      <c r="DWK33"/>
      <c r="DWL33"/>
      <c r="DWM33"/>
      <c r="DWN33"/>
      <c r="DWO33"/>
      <c r="DWP33"/>
      <c r="DWQ33"/>
      <c r="DWR33"/>
      <c r="DWS33"/>
      <c r="DWT33"/>
      <c r="DWU33"/>
      <c r="DWV33"/>
      <c r="DWW33"/>
      <c r="DWX33"/>
      <c r="DWY33"/>
      <c r="DWZ33"/>
      <c r="DXA33"/>
      <c r="DXB33"/>
      <c r="DXC33"/>
      <c r="DXD33"/>
      <c r="DXE33"/>
      <c r="DXF33"/>
      <c r="DXG33"/>
      <c r="DXH33"/>
      <c r="DXI33"/>
      <c r="DXJ33"/>
      <c r="DXK33"/>
      <c r="DXL33"/>
      <c r="DXM33"/>
      <c r="DXN33"/>
      <c r="DXO33"/>
      <c r="DXP33"/>
      <c r="DXQ33"/>
      <c r="DXR33"/>
      <c r="DXS33"/>
      <c r="DXT33"/>
      <c r="DXU33"/>
      <c r="DXV33"/>
      <c r="DXW33"/>
      <c r="DXX33"/>
      <c r="DXY33"/>
      <c r="DXZ33"/>
      <c r="DYA33"/>
      <c r="DYB33"/>
      <c r="DYC33"/>
      <c r="DYD33"/>
      <c r="DYE33"/>
      <c r="DYF33"/>
      <c r="DYG33"/>
      <c r="DYH33"/>
      <c r="DYI33"/>
      <c r="DYJ33"/>
      <c r="DYK33"/>
      <c r="DYL33"/>
      <c r="DYM33"/>
      <c r="DYN33"/>
      <c r="DYO33"/>
      <c r="DYP33"/>
      <c r="DYQ33"/>
      <c r="DYR33"/>
      <c r="DYS33"/>
      <c r="DYT33"/>
      <c r="DYU33"/>
      <c r="DYV33"/>
      <c r="DYW33"/>
      <c r="DYX33"/>
      <c r="DYY33"/>
      <c r="DYZ33"/>
      <c r="DZA33"/>
      <c r="DZB33"/>
      <c r="DZC33"/>
      <c r="DZD33"/>
      <c r="DZE33"/>
      <c r="DZF33"/>
      <c r="DZG33"/>
      <c r="DZH33"/>
      <c r="DZI33"/>
      <c r="DZJ33"/>
      <c r="DZK33"/>
      <c r="DZL33"/>
      <c r="DZM33"/>
      <c r="DZN33"/>
      <c r="DZO33"/>
      <c r="DZP33"/>
      <c r="DZQ33"/>
      <c r="DZR33"/>
      <c r="DZS33"/>
      <c r="DZT33"/>
      <c r="DZU33"/>
      <c r="DZV33"/>
      <c r="DZW33"/>
      <c r="DZX33"/>
      <c r="DZY33"/>
      <c r="DZZ33"/>
      <c r="EAA33"/>
      <c r="EAB33"/>
      <c r="EAC33"/>
      <c r="EAD33"/>
      <c r="EAE33"/>
      <c r="EAF33"/>
      <c r="EAG33"/>
      <c r="EAH33"/>
      <c r="EAI33"/>
      <c r="EAJ33"/>
      <c r="EAK33"/>
      <c r="EAL33"/>
      <c r="EAM33"/>
      <c r="EAN33"/>
      <c r="EAO33"/>
      <c r="EAP33"/>
      <c r="EAQ33"/>
      <c r="EAR33"/>
      <c r="EAS33"/>
      <c r="EAT33"/>
      <c r="EAU33"/>
      <c r="EAV33"/>
      <c r="EAW33"/>
      <c r="EAX33"/>
      <c r="EAY33"/>
      <c r="EAZ33"/>
      <c r="EBA33"/>
      <c r="EBB33"/>
      <c r="EBC33"/>
      <c r="EBD33"/>
      <c r="EBE33"/>
      <c r="EBF33"/>
      <c r="EBG33"/>
      <c r="EBH33"/>
      <c r="EBI33"/>
      <c r="EBJ33"/>
      <c r="EBK33"/>
      <c r="EBL33"/>
      <c r="EBM33"/>
      <c r="EBN33"/>
      <c r="EBO33"/>
      <c r="EBP33"/>
      <c r="EBQ33"/>
      <c r="EBR33"/>
      <c r="EBS33"/>
      <c r="EBT33"/>
      <c r="EBU33"/>
      <c r="EBV33"/>
      <c r="EBW33"/>
      <c r="EBX33"/>
      <c r="EBY33"/>
      <c r="EBZ33"/>
      <c r="ECA33"/>
      <c r="ECB33"/>
      <c r="ECC33"/>
      <c r="ECD33"/>
      <c r="ECE33"/>
      <c r="ECF33"/>
      <c r="ECG33"/>
      <c r="ECH33"/>
      <c r="ECI33"/>
      <c r="ECJ33"/>
      <c r="ECK33"/>
      <c r="ECL33"/>
      <c r="ECM33"/>
      <c r="ECN33"/>
      <c r="ECO33"/>
      <c r="ECP33"/>
      <c r="ECQ33"/>
      <c r="ECR33"/>
      <c r="ECS33"/>
      <c r="ECT33"/>
      <c r="ECU33"/>
      <c r="ECV33"/>
      <c r="ECW33"/>
      <c r="ECX33"/>
      <c r="ECY33"/>
      <c r="ECZ33"/>
      <c r="EDA33"/>
      <c r="EDB33"/>
      <c r="EDC33"/>
      <c r="EDD33"/>
      <c r="EDE33"/>
      <c r="EDF33"/>
      <c r="EDG33"/>
      <c r="EDH33"/>
      <c r="EDI33"/>
      <c r="EDJ33"/>
      <c r="EDK33"/>
      <c r="EDL33"/>
      <c r="EDM33"/>
      <c r="EDN33"/>
      <c r="EDO33"/>
      <c r="EDP33"/>
      <c r="EDQ33"/>
      <c r="EDR33"/>
      <c r="EDS33"/>
      <c r="EDT33"/>
      <c r="EDU33"/>
      <c r="EDV33"/>
      <c r="EDW33"/>
      <c r="EDX33"/>
      <c r="EDY33"/>
      <c r="EDZ33"/>
      <c r="EEA33"/>
      <c r="EEB33"/>
      <c r="EEC33"/>
      <c r="EED33"/>
      <c r="EEE33"/>
      <c r="EEF33"/>
      <c r="EEG33"/>
      <c r="EEH33"/>
      <c r="EEI33"/>
      <c r="EEJ33"/>
      <c r="EEK33"/>
      <c r="EEL33"/>
      <c r="EEM33"/>
      <c r="EEN33"/>
      <c r="EEO33"/>
      <c r="EEP33"/>
      <c r="EEQ33"/>
      <c r="EER33"/>
      <c r="EES33"/>
      <c r="EET33"/>
      <c r="EEU33"/>
      <c r="EEV33"/>
      <c r="EEW33"/>
      <c r="EEX33"/>
      <c r="EEY33"/>
      <c r="EEZ33"/>
      <c r="EFA33"/>
      <c r="EFB33"/>
      <c r="EFC33"/>
      <c r="EFD33"/>
      <c r="EFE33"/>
      <c r="EFF33"/>
      <c r="EFG33"/>
      <c r="EFH33"/>
      <c r="EFI33"/>
      <c r="EFJ33"/>
      <c r="EFK33"/>
      <c r="EFL33"/>
      <c r="EFM33"/>
      <c r="EFN33"/>
      <c r="EFO33"/>
      <c r="EFP33"/>
      <c r="EFQ33"/>
      <c r="EFR33"/>
      <c r="EFS33"/>
      <c r="EFT33"/>
      <c r="EFU33"/>
      <c r="EFV33"/>
      <c r="EFW33"/>
      <c r="EFX33"/>
      <c r="EFY33"/>
      <c r="EFZ33"/>
      <c r="EGA33"/>
      <c r="EGB33"/>
      <c r="EGC33"/>
      <c r="EGD33"/>
      <c r="EGE33"/>
      <c r="EGF33"/>
      <c r="EGG33"/>
      <c r="EGH33"/>
      <c r="EGI33"/>
      <c r="EGJ33"/>
      <c r="EGK33"/>
      <c r="EGL33"/>
      <c r="EGM33"/>
      <c r="EGN33"/>
      <c r="EGO33"/>
      <c r="EGP33"/>
      <c r="EGQ33"/>
      <c r="EGR33"/>
      <c r="EGS33"/>
      <c r="EGT33"/>
      <c r="EGU33"/>
      <c r="EGV33"/>
      <c r="EGW33"/>
      <c r="EGX33"/>
      <c r="EGY33"/>
      <c r="EGZ33"/>
      <c r="EHA33"/>
      <c r="EHB33"/>
      <c r="EHC33"/>
      <c r="EHD33"/>
      <c r="EHE33"/>
      <c r="EHF33"/>
      <c r="EHG33"/>
      <c r="EHH33"/>
      <c r="EHI33"/>
      <c r="EHJ33"/>
      <c r="EHK33"/>
      <c r="EHL33"/>
      <c r="EHM33"/>
      <c r="EHN33"/>
      <c r="EHO33"/>
      <c r="EHP33"/>
      <c r="EHQ33"/>
      <c r="EHR33"/>
      <c r="EHS33"/>
      <c r="EHT33"/>
      <c r="EHU33"/>
      <c r="EHV33"/>
      <c r="EHW33"/>
      <c r="EHX33"/>
      <c r="EHY33"/>
      <c r="EHZ33"/>
      <c r="EIA33"/>
      <c r="EIB33"/>
      <c r="EIC33"/>
      <c r="EID33"/>
      <c r="EIE33"/>
      <c r="EIF33"/>
      <c r="EIG33"/>
      <c r="EIH33"/>
      <c r="EII33"/>
      <c r="EIJ33"/>
      <c r="EIK33"/>
      <c r="EIL33"/>
      <c r="EIM33"/>
      <c r="EIN33"/>
      <c r="EIO33"/>
      <c r="EIP33"/>
      <c r="EIQ33"/>
      <c r="EIR33"/>
      <c r="EIS33"/>
      <c r="EIT33"/>
      <c r="EIU33"/>
      <c r="EIV33"/>
      <c r="EIW33"/>
      <c r="EIX33"/>
      <c r="EIY33"/>
      <c r="EIZ33"/>
      <c r="EJA33"/>
      <c r="EJB33"/>
      <c r="EJC33"/>
      <c r="EJD33"/>
      <c r="EJE33"/>
      <c r="EJF33"/>
      <c r="EJG33"/>
      <c r="EJH33"/>
      <c r="EJI33"/>
      <c r="EJJ33"/>
      <c r="EJK33"/>
      <c r="EJL33"/>
      <c r="EJM33"/>
      <c r="EJN33"/>
      <c r="EJO33"/>
      <c r="EJP33"/>
      <c r="EJQ33"/>
      <c r="EJR33"/>
      <c r="EJS33"/>
      <c r="EJT33"/>
      <c r="EJU33"/>
      <c r="EJV33"/>
      <c r="EJW33"/>
      <c r="EJX33"/>
      <c r="EJY33"/>
      <c r="EJZ33"/>
      <c r="EKA33"/>
      <c r="EKB33"/>
      <c r="EKC33"/>
      <c r="EKD33"/>
      <c r="EKE33"/>
      <c r="EKF33"/>
      <c r="EKG33"/>
      <c r="EKH33"/>
      <c r="EKI33"/>
      <c r="EKJ33"/>
      <c r="EKK33"/>
      <c r="EKL33"/>
      <c r="EKM33"/>
      <c r="EKN33"/>
      <c r="EKO33"/>
      <c r="EKP33"/>
      <c r="EKQ33"/>
      <c r="EKR33"/>
      <c r="EKS33"/>
      <c r="EKT33"/>
      <c r="EKU33"/>
      <c r="EKV33"/>
      <c r="EKW33"/>
      <c r="EKX33"/>
      <c r="EKY33"/>
      <c r="EKZ33"/>
      <c r="ELA33"/>
      <c r="ELB33"/>
      <c r="ELC33"/>
      <c r="ELD33"/>
      <c r="ELE33"/>
      <c r="ELF33"/>
      <c r="ELG33"/>
      <c r="ELH33"/>
      <c r="ELI33"/>
      <c r="ELJ33"/>
      <c r="ELK33"/>
      <c r="ELL33"/>
      <c r="ELM33"/>
      <c r="ELN33"/>
      <c r="ELO33"/>
      <c r="ELP33"/>
      <c r="ELQ33"/>
      <c r="ELR33"/>
      <c r="ELS33"/>
      <c r="ELT33"/>
      <c r="ELU33"/>
      <c r="ELV33"/>
      <c r="ELW33"/>
      <c r="ELX33"/>
      <c r="ELY33"/>
      <c r="ELZ33"/>
      <c r="EMA33"/>
      <c r="EMB33"/>
      <c r="EMC33"/>
      <c r="EMD33"/>
      <c r="EME33"/>
      <c r="EMF33"/>
      <c r="EMG33"/>
      <c r="EMH33"/>
      <c r="EMI33"/>
      <c r="EMJ33"/>
      <c r="EMK33"/>
      <c r="EML33"/>
      <c r="EMM33"/>
      <c r="EMN33"/>
      <c r="EMO33"/>
      <c r="EMP33"/>
      <c r="EMQ33"/>
      <c r="EMR33"/>
      <c r="EMS33"/>
      <c r="EMT33"/>
      <c r="EMU33"/>
      <c r="EMV33"/>
      <c r="EMW33"/>
      <c r="EMX33"/>
      <c r="EMY33"/>
      <c r="EMZ33"/>
      <c r="ENA33"/>
      <c r="ENB33"/>
      <c r="ENC33"/>
      <c r="END33"/>
      <c r="ENE33"/>
      <c r="ENF33"/>
      <c r="ENG33"/>
      <c r="ENH33"/>
      <c r="ENI33"/>
      <c r="ENJ33"/>
      <c r="ENK33"/>
      <c r="ENL33"/>
      <c r="ENM33"/>
      <c r="ENN33"/>
      <c r="ENO33"/>
      <c r="ENP33"/>
      <c r="ENQ33"/>
      <c r="ENR33"/>
      <c r="ENS33"/>
      <c r="ENT33"/>
      <c r="ENU33"/>
      <c r="ENV33"/>
      <c r="ENW33"/>
      <c r="ENX33"/>
      <c r="ENY33"/>
      <c r="ENZ33"/>
      <c r="EOA33"/>
      <c r="EOB33"/>
      <c r="EOC33"/>
      <c r="EOD33"/>
      <c r="EOE33"/>
      <c r="EOF33"/>
      <c r="EOG33"/>
      <c r="EOH33"/>
      <c r="EOI33"/>
      <c r="EOJ33"/>
      <c r="EOK33"/>
      <c r="EOL33"/>
      <c r="EOM33"/>
      <c r="EON33"/>
      <c r="EOO33"/>
      <c r="EOP33"/>
      <c r="EOQ33"/>
      <c r="EOR33"/>
      <c r="EOS33"/>
      <c r="EOT33"/>
      <c r="EOU33"/>
      <c r="EOV33"/>
      <c r="EOW33"/>
      <c r="EOX33"/>
      <c r="EOY33"/>
      <c r="EOZ33"/>
      <c r="EPA33"/>
      <c r="EPB33"/>
      <c r="EPC33"/>
      <c r="EPD33"/>
      <c r="EPE33"/>
      <c r="EPF33"/>
      <c r="EPG33"/>
      <c r="EPH33"/>
      <c r="EPI33"/>
      <c r="EPJ33"/>
      <c r="EPK33"/>
      <c r="EPL33"/>
      <c r="EPM33"/>
      <c r="EPN33"/>
      <c r="EPO33"/>
      <c r="EPP33"/>
      <c r="EPQ33"/>
      <c r="EPR33"/>
      <c r="EPS33"/>
      <c r="EPT33"/>
      <c r="EPU33"/>
      <c r="EPV33"/>
      <c r="EPW33"/>
      <c r="EPX33"/>
      <c r="EPY33"/>
      <c r="EPZ33"/>
      <c r="EQA33"/>
      <c r="EQB33"/>
      <c r="EQC33"/>
      <c r="EQD33"/>
      <c r="EQE33"/>
      <c r="EQF33"/>
      <c r="EQG33"/>
      <c r="EQH33"/>
      <c r="EQI33"/>
      <c r="EQJ33"/>
      <c r="EQK33"/>
      <c r="EQL33"/>
      <c r="EQM33"/>
      <c r="EQN33"/>
      <c r="EQO33"/>
      <c r="EQP33"/>
      <c r="EQQ33"/>
      <c r="EQR33"/>
      <c r="EQS33"/>
      <c r="EQT33"/>
      <c r="EQU33"/>
      <c r="EQV33"/>
      <c r="EQW33"/>
      <c r="EQX33"/>
      <c r="EQY33"/>
      <c r="EQZ33"/>
      <c r="ERA33"/>
      <c r="ERB33"/>
      <c r="ERC33"/>
      <c r="ERD33"/>
      <c r="ERE33"/>
      <c r="ERF33"/>
      <c r="ERG33"/>
      <c r="ERH33"/>
      <c r="ERI33"/>
      <c r="ERJ33"/>
      <c r="ERK33"/>
      <c r="ERL33"/>
      <c r="ERM33"/>
      <c r="ERN33"/>
      <c r="ERO33"/>
      <c r="ERP33"/>
      <c r="ERQ33"/>
      <c r="ERR33"/>
      <c r="ERS33"/>
      <c r="ERT33"/>
      <c r="ERU33"/>
      <c r="ERV33"/>
      <c r="ERW33"/>
      <c r="ERX33"/>
      <c r="ERY33"/>
      <c r="ERZ33"/>
      <c r="ESA33"/>
      <c r="ESB33"/>
      <c r="ESC33"/>
      <c r="ESD33"/>
      <c r="ESE33"/>
      <c r="ESF33"/>
      <c r="ESG33"/>
      <c r="ESH33"/>
      <c r="ESI33"/>
      <c r="ESJ33"/>
      <c r="ESK33"/>
      <c r="ESL33"/>
      <c r="ESM33"/>
      <c r="ESN33"/>
      <c r="ESO33"/>
      <c r="ESP33"/>
      <c r="ESQ33"/>
      <c r="ESR33"/>
      <c r="ESS33"/>
      <c r="EST33"/>
      <c r="ESU33"/>
      <c r="ESV33"/>
      <c r="ESW33"/>
      <c r="ESX33"/>
      <c r="ESY33"/>
      <c r="ESZ33"/>
      <c r="ETA33"/>
      <c r="ETB33"/>
      <c r="ETC33"/>
      <c r="ETD33"/>
      <c r="ETE33"/>
      <c r="ETF33"/>
      <c r="ETG33"/>
      <c r="ETH33"/>
      <c r="ETI33"/>
      <c r="ETJ33"/>
      <c r="ETK33"/>
      <c r="ETL33"/>
      <c r="ETM33"/>
      <c r="ETN33"/>
      <c r="ETO33"/>
      <c r="ETP33"/>
      <c r="ETQ33"/>
      <c r="ETR33"/>
      <c r="ETS33"/>
      <c r="ETT33"/>
      <c r="ETU33"/>
      <c r="ETV33"/>
      <c r="ETW33"/>
      <c r="ETX33"/>
      <c r="ETY33"/>
      <c r="ETZ33"/>
      <c r="EUA33"/>
      <c r="EUB33"/>
      <c r="EUC33"/>
      <c r="EUD33"/>
      <c r="EUE33"/>
      <c r="EUF33"/>
      <c r="EUG33"/>
      <c r="EUH33"/>
      <c r="EUI33"/>
      <c r="EUJ33"/>
      <c r="EUK33"/>
      <c r="EUL33"/>
      <c r="EUM33"/>
      <c r="EUN33"/>
      <c r="EUO33"/>
      <c r="EUP33"/>
      <c r="EUQ33"/>
      <c r="EUR33"/>
      <c r="EUS33"/>
      <c r="EUT33"/>
      <c r="EUU33"/>
      <c r="EUV33"/>
      <c r="EUW33"/>
      <c r="EUX33"/>
      <c r="EUY33"/>
      <c r="EUZ33"/>
      <c r="EVA33"/>
      <c r="EVB33"/>
      <c r="EVC33"/>
      <c r="EVD33"/>
      <c r="EVE33"/>
      <c r="EVF33"/>
      <c r="EVG33"/>
      <c r="EVH33"/>
      <c r="EVI33"/>
      <c r="EVJ33"/>
      <c r="EVK33"/>
      <c r="EVL33"/>
      <c r="EVM33"/>
      <c r="EVN33"/>
      <c r="EVO33"/>
      <c r="EVP33"/>
      <c r="EVQ33"/>
      <c r="EVR33"/>
      <c r="EVS33"/>
      <c r="EVT33"/>
      <c r="EVU33"/>
      <c r="EVV33"/>
      <c r="EVW33"/>
      <c r="EVX33"/>
      <c r="EVY33"/>
      <c r="EVZ33"/>
      <c r="EWA33"/>
      <c r="EWB33"/>
      <c r="EWC33"/>
      <c r="EWD33"/>
      <c r="EWE33"/>
      <c r="EWF33"/>
      <c r="EWG33"/>
      <c r="EWH33"/>
      <c r="EWI33"/>
      <c r="EWJ33"/>
      <c r="EWK33"/>
      <c r="EWL33"/>
      <c r="EWM33"/>
      <c r="EWN33"/>
      <c r="EWO33"/>
      <c r="EWP33"/>
      <c r="EWQ33"/>
      <c r="EWR33"/>
      <c r="EWS33"/>
      <c r="EWT33"/>
      <c r="EWU33"/>
      <c r="EWV33"/>
      <c r="EWW33"/>
      <c r="EWX33"/>
      <c r="EWY33"/>
      <c r="EWZ33"/>
      <c r="EXA33"/>
      <c r="EXB33"/>
      <c r="EXC33"/>
      <c r="EXD33"/>
      <c r="EXE33"/>
      <c r="EXF33"/>
      <c r="EXG33"/>
      <c r="EXH33"/>
      <c r="EXI33"/>
      <c r="EXJ33"/>
      <c r="EXK33"/>
      <c r="EXL33"/>
      <c r="EXM33"/>
      <c r="EXN33"/>
      <c r="EXO33"/>
      <c r="EXP33"/>
      <c r="EXQ33"/>
      <c r="EXR33"/>
      <c r="EXS33"/>
      <c r="EXT33"/>
      <c r="EXU33"/>
      <c r="EXV33"/>
      <c r="EXW33"/>
      <c r="EXX33"/>
      <c r="EXY33"/>
      <c r="EXZ33"/>
      <c r="EYA33"/>
      <c r="EYB33"/>
      <c r="EYC33"/>
      <c r="EYD33"/>
      <c r="EYE33"/>
      <c r="EYF33"/>
      <c r="EYG33"/>
      <c r="EYH33"/>
      <c r="EYI33"/>
      <c r="EYJ33"/>
      <c r="EYK33"/>
      <c r="EYL33"/>
      <c r="EYM33"/>
      <c r="EYN33"/>
      <c r="EYO33"/>
      <c r="EYP33"/>
      <c r="EYQ33"/>
      <c r="EYR33"/>
      <c r="EYS33"/>
      <c r="EYT33"/>
      <c r="EYU33"/>
      <c r="EYV33"/>
      <c r="EYW33"/>
      <c r="EYX33"/>
      <c r="EYY33"/>
      <c r="EYZ33"/>
      <c r="EZA33"/>
      <c r="EZB33"/>
      <c r="EZC33"/>
      <c r="EZD33"/>
      <c r="EZE33"/>
      <c r="EZF33"/>
      <c r="EZG33"/>
      <c r="EZH33"/>
      <c r="EZI33"/>
      <c r="EZJ33"/>
      <c r="EZK33"/>
      <c r="EZL33"/>
      <c r="EZM33"/>
      <c r="EZN33"/>
      <c r="EZO33"/>
      <c r="EZP33"/>
      <c r="EZQ33"/>
      <c r="EZR33"/>
      <c r="EZS33"/>
      <c r="EZT33"/>
      <c r="EZU33"/>
      <c r="EZV33"/>
      <c r="EZW33"/>
      <c r="EZX33"/>
      <c r="EZY33"/>
      <c r="EZZ33"/>
      <c r="FAA33"/>
      <c r="FAB33"/>
      <c r="FAC33"/>
      <c r="FAD33"/>
      <c r="FAE33"/>
      <c r="FAF33"/>
      <c r="FAG33"/>
      <c r="FAH33"/>
      <c r="FAI33"/>
      <c r="FAJ33"/>
      <c r="FAK33"/>
      <c r="FAL33"/>
      <c r="FAM33"/>
      <c r="FAN33"/>
      <c r="FAO33"/>
      <c r="FAP33"/>
      <c r="FAQ33"/>
      <c r="FAR33"/>
      <c r="FAS33"/>
      <c r="FAT33"/>
      <c r="FAU33"/>
      <c r="FAV33"/>
      <c r="FAW33"/>
      <c r="FAX33"/>
      <c r="FAY33"/>
      <c r="FAZ33"/>
      <c r="FBA33"/>
      <c r="FBB33"/>
      <c r="FBC33"/>
      <c r="FBD33"/>
      <c r="FBE33"/>
      <c r="FBF33"/>
      <c r="FBG33"/>
      <c r="FBH33"/>
      <c r="FBI33"/>
      <c r="FBJ33"/>
      <c r="FBK33"/>
      <c r="FBL33"/>
      <c r="FBM33"/>
      <c r="FBN33"/>
      <c r="FBO33"/>
      <c r="FBP33"/>
      <c r="FBQ33"/>
      <c r="FBR33"/>
      <c r="FBS33"/>
      <c r="FBT33"/>
      <c r="FBU33"/>
      <c r="FBV33"/>
      <c r="FBW33"/>
      <c r="FBX33"/>
      <c r="FBY33"/>
      <c r="FBZ33"/>
      <c r="FCA33"/>
      <c r="FCB33"/>
      <c r="FCC33"/>
      <c r="FCD33"/>
      <c r="FCE33"/>
      <c r="FCF33"/>
      <c r="FCG33"/>
      <c r="FCH33"/>
      <c r="FCI33"/>
      <c r="FCJ33"/>
      <c r="FCK33"/>
      <c r="FCL33"/>
      <c r="FCM33"/>
      <c r="FCN33"/>
      <c r="FCO33"/>
      <c r="FCP33"/>
      <c r="FCQ33"/>
      <c r="FCR33"/>
      <c r="FCS33"/>
      <c r="FCT33"/>
      <c r="FCU33"/>
      <c r="FCV33"/>
      <c r="FCW33"/>
      <c r="FCX33"/>
      <c r="FCY33"/>
      <c r="FCZ33"/>
      <c r="FDA33"/>
      <c r="FDB33"/>
      <c r="FDC33"/>
      <c r="FDD33"/>
      <c r="FDE33"/>
      <c r="FDF33"/>
      <c r="FDG33"/>
      <c r="FDH33"/>
      <c r="FDI33"/>
      <c r="FDJ33"/>
      <c r="FDK33"/>
      <c r="FDL33"/>
      <c r="FDM33"/>
      <c r="FDN33"/>
      <c r="FDO33"/>
      <c r="FDP33"/>
      <c r="FDQ33"/>
      <c r="FDR33"/>
      <c r="FDS33"/>
      <c r="FDT33"/>
      <c r="FDU33"/>
      <c r="FDV33"/>
      <c r="FDW33"/>
      <c r="FDX33"/>
      <c r="FDY33"/>
      <c r="FDZ33"/>
      <c r="FEA33"/>
      <c r="FEB33"/>
      <c r="FEC33"/>
      <c r="FED33"/>
      <c r="FEE33"/>
      <c r="FEF33"/>
      <c r="FEG33"/>
      <c r="FEH33"/>
      <c r="FEI33"/>
      <c r="FEJ33"/>
      <c r="FEK33"/>
      <c r="FEL33"/>
      <c r="FEM33"/>
      <c r="FEN33"/>
      <c r="FEO33"/>
      <c r="FEP33"/>
      <c r="FEQ33"/>
      <c r="FER33"/>
      <c r="FES33"/>
      <c r="FET33"/>
      <c r="FEU33"/>
      <c r="FEV33"/>
      <c r="FEW33"/>
      <c r="FEX33"/>
      <c r="FEY33"/>
      <c r="FEZ33"/>
      <c r="FFA33"/>
      <c r="FFB33"/>
      <c r="FFC33"/>
      <c r="FFD33"/>
      <c r="FFE33"/>
      <c r="FFF33"/>
      <c r="FFG33"/>
      <c r="FFH33"/>
      <c r="FFI33"/>
      <c r="FFJ33"/>
      <c r="FFK33"/>
      <c r="FFL33"/>
      <c r="FFM33"/>
      <c r="FFN33"/>
      <c r="FFO33"/>
      <c r="FFP33"/>
      <c r="FFQ33"/>
      <c r="FFR33"/>
      <c r="FFS33"/>
      <c r="FFT33"/>
      <c r="FFU33"/>
      <c r="FFV33"/>
      <c r="FFW33"/>
      <c r="FFX33"/>
      <c r="FFY33"/>
      <c r="FFZ33"/>
      <c r="FGA33"/>
      <c r="FGB33"/>
      <c r="FGC33"/>
      <c r="FGD33"/>
      <c r="FGE33"/>
      <c r="FGF33"/>
      <c r="FGG33"/>
      <c r="FGH33"/>
      <c r="FGI33"/>
      <c r="FGJ33"/>
      <c r="FGK33"/>
      <c r="FGL33"/>
      <c r="FGM33"/>
      <c r="FGN33"/>
      <c r="FGO33"/>
      <c r="FGP33"/>
      <c r="FGQ33"/>
      <c r="FGR33"/>
      <c r="FGS33"/>
      <c r="FGT33"/>
      <c r="FGU33"/>
      <c r="FGV33"/>
      <c r="FGW33"/>
      <c r="FGX33"/>
      <c r="FGY33"/>
      <c r="FGZ33"/>
      <c r="FHA33"/>
      <c r="FHB33"/>
      <c r="FHC33"/>
      <c r="FHD33"/>
      <c r="FHE33"/>
      <c r="FHF33"/>
      <c r="FHG33"/>
      <c r="FHH33"/>
      <c r="FHI33"/>
      <c r="FHJ33"/>
      <c r="FHK33"/>
      <c r="FHL33"/>
      <c r="FHM33"/>
      <c r="FHN33"/>
      <c r="FHO33"/>
      <c r="FHP33"/>
      <c r="FHQ33"/>
      <c r="FHR33"/>
      <c r="FHS33"/>
      <c r="FHT33"/>
      <c r="FHU33"/>
      <c r="FHV33"/>
      <c r="FHW33"/>
      <c r="FHX33"/>
      <c r="FHY33"/>
      <c r="FHZ33"/>
      <c r="FIA33"/>
      <c r="FIB33"/>
      <c r="FIC33"/>
      <c r="FID33"/>
      <c r="FIE33"/>
      <c r="FIF33"/>
      <c r="FIG33"/>
      <c r="FIH33"/>
      <c r="FII33"/>
      <c r="FIJ33"/>
      <c r="FIK33"/>
      <c r="FIL33"/>
      <c r="FIM33"/>
      <c r="FIN33"/>
      <c r="FIO33"/>
      <c r="FIP33"/>
      <c r="FIQ33"/>
      <c r="FIR33"/>
      <c r="FIS33"/>
      <c r="FIT33"/>
      <c r="FIU33"/>
      <c r="FIV33"/>
      <c r="FIW33"/>
      <c r="FIX33"/>
      <c r="FIY33"/>
      <c r="FIZ33"/>
      <c r="FJA33"/>
      <c r="FJB33"/>
      <c r="FJC33"/>
      <c r="FJD33"/>
      <c r="FJE33"/>
      <c r="FJF33"/>
      <c r="FJG33"/>
      <c r="FJH33"/>
      <c r="FJI33"/>
      <c r="FJJ33"/>
      <c r="FJK33"/>
      <c r="FJL33"/>
      <c r="FJM33"/>
      <c r="FJN33"/>
      <c r="FJO33"/>
      <c r="FJP33"/>
      <c r="FJQ33"/>
      <c r="FJR33"/>
      <c r="FJS33"/>
      <c r="FJT33"/>
      <c r="FJU33"/>
      <c r="FJV33"/>
      <c r="FJW33"/>
      <c r="FJX33"/>
      <c r="FJY33"/>
      <c r="FJZ33"/>
      <c r="FKA33"/>
      <c r="FKB33"/>
      <c r="FKC33"/>
      <c r="FKD33"/>
      <c r="FKE33"/>
      <c r="FKF33"/>
      <c r="FKG33"/>
      <c r="FKH33"/>
      <c r="FKI33"/>
      <c r="FKJ33"/>
      <c r="FKK33"/>
      <c r="FKL33"/>
      <c r="FKM33"/>
      <c r="FKN33"/>
      <c r="FKO33"/>
      <c r="FKP33"/>
      <c r="FKQ33"/>
      <c r="FKR33"/>
      <c r="FKS33"/>
      <c r="FKT33"/>
      <c r="FKU33"/>
      <c r="FKV33"/>
      <c r="FKW33"/>
      <c r="FKX33"/>
      <c r="FKY33"/>
      <c r="FKZ33"/>
      <c r="FLA33"/>
      <c r="FLB33"/>
      <c r="FLC33"/>
      <c r="FLD33"/>
      <c r="FLE33"/>
      <c r="FLF33"/>
      <c r="FLG33"/>
      <c r="FLH33"/>
      <c r="FLI33"/>
      <c r="FLJ33"/>
      <c r="FLK33"/>
      <c r="FLL33"/>
      <c r="FLM33"/>
      <c r="FLN33"/>
      <c r="FLO33"/>
      <c r="FLP33"/>
      <c r="FLQ33"/>
      <c r="FLR33"/>
      <c r="FLS33"/>
      <c r="FLT33"/>
      <c r="FLU33"/>
      <c r="FLV33"/>
      <c r="FLW33"/>
      <c r="FLX33"/>
      <c r="FLY33"/>
      <c r="FLZ33"/>
      <c r="FMA33"/>
      <c r="FMB33"/>
      <c r="FMC33"/>
      <c r="FMD33"/>
      <c r="FME33"/>
      <c r="FMF33"/>
      <c r="FMG33"/>
      <c r="FMH33"/>
      <c r="FMI33"/>
      <c r="FMJ33"/>
      <c r="FMK33"/>
      <c r="FML33"/>
      <c r="FMM33"/>
      <c r="FMN33"/>
      <c r="FMO33"/>
      <c r="FMP33"/>
      <c r="FMQ33"/>
      <c r="FMR33"/>
      <c r="FMS33"/>
      <c r="FMT33"/>
      <c r="FMU33"/>
      <c r="FMV33"/>
      <c r="FMW33"/>
      <c r="FMX33"/>
      <c r="FMY33"/>
      <c r="FMZ33"/>
      <c r="FNA33"/>
      <c r="FNB33"/>
      <c r="FNC33"/>
      <c r="FND33"/>
      <c r="FNE33"/>
      <c r="FNF33"/>
      <c r="FNG33"/>
      <c r="FNH33"/>
      <c r="FNI33"/>
      <c r="FNJ33"/>
      <c r="FNK33"/>
      <c r="FNL33"/>
      <c r="FNM33"/>
      <c r="FNN33"/>
      <c r="FNO33"/>
      <c r="FNP33"/>
      <c r="FNQ33"/>
      <c r="FNR33"/>
      <c r="FNS33"/>
      <c r="FNT33"/>
      <c r="FNU33"/>
      <c r="FNV33"/>
      <c r="FNW33"/>
      <c r="FNX33"/>
      <c r="FNY33"/>
      <c r="FNZ33"/>
      <c r="FOA33"/>
      <c r="FOB33"/>
      <c r="FOC33"/>
      <c r="FOD33"/>
      <c r="FOE33"/>
      <c r="FOF33"/>
      <c r="FOG33"/>
      <c r="FOH33"/>
      <c r="FOI33"/>
      <c r="FOJ33"/>
      <c r="FOK33"/>
      <c r="FOL33"/>
      <c r="FOM33"/>
      <c r="FON33"/>
      <c r="FOO33"/>
      <c r="FOP33"/>
      <c r="FOQ33"/>
      <c r="FOR33"/>
      <c r="FOS33"/>
      <c r="FOT33"/>
      <c r="FOU33"/>
      <c r="FOV33"/>
      <c r="FOW33"/>
      <c r="FOX33"/>
      <c r="FOY33"/>
      <c r="FOZ33"/>
      <c r="FPA33"/>
      <c r="FPB33"/>
      <c r="FPC33"/>
      <c r="FPD33"/>
      <c r="FPE33"/>
      <c r="FPF33"/>
      <c r="FPG33"/>
      <c r="FPH33"/>
      <c r="FPI33"/>
      <c r="FPJ33"/>
      <c r="FPK33"/>
      <c r="FPL33"/>
      <c r="FPM33"/>
      <c r="FPN33"/>
      <c r="FPO33"/>
      <c r="FPP33"/>
      <c r="FPQ33"/>
      <c r="FPR33"/>
      <c r="FPS33"/>
      <c r="FPT33"/>
      <c r="FPU33"/>
      <c r="FPV33"/>
      <c r="FPW33"/>
      <c r="FPX33"/>
      <c r="FPY33"/>
      <c r="FPZ33"/>
      <c r="FQA33"/>
      <c r="FQB33"/>
      <c r="FQC33"/>
      <c r="FQD33"/>
      <c r="FQE33"/>
      <c r="FQF33"/>
      <c r="FQG33"/>
      <c r="FQH33"/>
      <c r="FQI33"/>
      <c r="FQJ33"/>
      <c r="FQK33"/>
      <c r="FQL33"/>
      <c r="FQM33"/>
      <c r="FQN33"/>
      <c r="FQO33"/>
      <c r="FQP33"/>
      <c r="FQQ33"/>
      <c r="FQR33"/>
      <c r="FQS33"/>
      <c r="FQT33"/>
      <c r="FQU33"/>
      <c r="FQV33"/>
      <c r="FQW33"/>
      <c r="FQX33"/>
      <c r="FQY33"/>
      <c r="FQZ33"/>
      <c r="FRA33"/>
      <c r="FRB33"/>
      <c r="FRC33"/>
      <c r="FRD33"/>
      <c r="FRE33"/>
      <c r="FRF33"/>
      <c r="FRG33"/>
      <c r="FRH33"/>
      <c r="FRI33"/>
      <c r="FRJ33"/>
      <c r="FRK33"/>
      <c r="FRL33"/>
      <c r="FRM33"/>
      <c r="FRN33"/>
      <c r="FRO33"/>
      <c r="FRP33"/>
      <c r="FRQ33"/>
      <c r="FRR33"/>
      <c r="FRS33"/>
      <c r="FRT33"/>
      <c r="FRU33"/>
      <c r="FRV33"/>
      <c r="FRW33"/>
      <c r="FRX33"/>
      <c r="FRY33"/>
      <c r="FRZ33"/>
      <c r="FSA33"/>
      <c r="FSB33"/>
      <c r="FSC33"/>
      <c r="FSD33"/>
      <c r="FSE33"/>
      <c r="FSF33"/>
      <c r="FSG33"/>
      <c r="FSH33"/>
      <c r="FSI33"/>
      <c r="FSJ33"/>
      <c r="FSK33"/>
      <c r="FSL33"/>
      <c r="FSM33"/>
      <c r="FSN33"/>
      <c r="FSO33"/>
      <c r="FSP33"/>
      <c r="FSQ33"/>
      <c r="FSR33"/>
      <c r="FSS33"/>
      <c r="FST33"/>
      <c r="FSU33"/>
      <c r="FSV33"/>
      <c r="FSW33"/>
      <c r="FSX33"/>
      <c r="FSY33"/>
      <c r="FSZ33"/>
      <c r="FTA33"/>
      <c r="FTB33"/>
      <c r="FTC33"/>
      <c r="FTD33"/>
      <c r="FTE33"/>
      <c r="FTF33"/>
      <c r="FTG33"/>
      <c r="FTH33"/>
      <c r="FTI33"/>
      <c r="FTJ33"/>
      <c r="FTK33"/>
      <c r="FTL33"/>
      <c r="FTM33"/>
      <c r="FTN33"/>
      <c r="FTO33"/>
      <c r="FTP33"/>
      <c r="FTQ33"/>
      <c r="FTR33"/>
      <c r="FTS33"/>
      <c r="FTT33"/>
      <c r="FTU33"/>
      <c r="FTV33"/>
      <c r="FTW33"/>
      <c r="FTX33"/>
      <c r="FTY33"/>
      <c r="FTZ33"/>
      <c r="FUA33"/>
      <c r="FUB33"/>
      <c r="FUC33"/>
      <c r="FUD33"/>
      <c r="FUE33"/>
      <c r="FUF33"/>
      <c r="FUG33"/>
      <c r="FUH33"/>
      <c r="FUI33"/>
      <c r="FUJ33"/>
      <c r="FUK33"/>
      <c r="FUL33"/>
      <c r="FUM33"/>
      <c r="FUN33"/>
      <c r="FUO33"/>
      <c r="FUP33"/>
      <c r="FUQ33"/>
      <c r="FUR33"/>
      <c r="FUS33"/>
      <c r="FUT33"/>
      <c r="FUU33"/>
      <c r="FUV33"/>
      <c r="FUW33"/>
      <c r="FUX33"/>
      <c r="FUY33"/>
      <c r="FUZ33"/>
      <c r="FVA33"/>
      <c r="FVB33"/>
      <c r="FVC33"/>
      <c r="FVD33"/>
      <c r="FVE33"/>
      <c r="FVF33"/>
      <c r="FVG33"/>
      <c r="FVH33"/>
      <c r="FVI33"/>
      <c r="FVJ33"/>
      <c r="FVK33"/>
      <c r="FVL33"/>
      <c r="FVM33"/>
      <c r="FVN33"/>
      <c r="FVO33"/>
      <c r="FVP33"/>
      <c r="FVQ33"/>
      <c r="FVR33"/>
      <c r="FVS33"/>
      <c r="FVT33"/>
      <c r="FVU33"/>
      <c r="FVV33"/>
      <c r="FVW33"/>
      <c r="FVX33"/>
      <c r="FVY33"/>
      <c r="FVZ33"/>
      <c r="FWA33"/>
      <c r="FWB33"/>
      <c r="FWC33"/>
      <c r="FWD33"/>
      <c r="FWE33"/>
      <c r="FWF33"/>
      <c r="FWG33"/>
      <c r="FWH33"/>
      <c r="FWI33"/>
      <c r="FWJ33"/>
      <c r="FWK33"/>
      <c r="FWL33"/>
      <c r="FWM33"/>
      <c r="FWN33"/>
      <c r="FWO33"/>
      <c r="FWP33"/>
      <c r="FWQ33"/>
      <c r="FWR33"/>
      <c r="FWS33"/>
      <c r="FWT33"/>
      <c r="FWU33"/>
      <c r="FWV33"/>
      <c r="FWW33"/>
      <c r="FWX33"/>
      <c r="FWY33"/>
      <c r="FWZ33"/>
      <c r="FXA33"/>
      <c r="FXB33"/>
      <c r="FXC33"/>
      <c r="FXD33"/>
      <c r="FXE33"/>
      <c r="FXF33"/>
      <c r="FXG33"/>
      <c r="FXH33"/>
      <c r="FXI33"/>
      <c r="FXJ33"/>
      <c r="FXK33"/>
      <c r="FXL33"/>
      <c r="FXM33"/>
      <c r="FXN33"/>
      <c r="FXO33"/>
      <c r="FXP33"/>
      <c r="FXQ33"/>
      <c r="FXR33"/>
      <c r="FXS33"/>
      <c r="FXT33"/>
      <c r="FXU33"/>
      <c r="FXV33"/>
      <c r="FXW33"/>
      <c r="FXX33"/>
      <c r="FXY33"/>
      <c r="FXZ33"/>
      <c r="FYA33"/>
      <c r="FYB33"/>
      <c r="FYC33"/>
      <c r="FYD33"/>
      <c r="FYE33"/>
      <c r="FYF33"/>
      <c r="FYG33"/>
      <c r="FYH33"/>
      <c r="FYI33"/>
      <c r="FYJ33"/>
      <c r="FYK33"/>
      <c r="FYL33"/>
      <c r="FYM33"/>
      <c r="FYN33"/>
      <c r="FYO33"/>
      <c r="FYP33"/>
      <c r="FYQ33"/>
      <c r="FYR33"/>
      <c r="FYS33"/>
      <c r="FYT33"/>
      <c r="FYU33"/>
      <c r="FYV33"/>
      <c r="FYW33"/>
      <c r="FYX33"/>
      <c r="FYY33"/>
      <c r="FYZ33"/>
      <c r="FZA33"/>
      <c r="FZB33"/>
      <c r="FZC33"/>
      <c r="FZD33"/>
      <c r="FZE33"/>
      <c r="FZF33"/>
      <c r="FZG33"/>
      <c r="FZH33"/>
      <c r="FZI33"/>
      <c r="FZJ33"/>
      <c r="FZK33"/>
      <c r="FZL33"/>
      <c r="FZM33"/>
      <c r="FZN33"/>
      <c r="FZO33"/>
      <c r="FZP33"/>
      <c r="FZQ33"/>
      <c r="FZR33"/>
      <c r="FZS33"/>
      <c r="FZT33"/>
      <c r="FZU33"/>
      <c r="FZV33"/>
      <c r="FZW33"/>
      <c r="FZX33"/>
      <c r="FZY33"/>
      <c r="FZZ33"/>
      <c r="GAA33"/>
      <c r="GAB33"/>
      <c r="GAC33"/>
      <c r="GAD33"/>
      <c r="GAE33"/>
      <c r="GAF33"/>
      <c r="GAG33"/>
      <c r="GAH33"/>
      <c r="GAI33"/>
      <c r="GAJ33"/>
      <c r="GAK33"/>
      <c r="GAL33"/>
      <c r="GAM33"/>
      <c r="GAN33"/>
      <c r="GAO33"/>
      <c r="GAP33"/>
      <c r="GAQ33"/>
      <c r="GAR33"/>
      <c r="GAS33"/>
      <c r="GAT33"/>
      <c r="GAU33"/>
      <c r="GAV33"/>
      <c r="GAW33"/>
      <c r="GAX33"/>
      <c r="GAY33"/>
      <c r="GAZ33"/>
      <c r="GBA33"/>
      <c r="GBB33"/>
      <c r="GBC33"/>
      <c r="GBD33"/>
      <c r="GBE33"/>
      <c r="GBF33"/>
      <c r="GBG33"/>
    </row>
    <row r="34" spans="1:4791" ht="13.8" customHeight="1" x14ac:dyDescent="0.25">
      <c r="A34" s="1" t="s">
        <v>2403</v>
      </c>
      <c r="B34" s="1">
        <v>175651.40999999997</v>
      </c>
      <c r="E34"/>
      <c r="F34"/>
      <c r="G34" s="1" t="s">
        <v>3068</v>
      </c>
      <c r="H34" s="1">
        <v>230</v>
      </c>
      <c r="I34"/>
      <c r="J34" s="1" t="s">
        <v>3070</v>
      </c>
      <c r="K34" s="10">
        <v>0.19583333333333333</v>
      </c>
      <c r="L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/>
      <c r="ANR34"/>
      <c r="ANS34"/>
      <c r="ANT34"/>
      <c r="ANU34"/>
      <c r="ANV34"/>
      <c r="ANW34"/>
      <c r="ANX34"/>
      <c r="ANY34"/>
      <c r="ANZ34"/>
      <c r="AOA34"/>
      <c r="AOB34"/>
      <c r="AOC34"/>
      <c r="AOD34"/>
      <c r="AOE34"/>
      <c r="AOF34"/>
      <c r="AOG34"/>
      <c r="AOH34"/>
      <c r="AOI34"/>
      <c r="AOJ34"/>
      <c r="AOK34"/>
      <c r="AOL34"/>
      <c r="AOM34"/>
      <c r="AON34"/>
      <c r="AOO34"/>
      <c r="AOP34"/>
      <c r="AOQ34"/>
      <c r="AOR34"/>
      <c r="AOS34"/>
      <c r="AOT34"/>
      <c r="AOU34"/>
      <c r="AOV34"/>
      <c r="AOW34"/>
      <c r="AOX34"/>
      <c r="AOY34"/>
      <c r="AOZ34"/>
      <c r="APA34"/>
      <c r="APB34"/>
      <c r="APC34"/>
      <c r="APD34"/>
      <c r="APE34"/>
      <c r="APF34"/>
      <c r="APG34"/>
      <c r="APH34"/>
      <c r="API34"/>
      <c r="APJ34"/>
      <c r="APK34"/>
      <c r="APL34"/>
      <c r="APM34"/>
      <c r="APN34"/>
      <c r="APO34"/>
      <c r="APP34"/>
      <c r="APQ34"/>
      <c r="APR34"/>
      <c r="APS34"/>
      <c r="APT34"/>
      <c r="APU34"/>
      <c r="APV34"/>
      <c r="APW34"/>
      <c r="APX34"/>
      <c r="APY34"/>
      <c r="APZ34"/>
      <c r="AQA34"/>
      <c r="AQB34"/>
      <c r="AQC34"/>
      <c r="AQD34"/>
      <c r="AQE34"/>
      <c r="AQF34"/>
      <c r="AQG34"/>
      <c r="AQH34"/>
      <c r="AQI34"/>
      <c r="AQJ34"/>
      <c r="AQK34"/>
      <c r="AQL34"/>
      <c r="AQM34"/>
      <c r="AQN34"/>
      <c r="AQO34"/>
      <c r="AQP34"/>
      <c r="AQQ34"/>
      <c r="AQR34"/>
      <c r="AQS34"/>
      <c r="AQT34"/>
      <c r="AQU34"/>
      <c r="AQV34"/>
      <c r="AQW34"/>
      <c r="AQX34"/>
      <c r="AQY34"/>
      <c r="AQZ34"/>
      <c r="ARA34"/>
      <c r="ARB34"/>
      <c r="ARC34"/>
      <c r="ARD34"/>
      <c r="ARE34"/>
      <c r="ARF34"/>
      <c r="ARG34"/>
      <c r="ARH34"/>
      <c r="ARI34"/>
      <c r="ARJ34"/>
      <c r="ARK34"/>
      <c r="ARL34"/>
      <c r="ARM34"/>
      <c r="ARN34"/>
      <c r="ARO34"/>
      <c r="ARP34"/>
      <c r="ARQ34"/>
      <c r="ARR34"/>
      <c r="ARS34"/>
      <c r="ART34"/>
      <c r="ARU34"/>
      <c r="ARV34"/>
      <c r="ARW34"/>
      <c r="ARX34"/>
      <c r="ARY34"/>
      <c r="ARZ34"/>
      <c r="ASA34"/>
      <c r="ASB34"/>
      <c r="ASC34"/>
      <c r="ASD34"/>
      <c r="ASE34"/>
      <c r="ASF34"/>
      <c r="ASG34"/>
      <c r="ASH34"/>
      <c r="ASI34"/>
      <c r="ASJ34"/>
      <c r="ASK34"/>
      <c r="ASL34"/>
      <c r="ASM34"/>
      <c r="ASN34"/>
      <c r="ASO34"/>
      <c r="ASP34"/>
      <c r="ASQ34"/>
      <c r="ASR34"/>
      <c r="ASS34"/>
      <c r="AST34"/>
      <c r="ASU34"/>
      <c r="ASV34"/>
      <c r="ASW34"/>
      <c r="ASX34"/>
      <c r="ASY34"/>
      <c r="ASZ34"/>
      <c r="ATA34"/>
      <c r="ATB34"/>
      <c r="ATC34"/>
      <c r="ATD34"/>
      <c r="ATE34"/>
      <c r="ATF34"/>
      <c r="ATG34"/>
      <c r="ATH34"/>
      <c r="ATI34"/>
      <c r="ATJ34"/>
      <c r="ATK34"/>
      <c r="ATL34"/>
      <c r="ATM34"/>
      <c r="ATN34"/>
      <c r="ATO34"/>
      <c r="ATP34"/>
      <c r="ATQ34"/>
      <c r="ATR34"/>
      <c r="ATS34"/>
      <c r="ATT34"/>
      <c r="ATU34"/>
      <c r="ATV34"/>
      <c r="ATW34"/>
      <c r="ATX34"/>
      <c r="ATY34"/>
      <c r="ATZ34"/>
      <c r="AUA34"/>
      <c r="AUB34"/>
      <c r="AUC34"/>
      <c r="AUD34"/>
      <c r="AUE34"/>
      <c r="AUF34"/>
      <c r="AUG34"/>
      <c r="AUH34"/>
      <c r="AUI34"/>
      <c r="AUJ34"/>
      <c r="AUK34"/>
      <c r="AUL34"/>
      <c r="AUM34"/>
      <c r="AUN34"/>
      <c r="AUO34"/>
      <c r="AUP34"/>
      <c r="AUQ34"/>
      <c r="AUR34"/>
      <c r="AUS34"/>
      <c r="AUT34"/>
      <c r="AUU34"/>
      <c r="AUV34"/>
      <c r="AUW34"/>
      <c r="AUX34"/>
      <c r="AUY34"/>
      <c r="AUZ34"/>
      <c r="AVA34"/>
      <c r="AVB34"/>
      <c r="AVC34"/>
      <c r="AVD34"/>
      <c r="AVE34"/>
      <c r="AVF34"/>
      <c r="AVG34"/>
      <c r="AVH34"/>
      <c r="AVI34"/>
      <c r="AVJ34"/>
      <c r="AVK34"/>
      <c r="AVL34"/>
      <c r="AVM34"/>
      <c r="AVN34"/>
      <c r="AVO34"/>
      <c r="AVP34"/>
      <c r="AVQ34"/>
      <c r="AVR34"/>
      <c r="AVS34"/>
      <c r="AVT34"/>
      <c r="AVU34"/>
      <c r="AVV34"/>
      <c r="AVW34"/>
      <c r="AVX34"/>
      <c r="AVY34"/>
      <c r="AVZ34"/>
      <c r="AWA34"/>
      <c r="AWB34"/>
      <c r="AWC34"/>
      <c r="AWD34"/>
      <c r="AWE34"/>
      <c r="AWF34"/>
      <c r="AWG34"/>
      <c r="AWH34"/>
      <c r="AWI34"/>
      <c r="AWJ34"/>
      <c r="AWK34"/>
      <c r="AWL34"/>
      <c r="AWM34"/>
      <c r="AWN34"/>
      <c r="AWO34"/>
      <c r="AWP34"/>
      <c r="AWQ34"/>
      <c r="AWR34"/>
      <c r="AWS34"/>
      <c r="AWT34"/>
      <c r="AWU34"/>
      <c r="AWV34"/>
      <c r="AWW34"/>
      <c r="AWX34"/>
      <c r="AWY34"/>
      <c r="AWZ34"/>
      <c r="AXA34"/>
      <c r="AXB34"/>
      <c r="AXC34"/>
      <c r="AXD34"/>
      <c r="AXE34"/>
      <c r="AXF34"/>
      <c r="AXG34"/>
      <c r="AXH34"/>
      <c r="AXI34"/>
      <c r="AXJ34"/>
      <c r="AXK34"/>
      <c r="AXL34"/>
      <c r="AXM34"/>
      <c r="AXN34"/>
      <c r="AXO34"/>
      <c r="AXP34"/>
      <c r="AXQ34"/>
      <c r="AXR34"/>
      <c r="AXS34"/>
      <c r="AXT34"/>
      <c r="AXU34"/>
      <c r="AXV34"/>
      <c r="AXW34"/>
      <c r="AXX34"/>
      <c r="AXY34"/>
      <c r="AXZ34"/>
      <c r="AYA34"/>
      <c r="AYB34"/>
      <c r="AYC34"/>
      <c r="AYD34"/>
      <c r="AYE34"/>
      <c r="AYF34"/>
      <c r="AYG34"/>
      <c r="AYH34"/>
      <c r="AYI34"/>
      <c r="AYJ34"/>
      <c r="AYK34"/>
      <c r="AYL34"/>
      <c r="AYM34"/>
      <c r="AYN34"/>
      <c r="AYO34"/>
      <c r="AYP34"/>
      <c r="AYQ34"/>
      <c r="AYR34"/>
      <c r="AYS34"/>
      <c r="AYT34"/>
      <c r="AYU34"/>
      <c r="AYV34"/>
      <c r="AYW34"/>
      <c r="AYX34"/>
      <c r="AYY34"/>
      <c r="AYZ34"/>
      <c r="AZA34"/>
      <c r="AZB34"/>
      <c r="AZC34"/>
      <c r="AZD34"/>
      <c r="AZE34"/>
      <c r="AZF34"/>
      <c r="AZG34"/>
      <c r="AZH34"/>
      <c r="AZI34"/>
      <c r="AZJ34"/>
      <c r="AZK34"/>
      <c r="AZL34"/>
      <c r="AZM34"/>
      <c r="AZN34"/>
      <c r="AZO34"/>
      <c r="AZP34"/>
      <c r="AZQ34"/>
      <c r="AZR34"/>
      <c r="AZS34"/>
      <c r="AZT34"/>
      <c r="AZU34"/>
      <c r="AZV34"/>
      <c r="AZW34"/>
      <c r="AZX34"/>
      <c r="AZY34"/>
      <c r="AZZ34"/>
      <c r="BAA34"/>
      <c r="BAB34"/>
      <c r="BAC34"/>
      <c r="BAD34"/>
      <c r="BAE34"/>
      <c r="BAF34"/>
      <c r="BAG34"/>
      <c r="BAH34"/>
      <c r="BAI34"/>
      <c r="BAJ34"/>
      <c r="BAK34"/>
      <c r="BAL34"/>
      <c r="BAM34"/>
      <c r="BAN34"/>
      <c r="BAO34"/>
      <c r="BAP34"/>
      <c r="BAQ34"/>
      <c r="BAR34"/>
      <c r="BAS34"/>
      <c r="BAT34"/>
      <c r="BAU34"/>
      <c r="BAV34"/>
      <c r="BAW34"/>
      <c r="BAX34"/>
      <c r="BAY34"/>
      <c r="BAZ34"/>
      <c r="BBA34"/>
      <c r="BBB34"/>
      <c r="BBC34"/>
      <c r="BBD34"/>
      <c r="BBE34"/>
      <c r="BBF34"/>
      <c r="BBG34"/>
      <c r="BBH34"/>
      <c r="BBI34"/>
      <c r="BBJ34"/>
      <c r="BBK34"/>
      <c r="BBL34"/>
      <c r="BBM34"/>
      <c r="BBN34"/>
      <c r="BBO34"/>
      <c r="BBP34"/>
      <c r="BBQ34"/>
      <c r="BBR34"/>
      <c r="BBS34"/>
      <c r="BBT34"/>
      <c r="BBU34"/>
      <c r="BBV34"/>
      <c r="BBW34"/>
      <c r="BBX34"/>
      <c r="BBY34"/>
      <c r="BBZ34"/>
      <c r="BCA34"/>
      <c r="BCB34"/>
      <c r="BCC34"/>
      <c r="BCD34"/>
      <c r="BCE34"/>
      <c r="BCF34"/>
      <c r="BCG34"/>
      <c r="BCH34"/>
      <c r="BCI34"/>
      <c r="BCJ34"/>
      <c r="BCK34"/>
      <c r="BCL34"/>
      <c r="BCM34"/>
      <c r="BCN34"/>
      <c r="BCO34"/>
      <c r="BCP34"/>
      <c r="BCQ34"/>
      <c r="BCR34"/>
      <c r="BCS34"/>
      <c r="BCT34"/>
      <c r="BCU34"/>
      <c r="BCV34"/>
      <c r="BCW34"/>
      <c r="BCX34"/>
      <c r="BCY34"/>
      <c r="BCZ34"/>
      <c r="BDA34"/>
      <c r="BDB34"/>
      <c r="BDC34"/>
      <c r="BDD34"/>
      <c r="BDE34"/>
      <c r="BDF34"/>
      <c r="BDG34"/>
      <c r="BDH34"/>
      <c r="BDI34"/>
      <c r="BDJ34"/>
      <c r="BDK34"/>
      <c r="BDL34"/>
      <c r="BDM34"/>
      <c r="BDN34"/>
      <c r="BDO34"/>
      <c r="BDP34"/>
      <c r="BDQ34"/>
      <c r="BDR34"/>
      <c r="BDS34"/>
      <c r="BDT34"/>
      <c r="BDU34"/>
      <c r="BDV34"/>
      <c r="BDW34"/>
      <c r="BDX34"/>
      <c r="BDY34"/>
      <c r="BDZ34"/>
      <c r="BEA34"/>
      <c r="BEB34"/>
      <c r="BEC34"/>
      <c r="BED34"/>
      <c r="BEE34"/>
      <c r="BEF34"/>
      <c r="BEG34"/>
      <c r="BEH34"/>
      <c r="BEI34"/>
      <c r="BEJ34"/>
      <c r="BEK34"/>
      <c r="BEL34"/>
      <c r="BEM34"/>
      <c r="BEN34"/>
      <c r="BEO34"/>
      <c r="BEP34"/>
      <c r="BEQ34"/>
      <c r="BER34"/>
      <c r="BES34"/>
      <c r="BET34"/>
      <c r="BEU34"/>
      <c r="BEV34"/>
      <c r="BEW34"/>
      <c r="BEX34"/>
      <c r="BEY34"/>
      <c r="BEZ34"/>
      <c r="BFA34"/>
      <c r="BFB34"/>
      <c r="BFC34"/>
      <c r="BFD34"/>
      <c r="BFE34"/>
      <c r="BFF34"/>
      <c r="BFG34"/>
      <c r="BFH34"/>
      <c r="BFI34"/>
      <c r="BFJ34"/>
      <c r="BFK34"/>
      <c r="BFL34"/>
      <c r="BFM34"/>
      <c r="BFN34"/>
      <c r="BFO34"/>
      <c r="BFP34"/>
      <c r="BFQ34"/>
      <c r="BFR34"/>
      <c r="BFS34"/>
      <c r="BFT34"/>
      <c r="BFU34"/>
      <c r="BFV34"/>
      <c r="BFW34"/>
      <c r="BFX34"/>
      <c r="BFY34"/>
      <c r="BFZ34"/>
      <c r="BGA34"/>
      <c r="BGB34"/>
      <c r="BGC34"/>
      <c r="BGD34"/>
      <c r="BGE34"/>
      <c r="BGF34"/>
      <c r="BGG34"/>
      <c r="BGH34"/>
      <c r="BGI34"/>
      <c r="BGJ34"/>
      <c r="BGK34"/>
      <c r="BGL34"/>
      <c r="BGM34"/>
      <c r="BGN34"/>
      <c r="BGO34"/>
      <c r="BGP34"/>
      <c r="BGQ34"/>
      <c r="BGR34"/>
      <c r="BGS34"/>
      <c r="BGT34"/>
      <c r="BGU34"/>
      <c r="BGV34"/>
      <c r="BGW34"/>
      <c r="BGX34"/>
      <c r="BGY34"/>
      <c r="BGZ34"/>
      <c r="BHA34"/>
      <c r="BHB34"/>
      <c r="BHC34"/>
      <c r="BHD34"/>
      <c r="BHE34"/>
      <c r="BHF34"/>
      <c r="BHG34"/>
      <c r="BHH34"/>
      <c r="BHI34"/>
      <c r="BHJ34"/>
      <c r="BHK34"/>
      <c r="BHL34"/>
      <c r="BHM34"/>
      <c r="BHN34"/>
      <c r="BHO34"/>
      <c r="BHP34"/>
      <c r="BHQ34"/>
      <c r="BHR34"/>
      <c r="BHS34"/>
      <c r="BHT34"/>
      <c r="BHU34"/>
      <c r="BHV34"/>
      <c r="BHW34"/>
      <c r="BHX34"/>
      <c r="BHY34"/>
      <c r="BHZ34"/>
      <c r="BIA34"/>
      <c r="BIB34"/>
      <c r="BIC34"/>
      <c r="BID34"/>
      <c r="BIE34"/>
      <c r="BIF34"/>
      <c r="BIG34"/>
      <c r="BIH34"/>
      <c r="BII34"/>
      <c r="BIJ34"/>
      <c r="BIK34"/>
      <c r="BIL34"/>
      <c r="BIM34"/>
      <c r="BIN34"/>
      <c r="BIO34"/>
      <c r="BIP34"/>
      <c r="BIQ34"/>
      <c r="BIR34"/>
      <c r="BIS34"/>
      <c r="BIT34"/>
      <c r="BIU34"/>
      <c r="BIV34"/>
      <c r="BIW34"/>
      <c r="BIX34"/>
      <c r="BIY34"/>
      <c r="BIZ34"/>
      <c r="BJA34"/>
      <c r="BJB34"/>
      <c r="BJC34"/>
      <c r="BJD34"/>
      <c r="BJE34"/>
      <c r="BJF34"/>
      <c r="BJG34"/>
      <c r="BJH34"/>
      <c r="BJI34"/>
      <c r="BJJ34"/>
      <c r="BJK34"/>
      <c r="BJL34"/>
      <c r="BJM34"/>
      <c r="BJN34"/>
      <c r="BJO34"/>
      <c r="BJP34"/>
      <c r="BJQ34"/>
      <c r="BJR34"/>
      <c r="BJS34"/>
      <c r="BJT34"/>
      <c r="BJU34"/>
      <c r="BJV34"/>
      <c r="BJW34"/>
      <c r="BJX34"/>
      <c r="BJY34"/>
      <c r="BJZ34"/>
      <c r="BKA34"/>
      <c r="BKB34"/>
      <c r="BKC34"/>
      <c r="BKD34"/>
      <c r="BKE34"/>
      <c r="BKF34"/>
      <c r="BKG34"/>
      <c r="BKH34"/>
      <c r="BKI34"/>
      <c r="BKJ34"/>
      <c r="BKK34"/>
      <c r="BKL34"/>
      <c r="BKM34"/>
      <c r="BKN34"/>
      <c r="BKO34"/>
      <c r="BKP34"/>
      <c r="BKQ34"/>
      <c r="BKR34"/>
      <c r="BKS34"/>
      <c r="BKT34"/>
      <c r="BKU34"/>
      <c r="BKV34"/>
      <c r="BKW34"/>
      <c r="BKX34"/>
      <c r="BKY34"/>
      <c r="BKZ34"/>
      <c r="BLA34"/>
      <c r="BLB34"/>
      <c r="BLC34"/>
      <c r="BLD34"/>
      <c r="BLE34"/>
      <c r="BLF34"/>
      <c r="BLG34"/>
      <c r="BLH34"/>
      <c r="BLI34"/>
      <c r="BLJ34"/>
      <c r="BLK34"/>
      <c r="BLL34"/>
      <c r="BLM34"/>
      <c r="BLN34"/>
      <c r="BLO34"/>
      <c r="BLP34"/>
      <c r="BLQ34"/>
      <c r="BLR34"/>
      <c r="BLS34"/>
      <c r="BLT34"/>
      <c r="BLU34"/>
      <c r="BLV34"/>
      <c r="BLW34"/>
      <c r="BLX34"/>
      <c r="BLY34"/>
      <c r="BLZ34"/>
      <c r="BMA34"/>
      <c r="BMB34"/>
      <c r="BMC34"/>
      <c r="BMD34"/>
      <c r="BME34"/>
      <c r="BMF34"/>
      <c r="BMG34"/>
      <c r="BMH34"/>
      <c r="BMI34"/>
      <c r="BMJ34"/>
      <c r="BMK34"/>
      <c r="BML34"/>
      <c r="BMM34"/>
      <c r="BMN34"/>
      <c r="BMO34"/>
      <c r="BMP34"/>
      <c r="BMQ34"/>
      <c r="BMR34"/>
      <c r="BMS34"/>
      <c r="BMT34"/>
      <c r="BMU34"/>
      <c r="BMV34"/>
      <c r="BMW34"/>
      <c r="BMX34"/>
      <c r="BMY34"/>
      <c r="BMZ34"/>
      <c r="BNA34"/>
      <c r="BNB34"/>
      <c r="BNC34"/>
      <c r="BND34"/>
      <c r="BNE34"/>
      <c r="BNF34"/>
      <c r="BNG34"/>
      <c r="BNH34"/>
      <c r="BNI34"/>
      <c r="BNJ34"/>
      <c r="BNK34"/>
      <c r="BNL34"/>
      <c r="BNM34"/>
      <c r="BNN34"/>
      <c r="BNO34"/>
      <c r="BNP34"/>
      <c r="BNQ34"/>
      <c r="BNR34"/>
      <c r="BNS34"/>
      <c r="BNT34"/>
      <c r="BNU34"/>
      <c r="BNV34"/>
      <c r="BNW34"/>
      <c r="BNX34"/>
      <c r="BNY34"/>
      <c r="BNZ34"/>
      <c r="BOA34"/>
      <c r="BOB34"/>
      <c r="BOC34"/>
      <c r="BOD34"/>
      <c r="BOE34"/>
      <c r="BOF34"/>
      <c r="BOG34"/>
      <c r="BOH34"/>
      <c r="BOI34"/>
      <c r="BOJ34"/>
      <c r="BOK34"/>
      <c r="BOL34"/>
      <c r="BOM34"/>
      <c r="BON34"/>
      <c r="BOO34"/>
      <c r="BOP34"/>
      <c r="BOQ34"/>
      <c r="BOR34"/>
      <c r="BOS34"/>
      <c r="BOT34"/>
      <c r="BOU34"/>
      <c r="BOV34"/>
      <c r="BOW34"/>
      <c r="BOX34"/>
      <c r="BOY34"/>
      <c r="BOZ34"/>
      <c r="BPA34"/>
      <c r="BPB34"/>
      <c r="BPC34"/>
      <c r="BPD34"/>
      <c r="BPE34"/>
      <c r="BPF34"/>
      <c r="BPG34"/>
      <c r="BPH34"/>
      <c r="BPI34"/>
      <c r="BPJ34"/>
      <c r="BPK34"/>
      <c r="BPL34"/>
      <c r="BPM34"/>
      <c r="BPN34"/>
      <c r="BPO34"/>
      <c r="BPP34"/>
      <c r="BPQ34"/>
      <c r="BPR34"/>
      <c r="BPS34"/>
      <c r="BPT34"/>
      <c r="BPU34"/>
      <c r="BPV34"/>
      <c r="BPW34"/>
      <c r="BPX34"/>
      <c r="BPY34"/>
      <c r="BPZ34"/>
      <c r="BQA34"/>
      <c r="BQB34"/>
      <c r="BQC34"/>
      <c r="BQD34"/>
      <c r="BQE34"/>
      <c r="BQF34"/>
      <c r="BQG34"/>
      <c r="BQH34"/>
      <c r="BQI34"/>
      <c r="BQJ34"/>
      <c r="BQK34"/>
      <c r="BQL34"/>
      <c r="BQM34"/>
      <c r="BQN34"/>
      <c r="BQO34"/>
      <c r="BQP34"/>
      <c r="BQQ34"/>
      <c r="BQR34"/>
      <c r="BQS34"/>
      <c r="BQT34"/>
      <c r="BQU34"/>
      <c r="BQV34"/>
      <c r="BQW34"/>
      <c r="BQX34"/>
      <c r="BQY34"/>
      <c r="BQZ34"/>
      <c r="BRA34"/>
      <c r="BRB34"/>
      <c r="BRC34"/>
      <c r="BRD34"/>
      <c r="BRE34"/>
      <c r="BRF34"/>
      <c r="BRG34"/>
      <c r="BRH34"/>
      <c r="BRI34"/>
      <c r="BRJ34"/>
      <c r="BRK34"/>
      <c r="BRL34"/>
      <c r="BRM34"/>
      <c r="BRN34"/>
      <c r="BRO34"/>
      <c r="BRP34"/>
      <c r="BRQ34"/>
      <c r="BRR34"/>
      <c r="BRS34"/>
      <c r="BRT34"/>
      <c r="BRU34"/>
      <c r="BRV34"/>
      <c r="BRW34"/>
      <c r="BRX34"/>
      <c r="BRY34"/>
      <c r="BRZ34"/>
      <c r="BSA34"/>
      <c r="BSB34"/>
      <c r="BSC34"/>
      <c r="BSD34"/>
      <c r="BSE34"/>
      <c r="BSF34"/>
      <c r="BSG34"/>
      <c r="BSH34"/>
      <c r="BSI34"/>
      <c r="BSJ34"/>
      <c r="BSK34"/>
      <c r="BSL34"/>
      <c r="BSM34"/>
      <c r="BSN34"/>
      <c r="BSO34"/>
      <c r="BSP34"/>
      <c r="BSQ34"/>
      <c r="BSR34"/>
      <c r="BSS34"/>
      <c r="BST34"/>
      <c r="BSU34"/>
      <c r="BSV34"/>
      <c r="BSW34"/>
      <c r="BSX34"/>
      <c r="BSY34"/>
      <c r="BSZ34"/>
      <c r="BTA34"/>
      <c r="BTB34"/>
      <c r="BTC34"/>
      <c r="BTD34"/>
      <c r="BTE34"/>
      <c r="BTF34"/>
      <c r="BTG34"/>
      <c r="BTH34"/>
      <c r="BTI34"/>
      <c r="BTJ34"/>
      <c r="BTK34"/>
      <c r="BTL34"/>
      <c r="BTM34"/>
      <c r="BTN34"/>
      <c r="BTO34"/>
      <c r="BTP34"/>
      <c r="BTQ34"/>
      <c r="BTR34"/>
      <c r="BTS34"/>
      <c r="BTT34"/>
      <c r="BTU34"/>
      <c r="BTV34"/>
      <c r="BTW34"/>
      <c r="BTX34"/>
      <c r="BTY34"/>
      <c r="BTZ34"/>
      <c r="BUA34"/>
      <c r="BUB34"/>
      <c r="BUC34"/>
      <c r="BUD34"/>
      <c r="BUE34"/>
      <c r="BUF34"/>
      <c r="BUG34"/>
      <c r="BUH34"/>
      <c r="BUI34"/>
      <c r="BUJ34"/>
      <c r="BUK34"/>
      <c r="BUL34"/>
      <c r="BUM34"/>
      <c r="BUN34"/>
      <c r="BUO34"/>
      <c r="BUP34"/>
      <c r="BUQ34"/>
      <c r="BUR34"/>
      <c r="BUS34"/>
      <c r="BUT34"/>
      <c r="BUU34"/>
      <c r="BUV34"/>
      <c r="BUW34"/>
      <c r="BUX34"/>
      <c r="BUY34"/>
      <c r="BUZ34"/>
      <c r="BVA34"/>
      <c r="BVB34"/>
      <c r="BVC34"/>
      <c r="BVD34"/>
      <c r="BVE34"/>
      <c r="BVF34"/>
      <c r="BVG34"/>
      <c r="BVH34"/>
      <c r="BVI34"/>
      <c r="BVJ34"/>
      <c r="BVK34"/>
      <c r="BVL34"/>
      <c r="BVM34"/>
      <c r="BVN34"/>
      <c r="BVO34"/>
      <c r="BVP34"/>
      <c r="BVQ34"/>
      <c r="BVR34"/>
      <c r="BVS34"/>
      <c r="BVT34"/>
      <c r="BVU34"/>
      <c r="BVV34"/>
      <c r="BVW34"/>
      <c r="BVX34"/>
      <c r="BVY34"/>
      <c r="BVZ34"/>
      <c r="BWA34"/>
      <c r="BWB34"/>
      <c r="BWC34"/>
      <c r="BWD34"/>
      <c r="BWE34"/>
      <c r="BWF34"/>
      <c r="BWG34"/>
      <c r="BWH34"/>
      <c r="BWI34"/>
      <c r="BWJ34"/>
      <c r="BWK34"/>
      <c r="BWL34"/>
      <c r="BWM34"/>
      <c r="BWN34"/>
      <c r="BWO34"/>
      <c r="BWP34"/>
      <c r="BWQ34"/>
      <c r="BWR34"/>
      <c r="BWS34"/>
      <c r="BWT34"/>
      <c r="BWU34"/>
      <c r="BWV34"/>
      <c r="BWW34"/>
      <c r="BWX34"/>
      <c r="BWY34"/>
      <c r="BWZ34"/>
      <c r="BXA34"/>
      <c r="BXB34"/>
      <c r="BXC34"/>
      <c r="BXD34"/>
      <c r="BXE34"/>
      <c r="BXF34"/>
      <c r="BXG34"/>
      <c r="BXH34"/>
      <c r="BXI34"/>
      <c r="BXJ34"/>
      <c r="BXK34"/>
      <c r="BXL34"/>
      <c r="BXM34"/>
      <c r="BXN34"/>
      <c r="BXO34"/>
      <c r="BXP34"/>
      <c r="BXQ34"/>
      <c r="BXR34"/>
      <c r="BXS34"/>
      <c r="BXT34"/>
      <c r="BXU34"/>
      <c r="BXV34"/>
      <c r="BXW34"/>
      <c r="BXX34"/>
      <c r="BXY34"/>
      <c r="BXZ34"/>
      <c r="BYA34"/>
      <c r="BYB34"/>
      <c r="BYC34"/>
      <c r="BYD34"/>
      <c r="BYE34"/>
      <c r="BYF34"/>
      <c r="BYG34"/>
      <c r="BYH34"/>
      <c r="BYI34"/>
      <c r="BYJ34"/>
      <c r="BYK34"/>
      <c r="BYL34"/>
      <c r="BYM34"/>
      <c r="BYN34"/>
      <c r="BYO34"/>
      <c r="BYP34"/>
      <c r="BYQ34"/>
      <c r="BYR34"/>
      <c r="BYS34"/>
      <c r="BYT34"/>
      <c r="BYU34"/>
      <c r="BYV34"/>
      <c r="BYW34"/>
      <c r="BYX34"/>
      <c r="BYY34"/>
      <c r="BYZ34"/>
      <c r="BZA34"/>
      <c r="BZB34"/>
      <c r="BZC34"/>
      <c r="BZD34"/>
      <c r="BZE34"/>
      <c r="BZF34"/>
      <c r="BZG34"/>
      <c r="BZH34"/>
      <c r="BZI34"/>
      <c r="BZJ34"/>
      <c r="BZK34"/>
      <c r="BZL34"/>
      <c r="BZM34"/>
      <c r="BZN34"/>
      <c r="BZO34"/>
      <c r="BZP34"/>
      <c r="BZQ34"/>
      <c r="BZR34"/>
      <c r="BZS34"/>
      <c r="BZT34"/>
      <c r="BZU34"/>
      <c r="BZV34"/>
      <c r="BZW34"/>
      <c r="BZX34"/>
      <c r="BZY34"/>
      <c r="BZZ34"/>
      <c r="CAA34"/>
      <c r="CAB34"/>
      <c r="CAC34"/>
      <c r="CAD34"/>
      <c r="CAE34"/>
      <c r="CAF34"/>
      <c r="CAG34"/>
      <c r="CAH34"/>
      <c r="CAI34"/>
      <c r="CAJ34"/>
      <c r="CAK34"/>
      <c r="CAL34"/>
      <c r="CAM34"/>
      <c r="CAN34"/>
      <c r="CAO34"/>
      <c r="CAP34"/>
      <c r="CAQ34"/>
      <c r="CAR34"/>
      <c r="CAS34"/>
      <c r="CAT34"/>
      <c r="CAU34"/>
      <c r="CAV34"/>
      <c r="CAW34"/>
      <c r="CAX34"/>
      <c r="CAY34"/>
      <c r="CAZ34"/>
      <c r="CBA34"/>
      <c r="CBB34"/>
      <c r="CBC34"/>
      <c r="CBD34"/>
      <c r="CBE34"/>
      <c r="CBF34"/>
      <c r="CBG34"/>
      <c r="CBH34"/>
      <c r="CBI34"/>
      <c r="CBJ34"/>
      <c r="CBK34"/>
      <c r="CBL34"/>
      <c r="CBM34"/>
      <c r="CBN34"/>
      <c r="CBO34"/>
      <c r="CBP34"/>
      <c r="CBQ34"/>
      <c r="CBR34"/>
      <c r="CBS34"/>
      <c r="CBT34"/>
      <c r="CBU34"/>
      <c r="CBV34"/>
      <c r="CBW34"/>
      <c r="CBX34"/>
      <c r="CBY34"/>
      <c r="CBZ34"/>
      <c r="CCA34"/>
      <c r="CCB34"/>
      <c r="CCC34"/>
      <c r="CCD34"/>
      <c r="CCE34"/>
      <c r="CCF34"/>
      <c r="CCG34"/>
      <c r="CCH34"/>
      <c r="CCI34"/>
      <c r="CCJ34"/>
      <c r="CCK34"/>
      <c r="CCL34"/>
      <c r="CCM34"/>
      <c r="CCN34"/>
      <c r="CCO34"/>
      <c r="CCP34"/>
      <c r="CCQ34"/>
      <c r="CCR34"/>
      <c r="CCS34"/>
      <c r="CCT34"/>
      <c r="CCU34"/>
      <c r="CCV34"/>
      <c r="CCW34"/>
      <c r="CCX34"/>
      <c r="CCY34"/>
      <c r="CCZ34"/>
      <c r="CDA34"/>
      <c r="CDB34"/>
      <c r="CDC34"/>
      <c r="CDD34"/>
      <c r="CDE34"/>
      <c r="CDF34"/>
      <c r="CDG34"/>
      <c r="CDH34"/>
      <c r="CDI34"/>
      <c r="CDJ34"/>
      <c r="CDK34"/>
      <c r="CDL34"/>
      <c r="CDM34"/>
      <c r="CDN34"/>
      <c r="CDO34"/>
      <c r="CDP34"/>
      <c r="CDQ34"/>
      <c r="CDR34"/>
      <c r="CDS34"/>
      <c r="CDT34"/>
      <c r="CDU34"/>
      <c r="CDV34"/>
      <c r="CDW34"/>
      <c r="CDX34"/>
      <c r="CDY34"/>
      <c r="CDZ34"/>
      <c r="CEA34"/>
      <c r="CEB34"/>
      <c r="CEC34"/>
      <c r="CED34"/>
      <c r="CEE34"/>
      <c r="CEF34"/>
      <c r="CEG34"/>
      <c r="CEH34"/>
      <c r="CEI34"/>
      <c r="CEJ34"/>
      <c r="CEK34"/>
      <c r="CEL34"/>
      <c r="CEM34"/>
      <c r="CEN34"/>
      <c r="CEO34"/>
      <c r="CEP34"/>
      <c r="CEQ34"/>
      <c r="CER34"/>
      <c r="CES34"/>
      <c r="CET34"/>
      <c r="CEU34"/>
      <c r="CEV34"/>
      <c r="CEW34"/>
      <c r="CEX34"/>
      <c r="CEY34"/>
      <c r="CEZ34"/>
      <c r="CFA34"/>
      <c r="CFB34"/>
      <c r="CFC34"/>
      <c r="CFD34"/>
      <c r="CFE34"/>
      <c r="CFF34"/>
      <c r="CFG34"/>
      <c r="CFH34"/>
      <c r="CFI34"/>
      <c r="CFJ34"/>
      <c r="CFK34"/>
      <c r="CFL34"/>
      <c r="CFM34"/>
      <c r="CFN34"/>
      <c r="CFO34"/>
      <c r="CFP34"/>
      <c r="CFQ34"/>
      <c r="CFR34"/>
      <c r="CFS34"/>
      <c r="CFT34"/>
      <c r="CFU34"/>
      <c r="CFV34"/>
      <c r="CFW34"/>
      <c r="CFX34"/>
      <c r="CFY34"/>
      <c r="CFZ34"/>
      <c r="CGA34"/>
      <c r="CGB34"/>
      <c r="CGC34"/>
      <c r="CGD34"/>
      <c r="CGE34"/>
      <c r="CGF34"/>
      <c r="CGG34"/>
      <c r="CGH34"/>
      <c r="CGI34"/>
      <c r="CGJ34"/>
      <c r="CGK34"/>
      <c r="CGL34"/>
      <c r="CGM34"/>
      <c r="CGN34"/>
      <c r="CGO34"/>
      <c r="CGP34"/>
      <c r="CGQ34"/>
      <c r="CGR34"/>
      <c r="CGS34"/>
      <c r="CGT34"/>
      <c r="CGU34"/>
      <c r="CGV34"/>
      <c r="CGW34"/>
      <c r="CGX34"/>
      <c r="CGY34"/>
      <c r="CGZ34"/>
      <c r="CHA34"/>
      <c r="CHB34"/>
      <c r="CHC34"/>
      <c r="CHD34"/>
      <c r="CHE34"/>
      <c r="CHF34"/>
      <c r="CHG34"/>
      <c r="CHH34"/>
      <c r="CHI34"/>
      <c r="CHJ34"/>
      <c r="CHK34"/>
      <c r="CHL34"/>
      <c r="CHM34"/>
      <c r="CHN34"/>
      <c r="CHO34"/>
      <c r="CHP34"/>
      <c r="CHQ34"/>
      <c r="CHR34"/>
      <c r="CHS34"/>
      <c r="CHT34"/>
      <c r="CHU34"/>
      <c r="CHV34"/>
      <c r="CHW34"/>
      <c r="CHX34"/>
      <c r="CHY34"/>
      <c r="CHZ34"/>
      <c r="CIA34"/>
      <c r="CIB34"/>
      <c r="CIC34"/>
      <c r="CID34"/>
      <c r="CIE34"/>
      <c r="CIF34"/>
      <c r="CIG34"/>
      <c r="CIH34"/>
      <c r="CII34"/>
      <c r="CIJ34"/>
      <c r="CIK34"/>
      <c r="CIL34"/>
      <c r="CIM34"/>
      <c r="CIN34"/>
      <c r="CIO34"/>
      <c r="CIP34"/>
      <c r="CIQ34"/>
      <c r="CIR34"/>
      <c r="CIS34"/>
      <c r="CIT34"/>
      <c r="CIU34"/>
      <c r="CIV34"/>
      <c r="CIW34"/>
      <c r="CIX34"/>
      <c r="CIY34"/>
      <c r="CIZ34"/>
      <c r="CJA34"/>
      <c r="CJB34"/>
      <c r="CJC34"/>
      <c r="CJD34"/>
      <c r="CJE34"/>
      <c r="CJF34"/>
      <c r="CJG34"/>
      <c r="CJH34"/>
      <c r="CJI34"/>
      <c r="CJJ34"/>
      <c r="CJK34"/>
      <c r="CJL34"/>
      <c r="CJM34"/>
      <c r="CJN34"/>
      <c r="CJO34"/>
      <c r="CJP34"/>
      <c r="CJQ34"/>
      <c r="CJR34"/>
      <c r="CJS34"/>
      <c r="CJT34"/>
      <c r="CJU34"/>
      <c r="CJV34"/>
      <c r="CJW34"/>
      <c r="CJX34"/>
      <c r="CJY34"/>
      <c r="CJZ34"/>
      <c r="CKA34"/>
      <c r="CKB34"/>
      <c r="CKC34"/>
      <c r="CKD34"/>
      <c r="CKE34"/>
      <c r="CKF34"/>
      <c r="CKG34"/>
      <c r="CKH34"/>
      <c r="CKI34"/>
      <c r="CKJ34"/>
      <c r="CKK34"/>
      <c r="CKL34"/>
      <c r="CKM34"/>
      <c r="CKN34"/>
      <c r="CKO34"/>
      <c r="CKP34"/>
      <c r="CKQ34"/>
      <c r="CKR34"/>
      <c r="CKS34"/>
      <c r="CKT34"/>
      <c r="CKU34"/>
      <c r="CKV34"/>
      <c r="CKW34"/>
      <c r="CKX34"/>
      <c r="CKY34"/>
      <c r="CKZ34"/>
      <c r="CLA34"/>
      <c r="CLB34"/>
      <c r="CLC34"/>
      <c r="CLD34"/>
      <c r="CLE34"/>
      <c r="CLF34"/>
      <c r="CLG34"/>
      <c r="CLH34"/>
      <c r="CLI34"/>
      <c r="CLJ34"/>
      <c r="CLK34"/>
      <c r="CLL34"/>
      <c r="CLM34"/>
      <c r="CLN34"/>
      <c r="CLO34"/>
      <c r="CLP34"/>
      <c r="CLQ34"/>
      <c r="CLR34"/>
      <c r="CLS34"/>
      <c r="CLT34"/>
      <c r="CLU34"/>
      <c r="CLV34"/>
      <c r="CLW34"/>
      <c r="CLX34"/>
      <c r="CLY34"/>
      <c r="CLZ34"/>
      <c r="CMA34"/>
      <c r="CMB34"/>
      <c r="CMC34"/>
      <c r="CMD34"/>
      <c r="CME34"/>
      <c r="CMF34"/>
      <c r="CMG34"/>
      <c r="CMH34"/>
      <c r="CMI34"/>
      <c r="CMJ34"/>
      <c r="CMK34"/>
      <c r="CML34"/>
      <c r="CMM34"/>
      <c r="CMN34"/>
      <c r="CMO34"/>
      <c r="CMP34"/>
      <c r="CMQ34"/>
      <c r="CMR34"/>
      <c r="CMS34"/>
      <c r="CMT34"/>
      <c r="CMU34"/>
      <c r="CMV34"/>
      <c r="CMW34"/>
      <c r="CMX34"/>
      <c r="CMY34"/>
      <c r="CMZ34"/>
      <c r="CNA34"/>
      <c r="CNB34"/>
      <c r="CNC34"/>
      <c r="CND34"/>
      <c r="CNE34"/>
      <c r="CNF34"/>
      <c r="CNG34"/>
      <c r="CNH34"/>
      <c r="CNI34"/>
      <c r="CNJ34"/>
      <c r="CNK34"/>
      <c r="CNL34"/>
      <c r="CNM34"/>
      <c r="CNN34"/>
      <c r="CNO34"/>
      <c r="CNP34"/>
      <c r="CNQ34"/>
      <c r="CNR34"/>
      <c r="CNS34"/>
      <c r="CNT34"/>
      <c r="CNU34"/>
      <c r="CNV34"/>
      <c r="CNW34"/>
      <c r="CNX34"/>
      <c r="CNY34"/>
      <c r="CNZ34"/>
      <c r="COA34"/>
      <c r="COB34"/>
      <c r="COC34"/>
      <c r="COD34"/>
      <c r="COE34"/>
      <c r="COF34"/>
      <c r="COG34"/>
      <c r="COH34"/>
      <c r="COI34"/>
      <c r="COJ34"/>
      <c r="COK34"/>
      <c r="COL34"/>
      <c r="COM34"/>
      <c r="CON34"/>
      <c r="COO34"/>
      <c r="COP34"/>
      <c r="COQ34"/>
      <c r="COR34"/>
      <c r="COS34"/>
      <c r="COT34"/>
      <c r="COU34"/>
      <c r="COV34"/>
      <c r="COW34"/>
      <c r="COX34"/>
      <c r="COY34"/>
      <c r="COZ34"/>
      <c r="CPA34"/>
      <c r="CPB34"/>
      <c r="CPC34"/>
      <c r="CPD34"/>
      <c r="CPE34"/>
      <c r="CPF34"/>
      <c r="CPG34"/>
      <c r="CPH34"/>
      <c r="CPI34"/>
      <c r="CPJ34"/>
      <c r="CPK34"/>
      <c r="CPL34"/>
      <c r="CPM34"/>
      <c r="CPN34"/>
      <c r="CPO34"/>
      <c r="CPP34"/>
      <c r="CPQ34"/>
      <c r="CPR34"/>
      <c r="CPS34"/>
      <c r="CPT34"/>
      <c r="CPU34"/>
      <c r="CPV34"/>
      <c r="CPW34"/>
      <c r="CPX34"/>
      <c r="CPY34"/>
      <c r="CPZ34"/>
      <c r="CQA34"/>
      <c r="CQB34"/>
      <c r="CQC34"/>
      <c r="CQD34"/>
      <c r="CQE34"/>
      <c r="CQF34"/>
      <c r="CQG34"/>
      <c r="CQH34"/>
      <c r="CQI34"/>
      <c r="CQJ34"/>
      <c r="CQK34"/>
      <c r="CQL34"/>
      <c r="CQM34"/>
      <c r="CQN34"/>
      <c r="CQO34"/>
      <c r="CQP34"/>
      <c r="CQQ34"/>
      <c r="CQR34"/>
      <c r="CQS34"/>
      <c r="CQT34"/>
      <c r="CQU34"/>
      <c r="CQV34"/>
      <c r="CQW34"/>
      <c r="CQX34"/>
      <c r="CQY34"/>
      <c r="CQZ34"/>
      <c r="CRA34"/>
      <c r="CRB34"/>
      <c r="CRC34"/>
      <c r="CRD34"/>
      <c r="CRE34"/>
      <c r="CRF34"/>
      <c r="CRG34"/>
      <c r="CRH34"/>
      <c r="CRI34"/>
      <c r="CRJ34"/>
      <c r="CRK34"/>
      <c r="CRL34"/>
      <c r="CRM34"/>
      <c r="CRN34"/>
      <c r="CRO34"/>
      <c r="CRP34"/>
      <c r="CRQ34"/>
      <c r="CRR34"/>
      <c r="CRS34"/>
      <c r="CRT34"/>
      <c r="CRU34"/>
      <c r="CRV34"/>
      <c r="CRW34"/>
      <c r="CRX34"/>
      <c r="CRY34"/>
      <c r="CRZ34"/>
      <c r="CSA34"/>
      <c r="CSB34"/>
      <c r="CSC34"/>
      <c r="CSD34"/>
      <c r="CSE34"/>
      <c r="CSF34"/>
      <c r="CSG34"/>
      <c r="CSH34"/>
      <c r="CSI34"/>
      <c r="CSJ34"/>
      <c r="CSK34"/>
      <c r="CSL34"/>
      <c r="CSM34"/>
      <c r="CSN34"/>
      <c r="CSO34"/>
      <c r="CSP34"/>
      <c r="CSQ34"/>
      <c r="CSR34"/>
      <c r="CSS34"/>
      <c r="CST34"/>
      <c r="CSU34"/>
      <c r="CSV34"/>
      <c r="CSW34"/>
      <c r="CSX34"/>
      <c r="CSY34"/>
      <c r="CSZ34"/>
      <c r="CTA34"/>
      <c r="CTB34"/>
      <c r="CTC34"/>
      <c r="CTD34"/>
      <c r="CTE34"/>
      <c r="CTF34"/>
      <c r="CTG34"/>
      <c r="CTH34"/>
      <c r="CTI34"/>
      <c r="CTJ34"/>
      <c r="CTK34"/>
      <c r="CTL34"/>
      <c r="CTM34"/>
      <c r="CTN34"/>
      <c r="CTO34"/>
      <c r="CTP34"/>
      <c r="CTQ34"/>
      <c r="CTR34"/>
      <c r="CTS34"/>
      <c r="CTT34"/>
      <c r="CTU34"/>
      <c r="CTV34"/>
      <c r="CTW34"/>
      <c r="CTX34"/>
      <c r="CTY34"/>
      <c r="CTZ34"/>
      <c r="CUA34"/>
      <c r="CUB34"/>
      <c r="CUC34"/>
      <c r="CUD34"/>
      <c r="CUE34"/>
      <c r="CUF34"/>
      <c r="CUG34"/>
      <c r="CUH34"/>
      <c r="CUI34"/>
      <c r="CUJ34"/>
      <c r="CUK34"/>
      <c r="CUL34"/>
      <c r="CUM34"/>
      <c r="CUN34"/>
      <c r="CUO34"/>
      <c r="CUP34"/>
      <c r="CUQ34"/>
      <c r="CUR34"/>
      <c r="CUS34"/>
      <c r="CUT34"/>
      <c r="CUU34"/>
      <c r="CUV34"/>
      <c r="CUW34"/>
      <c r="CUX34"/>
      <c r="CUY34"/>
      <c r="CUZ34"/>
      <c r="CVA34"/>
      <c r="CVB34"/>
      <c r="CVC34"/>
      <c r="CVD34"/>
      <c r="CVE34"/>
      <c r="CVF34"/>
      <c r="CVG34"/>
      <c r="CVH34"/>
      <c r="CVI34"/>
      <c r="CVJ34"/>
      <c r="CVK34"/>
      <c r="CVL34"/>
      <c r="CVM34"/>
      <c r="CVN34"/>
      <c r="CVO34"/>
      <c r="CVP34"/>
      <c r="CVQ34"/>
      <c r="CVR34"/>
      <c r="CVS34"/>
      <c r="CVT34"/>
      <c r="CVU34"/>
      <c r="CVV34"/>
      <c r="CVW34"/>
      <c r="CVX34"/>
      <c r="CVY34"/>
      <c r="CVZ34"/>
      <c r="CWA34"/>
      <c r="CWB34"/>
      <c r="CWC34"/>
      <c r="CWD34"/>
      <c r="CWE34"/>
      <c r="CWF34"/>
      <c r="CWG34"/>
      <c r="CWH34"/>
      <c r="CWI34"/>
      <c r="CWJ34"/>
      <c r="CWK34"/>
      <c r="CWL34"/>
      <c r="CWM34"/>
      <c r="CWN34"/>
      <c r="CWO34"/>
      <c r="CWP34"/>
      <c r="CWQ34"/>
      <c r="CWR34"/>
      <c r="CWS34"/>
      <c r="CWT34"/>
      <c r="CWU34"/>
      <c r="CWV34"/>
      <c r="CWW34"/>
      <c r="CWX34"/>
      <c r="CWY34"/>
      <c r="CWZ34"/>
      <c r="CXA34"/>
      <c r="CXB34"/>
      <c r="CXC34"/>
      <c r="CXD34"/>
      <c r="CXE34"/>
      <c r="CXF34"/>
      <c r="CXG34"/>
      <c r="CXH34"/>
      <c r="CXI34"/>
      <c r="CXJ34"/>
      <c r="CXK34"/>
      <c r="CXL34"/>
      <c r="CXM34"/>
      <c r="CXN34"/>
      <c r="CXO34"/>
      <c r="CXP34"/>
      <c r="CXQ34"/>
      <c r="CXR34"/>
      <c r="CXS34"/>
      <c r="CXT34"/>
      <c r="CXU34"/>
      <c r="CXV34"/>
      <c r="CXW34"/>
      <c r="CXX34"/>
      <c r="CXY34"/>
      <c r="CXZ34"/>
      <c r="CYA34"/>
      <c r="CYB34"/>
      <c r="CYC34"/>
      <c r="CYD34"/>
      <c r="CYE34"/>
      <c r="CYF34"/>
      <c r="CYG34"/>
      <c r="CYH34"/>
      <c r="CYI34"/>
      <c r="CYJ34"/>
      <c r="CYK34"/>
      <c r="CYL34"/>
      <c r="CYM34"/>
      <c r="CYN34"/>
      <c r="CYO34"/>
      <c r="CYP34"/>
      <c r="CYQ34"/>
      <c r="CYR34"/>
      <c r="CYS34"/>
      <c r="CYT34"/>
      <c r="CYU34"/>
      <c r="CYV34"/>
      <c r="CYW34"/>
      <c r="CYX34"/>
      <c r="CYY34"/>
      <c r="CYZ34"/>
      <c r="CZA34"/>
      <c r="CZB34"/>
      <c r="CZC34"/>
      <c r="CZD34"/>
      <c r="CZE34"/>
      <c r="CZF34"/>
      <c r="CZG34"/>
      <c r="CZH34"/>
      <c r="CZI34"/>
      <c r="CZJ34"/>
      <c r="CZK34"/>
      <c r="CZL34"/>
      <c r="CZM34"/>
      <c r="CZN34"/>
      <c r="CZO34"/>
      <c r="CZP34"/>
      <c r="CZQ34"/>
      <c r="CZR34"/>
      <c r="CZS34"/>
      <c r="CZT34"/>
      <c r="CZU34"/>
      <c r="CZV34"/>
      <c r="CZW34"/>
      <c r="CZX34"/>
      <c r="CZY34"/>
      <c r="CZZ34"/>
      <c r="DAA34"/>
      <c r="DAB34"/>
      <c r="DAC34"/>
      <c r="DAD34"/>
      <c r="DAE34"/>
      <c r="DAF34"/>
      <c r="DAG34"/>
      <c r="DAH34"/>
      <c r="DAI34"/>
      <c r="DAJ34"/>
      <c r="DAK34"/>
      <c r="DAL34"/>
      <c r="DAM34"/>
      <c r="DAN34"/>
      <c r="DAO34"/>
      <c r="DAP34"/>
      <c r="DAQ34"/>
      <c r="DAR34"/>
      <c r="DAS34"/>
      <c r="DAT34"/>
      <c r="DAU34"/>
      <c r="DAV34"/>
      <c r="DAW34"/>
      <c r="DAX34"/>
      <c r="DAY34"/>
      <c r="DAZ34"/>
      <c r="DBA34"/>
      <c r="DBB34"/>
      <c r="DBC34"/>
      <c r="DBD34"/>
      <c r="DBE34"/>
      <c r="DBF34"/>
      <c r="DBG34"/>
      <c r="DBH34"/>
      <c r="DBI34"/>
      <c r="DBJ34"/>
      <c r="DBK34"/>
      <c r="DBL34"/>
      <c r="DBM34"/>
      <c r="DBN34"/>
      <c r="DBO34"/>
      <c r="DBP34"/>
      <c r="DBQ34"/>
      <c r="DBR34"/>
      <c r="DBS34"/>
      <c r="DBT34"/>
      <c r="DBU34"/>
      <c r="DBV34"/>
      <c r="DBW34"/>
      <c r="DBX34"/>
      <c r="DBY34"/>
      <c r="DBZ34"/>
      <c r="DCA34"/>
      <c r="DCB34"/>
      <c r="DCC34"/>
      <c r="DCD34"/>
      <c r="DCE34"/>
      <c r="DCF34"/>
      <c r="DCG34"/>
      <c r="DCH34"/>
      <c r="DCI34"/>
      <c r="DCJ34"/>
      <c r="DCK34"/>
      <c r="DCL34"/>
      <c r="DCM34"/>
      <c r="DCN34"/>
      <c r="DCO34"/>
      <c r="DCP34"/>
      <c r="DCQ34"/>
      <c r="DCR34"/>
      <c r="DCS34"/>
      <c r="DCT34"/>
      <c r="DCU34"/>
      <c r="DCV34"/>
      <c r="DCW34"/>
      <c r="DCX34"/>
      <c r="DCY34"/>
      <c r="DCZ34"/>
      <c r="DDA34"/>
      <c r="DDB34"/>
      <c r="DDC34"/>
      <c r="DDD34"/>
      <c r="DDE34"/>
      <c r="DDF34"/>
      <c r="DDG34"/>
      <c r="DDH34"/>
      <c r="DDI34"/>
      <c r="DDJ34"/>
      <c r="DDK34"/>
      <c r="DDL34"/>
      <c r="DDM34"/>
      <c r="DDN34"/>
      <c r="DDO34"/>
      <c r="DDP34"/>
      <c r="DDQ34"/>
      <c r="DDR34"/>
      <c r="DDS34"/>
      <c r="DDT34"/>
      <c r="DDU34"/>
      <c r="DDV34"/>
      <c r="DDW34"/>
      <c r="DDX34"/>
      <c r="DDY34"/>
      <c r="DDZ34"/>
      <c r="DEA34"/>
      <c r="DEB34"/>
      <c r="DEC34"/>
      <c r="DED34"/>
      <c r="DEE34"/>
      <c r="DEF34"/>
      <c r="DEG34"/>
      <c r="DEH34"/>
      <c r="DEI34"/>
      <c r="DEJ34"/>
      <c r="DEK34"/>
      <c r="DEL34"/>
      <c r="DEM34"/>
      <c r="DEN34"/>
      <c r="DEO34"/>
      <c r="DEP34"/>
      <c r="DEQ34"/>
      <c r="DER34"/>
      <c r="DES34"/>
      <c r="DET34"/>
      <c r="DEU34"/>
      <c r="DEV34"/>
      <c r="DEW34"/>
      <c r="DEX34"/>
      <c r="DEY34"/>
      <c r="DEZ34"/>
      <c r="DFA34"/>
      <c r="DFB34"/>
      <c r="DFC34"/>
      <c r="DFD34"/>
      <c r="DFE34"/>
      <c r="DFF34"/>
      <c r="DFG34"/>
      <c r="DFH34"/>
      <c r="DFI34"/>
      <c r="DFJ34"/>
      <c r="DFK34"/>
      <c r="DFL34"/>
      <c r="DFM34"/>
      <c r="DFN34"/>
      <c r="DFO34"/>
      <c r="DFP34"/>
      <c r="DFQ34"/>
      <c r="DFR34"/>
      <c r="DFS34"/>
      <c r="DFT34"/>
      <c r="DFU34"/>
      <c r="DFV34"/>
      <c r="DFW34"/>
      <c r="DFX34"/>
      <c r="DFY34"/>
      <c r="DFZ34"/>
      <c r="DGA34"/>
      <c r="DGB34"/>
      <c r="DGC34"/>
      <c r="DGD34"/>
      <c r="DGE34"/>
      <c r="DGF34"/>
      <c r="DGG34"/>
      <c r="DGH34"/>
      <c r="DGI34"/>
      <c r="DGJ34"/>
      <c r="DGK34"/>
      <c r="DGL34"/>
      <c r="DGM34"/>
      <c r="DGN34"/>
      <c r="DGO34"/>
      <c r="DGP34"/>
      <c r="DGQ34"/>
      <c r="DGR34"/>
      <c r="DGS34"/>
      <c r="DGT34"/>
      <c r="DGU34"/>
      <c r="DGV34"/>
      <c r="DGW34"/>
      <c r="DGX34"/>
      <c r="DGY34"/>
      <c r="DGZ34"/>
      <c r="DHA34"/>
      <c r="DHB34"/>
      <c r="DHC34"/>
      <c r="DHD34"/>
      <c r="DHE34"/>
      <c r="DHF34"/>
      <c r="DHG34"/>
      <c r="DHH34"/>
      <c r="DHI34"/>
      <c r="DHJ34"/>
      <c r="DHK34"/>
      <c r="DHL34"/>
      <c r="DHM34"/>
      <c r="DHN34"/>
      <c r="DHO34"/>
      <c r="DHP34"/>
      <c r="DHQ34"/>
      <c r="DHR34"/>
      <c r="DHS34"/>
      <c r="DHT34"/>
      <c r="DHU34"/>
      <c r="DHV34"/>
      <c r="DHW34"/>
      <c r="DHX34"/>
      <c r="DHY34"/>
      <c r="DHZ34"/>
      <c r="DIA34"/>
      <c r="DIB34"/>
      <c r="DIC34"/>
      <c r="DID34"/>
      <c r="DIE34"/>
      <c r="DIF34"/>
      <c r="DIG34"/>
      <c r="DIH34"/>
      <c r="DII34"/>
      <c r="DIJ34"/>
      <c r="DIK34"/>
      <c r="DIL34"/>
      <c r="DIM34"/>
      <c r="DIN34"/>
      <c r="DIO34"/>
      <c r="DIP34"/>
      <c r="DIQ34"/>
      <c r="DIR34"/>
      <c r="DIS34"/>
      <c r="DIT34"/>
      <c r="DIU34"/>
      <c r="DIV34"/>
      <c r="DIW34"/>
      <c r="DIX34"/>
      <c r="DIY34"/>
      <c r="DIZ34"/>
      <c r="DJA34"/>
      <c r="DJB34"/>
      <c r="DJC34"/>
      <c r="DJD34"/>
      <c r="DJE34"/>
      <c r="DJF34"/>
      <c r="DJG34"/>
      <c r="DJH34"/>
      <c r="DJI34"/>
      <c r="DJJ34"/>
      <c r="DJK34"/>
      <c r="DJL34"/>
      <c r="DJM34"/>
      <c r="DJN34"/>
      <c r="DJO34"/>
      <c r="DJP34"/>
      <c r="DJQ34"/>
      <c r="DJR34"/>
      <c r="DJS34"/>
      <c r="DJT34"/>
      <c r="DJU34"/>
      <c r="DJV34"/>
      <c r="DJW34"/>
      <c r="DJX34"/>
      <c r="DJY34"/>
      <c r="DJZ34"/>
      <c r="DKA34"/>
      <c r="DKB34"/>
      <c r="DKC34"/>
      <c r="DKD34"/>
      <c r="DKE34"/>
      <c r="DKF34"/>
      <c r="DKG34"/>
      <c r="DKH34"/>
      <c r="DKI34"/>
      <c r="DKJ34"/>
      <c r="DKK34"/>
      <c r="DKL34"/>
      <c r="DKM34"/>
      <c r="DKN34"/>
      <c r="DKO34"/>
      <c r="DKP34"/>
      <c r="DKQ34"/>
      <c r="DKR34"/>
      <c r="DKS34"/>
      <c r="DKT34"/>
      <c r="DKU34"/>
      <c r="DKV34"/>
      <c r="DKW34"/>
      <c r="DKX34"/>
      <c r="DKY34"/>
      <c r="DKZ34"/>
      <c r="DLA34"/>
      <c r="DLB34"/>
      <c r="DLC34"/>
      <c r="DLD34"/>
      <c r="DLE34"/>
      <c r="DLF34"/>
      <c r="DLG34"/>
      <c r="DLH34"/>
      <c r="DLI34"/>
      <c r="DLJ34"/>
      <c r="DLK34"/>
      <c r="DLL34"/>
      <c r="DLM34"/>
      <c r="DLN34"/>
      <c r="DLO34"/>
      <c r="DLP34"/>
      <c r="DLQ34"/>
      <c r="DLR34"/>
      <c r="DLS34"/>
      <c r="DLT34"/>
      <c r="DLU34"/>
      <c r="DLV34"/>
      <c r="DLW34"/>
      <c r="DLX34"/>
      <c r="DLY34"/>
      <c r="DLZ34"/>
      <c r="DMA34"/>
      <c r="DMB34"/>
      <c r="DMC34"/>
      <c r="DMD34"/>
      <c r="DME34"/>
      <c r="DMF34"/>
      <c r="DMG34"/>
      <c r="DMH34"/>
      <c r="DMI34"/>
      <c r="DMJ34"/>
      <c r="DMK34"/>
      <c r="DML34"/>
      <c r="DMM34"/>
      <c r="DMN34"/>
      <c r="DMO34"/>
      <c r="DMP34"/>
      <c r="DMQ34"/>
      <c r="DMR34"/>
      <c r="DMS34"/>
      <c r="DMT34"/>
      <c r="DMU34"/>
      <c r="DMV34"/>
      <c r="DMW34"/>
      <c r="DMX34"/>
      <c r="DMY34"/>
      <c r="DMZ34"/>
      <c r="DNA34"/>
      <c r="DNB34"/>
      <c r="DNC34"/>
      <c r="DND34"/>
      <c r="DNE34"/>
      <c r="DNF34"/>
      <c r="DNG34"/>
      <c r="DNH34"/>
      <c r="DNI34"/>
      <c r="DNJ34"/>
      <c r="DNK34"/>
      <c r="DNL34"/>
      <c r="DNM34"/>
      <c r="DNN34"/>
      <c r="DNO34"/>
      <c r="DNP34"/>
      <c r="DNQ34"/>
      <c r="DNR34"/>
      <c r="DNS34"/>
      <c r="DNT34"/>
      <c r="DNU34"/>
      <c r="DNV34"/>
      <c r="DNW34"/>
      <c r="DNX34"/>
      <c r="DNY34"/>
      <c r="DNZ34"/>
      <c r="DOA34"/>
      <c r="DOB34"/>
      <c r="DOC34"/>
      <c r="DOD34"/>
      <c r="DOE34"/>
      <c r="DOF34"/>
      <c r="DOG34"/>
      <c r="DOH34"/>
      <c r="DOI34"/>
      <c r="DOJ34"/>
      <c r="DOK34"/>
      <c r="DOL34"/>
      <c r="DOM34"/>
      <c r="DON34"/>
      <c r="DOO34"/>
      <c r="DOP34"/>
      <c r="DOQ34"/>
      <c r="DOR34"/>
      <c r="DOS34"/>
      <c r="DOT34"/>
      <c r="DOU34"/>
      <c r="DOV34"/>
      <c r="DOW34"/>
      <c r="DOX34"/>
      <c r="DOY34"/>
      <c r="DOZ34"/>
      <c r="DPA34"/>
      <c r="DPB34"/>
      <c r="DPC34"/>
      <c r="DPD34"/>
      <c r="DPE34"/>
      <c r="DPF34"/>
      <c r="DPG34"/>
      <c r="DPH34"/>
      <c r="DPI34"/>
      <c r="DPJ34"/>
      <c r="DPK34"/>
      <c r="DPL34"/>
      <c r="DPM34"/>
      <c r="DPN34"/>
      <c r="DPO34"/>
      <c r="DPP34"/>
      <c r="DPQ34"/>
      <c r="DPR34"/>
      <c r="DPS34"/>
      <c r="DPT34"/>
      <c r="DPU34"/>
      <c r="DPV34"/>
      <c r="DPW34"/>
      <c r="DPX34"/>
      <c r="DPY34"/>
      <c r="DPZ34"/>
      <c r="DQA34"/>
      <c r="DQB34"/>
      <c r="DQC34"/>
      <c r="DQD34"/>
      <c r="DQE34"/>
      <c r="DQF34"/>
      <c r="DQG34"/>
      <c r="DQH34"/>
      <c r="DQI34"/>
      <c r="DQJ34"/>
      <c r="DQK34"/>
      <c r="DQL34"/>
      <c r="DQM34"/>
      <c r="DQN34"/>
      <c r="DQO34"/>
      <c r="DQP34"/>
      <c r="DQQ34"/>
      <c r="DQR34"/>
      <c r="DQS34"/>
      <c r="DQT34"/>
      <c r="DQU34"/>
      <c r="DQV34"/>
      <c r="DQW34"/>
      <c r="DQX34"/>
      <c r="DQY34"/>
      <c r="DQZ34"/>
      <c r="DRA34"/>
      <c r="DRB34"/>
      <c r="DRC34"/>
      <c r="DRD34"/>
      <c r="DRE34"/>
      <c r="DRF34"/>
      <c r="DRG34"/>
      <c r="DRH34"/>
      <c r="DRI34"/>
      <c r="DRJ34"/>
      <c r="DRK34"/>
      <c r="DRL34"/>
      <c r="DRM34"/>
      <c r="DRN34"/>
      <c r="DRO34"/>
      <c r="DRP34"/>
      <c r="DRQ34"/>
      <c r="DRR34"/>
      <c r="DRS34"/>
      <c r="DRT34"/>
      <c r="DRU34"/>
      <c r="DRV34"/>
      <c r="DRW34"/>
      <c r="DRX34"/>
      <c r="DRY34"/>
      <c r="DRZ34"/>
      <c r="DSA34"/>
      <c r="DSB34"/>
      <c r="DSC34"/>
      <c r="DSD34"/>
      <c r="DSE34"/>
      <c r="DSF34"/>
      <c r="DSG34"/>
      <c r="DSH34"/>
      <c r="DSI34"/>
      <c r="DSJ34"/>
      <c r="DSK34"/>
      <c r="DSL34"/>
      <c r="DSM34"/>
      <c r="DSN34"/>
      <c r="DSO34"/>
      <c r="DSP34"/>
      <c r="DSQ34"/>
      <c r="DSR34"/>
      <c r="DSS34"/>
      <c r="DST34"/>
      <c r="DSU34"/>
      <c r="DSV34"/>
      <c r="DSW34"/>
      <c r="DSX34"/>
      <c r="DSY34"/>
      <c r="DSZ34"/>
      <c r="DTA34"/>
      <c r="DTB34"/>
      <c r="DTC34"/>
      <c r="DTD34"/>
      <c r="DTE34"/>
      <c r="DTF34"/>
      <c r="DTG34"/>
      <c r="DTH34"/>
      <c r="DTI34"/>
      <c r="DTJ34"/>
      <c r="DTK34"/>
      <c r="DTL34"/>
      <c r="DTM34"/>
      <c r="DTN34"/>
      <c r="DTO34"/>
      <c r="DTP34"/>
      <c r="DTQ34"/>
      <c r="DTR34"/>
      <c r="DTS34"/>
      <c r="DTT34"/>
      <c r="DTU34"/>
      <c r="DTV34"/>
      <c r="DTW34"/>
      <c r="DTX34"/>
      <c r="DTY34"/>
      <c r="DTZ34"/>
      <c r="DUA34"/>
      <c r="DUB34"/>
      <c r="DUC34"/>
      <c r="DUD34"/>
      <c r="DUE34"/>
      <c r="DUF34"/>
      <c r="DUG34"/>
      <c r="DUH34"/>
      <c r="DUI34"/>
      <c r="DUJ34"/>
      <c r="DUK34"/>
      <c r="DUL34"/>
      <c r="DUM34"/>
      <c r="DUN34"/>
      <c r="DUO34"/>
      <c r="DUP34"/>
      <c r="DUQ34"/>
      <c r="DUR34"/>
      <c r="DUS34"/>
      <c r="DUT34"/>
      <c r="DUU34"/>
      <c r="DUV34"/>
      <c r="DUW34"/>
      <c r="DUX34"/>
      <c r="DUY34"/>
      <c r="DUZ34"/>
      <c r="DVA34"/>
      <c r="DVB34"/>
      <c r="DVC34"/>
      <c r="DVD34"/>
      <c r="DVE34"/>
      <c r="DVF34"/>
      <c r="DVG34"/>
      <c r="DVH34"/>
      <c r="DVI34"/>
      <c r="DVJ34"/>
      <c r="DVK34"/>
      <c r="DVL34"/>
      <c r="DVM34"/>
      <c r="DVN34"/>
      <c r="DVO34"/>
      <c r="DVP34"/>
      <c r="DVQ34"/>
      <c r="DVR34"/>
      <c r="DVS34"/>
      <c r="DVT34"/>
      <c r="DVU34"/>
      <c r="DVV34"/>
      <c r="DVW34"/>
      <c r="DVX34"/>
      <c r="DVY34"/>
      <c r="DVZ34"/>
      <c r="DWA34"/>
      <c r="DWB34"/>
      <c r="DWC34"/>
      <c r="DWD34"/>
      <c r="DWE34"/>
      <c r="DWF34"/>
      <c r="DWG34"/>
      <c r="DWH34"/>
      <c r="DWI34"/>
      <c r="DWJ34"/>
      <c r="DWK34"/>
      <c r="DWL34"/>
      <c r="DWM34"/>
      <c r="DWN34"/>
      <c r="DWO34"/>
      <c r="DWP34"/>
      <c r="DWQ34"/>
      <c r="DWR34"/>
      <c r="DWS34"/>
      <c r="DWT34"/>
      <c r="DWU34"/>
      <c r="DWV34"/>
      <c r="DWW34"/>
      <c r="DWX34"/>
      <c r="DWY34"/>
      <c r="DWZ34"/>
      <c r="DXA34"/>
      <c r="DXB34"/>
      <c r="DXC34"/>
      <c r="DXD34"/>
      <c r="DXE34"/>
      <c r="DXF34"/>
      <c r="DXG34"/>
      <c r="DXH34"/>
      <c r="DXI34"/>
      <c r="DXJ34"/>
      <c r="DXK34"/>
      <c r="DXL34"/>
      <c r="DXM34"/>
      <c r="DXN34"/>
      <c r="DXO34"/>
      <c r="DXP34"/>
      <c r="DXQ34"/>
      <c r="DXR34"/>
      <c r="DXS34"/>
      <c r="DXT34"/>
      <c r="DXU34"/>
      <c r="DXV34"/>
      <c r="DXW34"/>
      <c r="DXX34"/>
      <c r="DXY34"/>
      <c r="DXZ34"/>
      <c r="DYA34"/>
      <c r="DYB34"/>
      <c r="DYC34"/>
      <c r="DYD34"/>
      <c r="DYE34"/>
      <c r="DYF34"/>
      <c r="DYG34"/>
      <c r="DYH34"/>
      <c r="DYI34"/>
      <c r="DYJ34"/>
      <c r="DYK34"/>
      <c r="DYL34"/>
      <c r="DYM34"/>
      <c r="DYN34"/>
      <c r="DYO34"/>
      <c r="DYP34"/>
      <c r="DYQ34"/>
      <c r="DYR34"/>
      <c r="DYS34"/>
      <c r="DYT34"/>
      <c r="DYU34"/>
      <c r="DYV34"/>
      <c r="DYW34"/>
      <c r="DYX34"/>
      <c r="DYY34"/>
      <c r="DYZ34"/>
      <c r="DZA34"/>
      <c r="DZB34"/>
      <c r="DZC34"/>
      <c r="DZD34"/>
      <c r="DZE34"/>
      <c r="DZF34"/>
      <c r="DZG34"/>
      <c r="DZH34"/>
      <c r="DZI34"/>
      <c r="DZJ34"/>
      <c r="DZK34"/>
      <c r="DZL34"/>
      <c r="DZM34"/>
      <c r="DZN34"/>
      <c r="DZO34"/>
      <c r="DZP34"/>
      <c r="DZQ34"/>
      <c r="DZR34"/>
      <c r="DZS34"/>
      <c r="DZT34"/>
      <c r="DZU34"/>
      <c r="DZV34"/>
      <c r="DZW34"/>
      <c r="DZX34"/>
      <c r="DZY34"/>
      <c r="DZZ34"/>
      <c r="EAA34"/>
      <c r="EAB34"/>
      <c r="EAC34"/>
      <c r="EAD34"/>
      <c r="EAE34"/>
      <c r="EAF34"/>
      <c r="EAG34"/>
      <c r="EAH34"/>
      <c r="EAI34"/>
      <c r="EAJ34"/>
      <c r="EAK34"/>
      <c r="EAL34"/>
      <c r="EAM34"/>
      <c r="EAN34"/>
      <c r="EAO34"/>
      <c r="EAP34"/>
      <c r="EAQ34"/>
      <c r="EAR34"/>
      <c r="EAS34"/>
      <c r="EAT34"/>
      <c r="EAU34"/>
      <c r="EAV34"/>
      <c r="EAW34"/>
      <c r="EAX34"/>
      <c r="EAY34"/>
      <c r="EAZ34"/>
      <c r="EBA34"/>
      <c r="EBB34"/>
      <c r="EBC34"/>
      <c r="EBD34"/>
      <c r="EBE34"/>
      <c r="EBF34"/>
      <c r="EBG34"/>
      <c r="EBH34"/>
      <c r="EBI34"/>
      <c r="EBJ34"/>
      <c r="EBK34"/>
      <c r="EBL34"/>
      <c r="EBM34"/>
      <c r="EBN34"/>
      <c r="EBO34"/>
      <c r="EBP34"/>
      <c r="EBQ34"/>
      <c r="EBR34"/>
      <c r="EBS34"/>
      <c r="EBT34"/>
      <c r="EBU34"/>
      <c r="EBV34"/>
      <c r="EBW34"/>
      <c r="EBX34"/>
      <c r="EBY34"/>
      <c r="EBZ34"/>
      <c r="ECA34"/>
      <c r="ECB34"/>
      <c r="ECC34"/>
      <c r="ECD34"/>
      <c r="ECE34"/>
      <c r="ECF34"/>
      <c r="ECG34"/>
      <c r="ECH34"/>
      <c r="ECI34"/>
      <c r="ECJ34"/>
      <c r="ECK34"/>
      <c r="ECL34"/>
      <c r="ECM34"/>
      <c r="ECN34"/>
      <c r="ECO34"/>
      <c r="ECP34"/>
      <c r="ECQ34"/>
      <c r="ECR34"/>
      <c r="ECS34"/>
      <c r="ECT34"/>
      <c r="ECU34"/>
      <c r="ECV34"/>
      <c r="ECW34"/>
      <c r="ECX34"/>
      <c r="ECY34"/>
      <c r="ECZ34"/>
      <c r="EDA34"/>
      <c r="EDB34"/>
      <c r="EDC34"/>
      <c r="EDD34"/>
      <c r="EDE34"/>
      <c r="EDF34"/>
      <c r="EDG34"/>
      <c r="EDH34"/>
      <c r="EDI34"/>
      <c r="EDJ34"/>
      <c r="EDK34"/>
      <c r="EDL34"/>
      <c r="EDM34"/>
      <c r="EDN34"/>
      <c r="EDO34"/>
      <c r="EDP34"/>
      <c r="EDQ34"/>
      <c r="EDR34"/>
      <c r="EDS34"/>
      <c r="EDT34"/>
      <c r="EDU34"/>
      <c r="EDV34"/>
      <c r="EDW34"/>
      <c r="EDX34"/>
      <c r="EDY34"/>
      <c r="EDZ34"/>
      <c r="EEA34"/>
      <c r="EEB34"/>
      <c r="EEC34"/>
      <c r="EED34"/>
      <c r="EEE34"/>
      <c r="EEF34"/>
      <c r="EEG34"/>
      <c r="EEH34"/>
      <c r="EEI34"/>
      <c r="EEJ34"/>
      <c r="EEK34"/>
      <c r="EEL34"/>
      <c r="EEM34"/>
      <c r="EEN34"/>
      <c r="EEO34"/>
      <c r="EEP34"/>
      <c r="EEQ34"/>
      <c r="EER34"/>
      <c r="EES34"/>
      <c r="EET34"/>
      <c r="EEU34"/>
      <c r="EEV34"/>
      <c r="EEW34"/>
      <c r="EEX34"/>
      <c r="EEY34"/>
      <c r="EEZ34"/>
      <c r="EFA34"/>
      <c r="EFB34"/>
      <c r="EFC34"/>
      <c r="EFD34"/>
      <c r="EFE34"/>
      <c r="EFF34"/>
      <c r="EFG34"/>
      <c r="EFH34"/>
      <c r="EFI34"/>
      <c r="EFJ34"/>
      <c r="EFK34"/>
      <c r="EFL34"/>
      <c r="EFM34"/>
      <c r="EFN34"/>
      <c r="EFO34"/>
      <c r="EFP34"/>
      <c r="EFQ34"/>
      <c r="EFR34"/>
      <c r="EFS34"/>
      <c r="EFT34"/>
      <c r="EFU34"/>
      <c r="EFV34"/>
      <c r="EFW34"/>
      <c r="EFX34"/>
      <c r="EFY34"/>
      <c r="EFZ34"/>
      <c r="EGA34"/>
      <c r="EGB34"/>
      <c r="EGC34"/>
      <c r="EGD34"/>
      <c r="EGE34"/>
      <c r="EGF34"/>
      <c r="EGG34"/>
      <c r="EGH34"/>
      <c r="EGI34"/>
      <c r="EGJ34"/>
      <c r="EGK34"/>
      <c r="EGL34"/>
      <c r="EGM34"/>
      <c r="EGN34"/>
      <c r="EGO34"/>
      <c r="EGP34"/>
      <c r="EGQ34"/>
      <c r="EGR34"/>
      <c r="EGS34"/>
      <c r="EGT34"/>
      <c r="EGU34"/>
      <c r="EGV34"/>
      <c r="EGW34"/>
      <c r="EGX34"/>
      <c r="EGY34"/>
      <c r="EGZ34"/>
      <c r="EHA34"/>
      <c r="EHB34"/>
      <c r="EHC34"/>
      <c r="EHD34"/>
      <c r="EHE34"/>
      <c r="EHF34"/>
      <c r="EHG34"/>
      <c r="EHH34"/>
      <c r="EHI34"/>
      <c r="EHJ34"/>
      <c r="EHK34"/>
      <c r="EHL34"/>
      <c r="EHM34"/>
      <c r="EHN34"/>
      <c r="EHO34"/>
      <c r="EHP34"/>
      <c r="EHQ34"/>
      <c r="EHR34"/>
      <c r="EHS34"/>
      <c r="EHT34"/>
      <c r="EHU34"/>
      <c r="EHV34"/>
      <c r="EHW34"/>
      <c r="EHX34"/>
      <c r="EHY34"/>
      <c r="EHZ34"/>
      <c r="EIA34"/>
      <c r="EIB34"/>
      <c r="EIC34"/>
      <c r="EID34"/>
      <c r="EIE34"/>
      <c r="EIF34"/>
      <c r="EIG34"/>
      <c r="EIH34"/>
      <c r="EII34"/>
      <c r="EIJ34"/>
      <c r="EIK34"/>
      <c r="EIL34"/>
      <c r="EIM34"/>
      <c r="EIN34"/>
      <c r="EIO34"/>
      <c r="EIP34"/>
      <c r="EIQ34"/>
      <c r="EIR34"/>
      <c r="EIS34"/>
      <c r="EIT34"/>
      <c r="EIU34"/>
      <c r="EIV34"/>
      <c r="EIW34"/>
      <c r="EIX34"/>
      <c r="EIY34"/>
      <c r="EIZ34"/>
      <c r="EJA34"/>
      <c r="EJB34"/>
      <c r="EJC34"/>
      <c r="EJD34"/>
      <c r="EJE34"/>
      <c r="EJF34"/>
      <c r="EJG34"/>
      <c r="EJH34"/>
      <c r="EJI34"/>
      <c r="EJJ34"/>
      <c r="EJK34"/>
      <c r="EJL34"/>
      <c r="EJM34"/>
      <c r="EJN34"/>
      <c r="EJO34"/>
      <c r="EJP34"/>
      <c r="EJQ34"/>
      <c r="EJR34"/>
      <c r="EJS34"/>
      <c r="EJT34"/>
      <c r="EJU34"/>
      <c r="EJV34"/>
      <c r="EJW34"/>
      <c r="EJX34"/>
      <c r="EJY34"/>
      <c r="EJZ34"/>
      <c r="EKA34"/>
      <c r="EKB34"/>
      <c r="EKC34"/>
      <c r="EKD34"/>
      <c r="EKE34"/>
      <c r="EKF34"/>
      <c r="EKG34"/>
      <c r="EKH34"/>
      <c r="EKI34"/>
      <c r="EKJ34"/>
      <c r="EKK34"/>
      <c r="EKL34"/>
      <c r="EKM34"/>
      <c r="EKN34"/>
      <c r="EKO34"/>
      <c r="EKP34"/>
      <c r="EKQ34"/>
      <c r="EKR34"/>
      <c r="EKS34"/>
      <c r="EKT34"/>
      <c r="EKU34"/>
      <c r="EKV34"/>
      <c r="EKW34"/>
      <c r="EKX34"/>
      <c r="EKY34"/>
      <c r="EKZ34"/>
      <c r="ELA34"/>
      <c r="ELB34"/>
      <c r="ELC34"/>
      <c r="ELD34"/>
      <c r="ELE34"/>
      <c r="ELF34"/>
      <c r="ELG34"/>
      <c r="ELH34"/>
      <c r="ELI34"/>
      <c r="ELJ34"/>
      <c r="ELK34"/>
      <c r="ELL34"/>
      <c r="ELM34"/>
      <c r="ELN34"/>
      <c r="ELO34"/>
      <c r="ELP34"/>
      <c r="ELQ34"/>
      <c r="ELR34"/>
      <c r="ELS34"/>
      <c r="ELT34"/>
      <c r="ELU34"/>
      <c r="ELV34"/>
      <c r="ELW34"/>
      <c r="ELX34"/>
      <c r="ELY34"/>
      <c r="ELZ34"/>
      <c r="EMA34"/>
      <c r="EMB34"/>
      <c r="EMC34"/>
      <c r="EMD34"/>
      <c r="EME34"/>
      <c r="EMF34"/>
      <c r="EMG34"/>
      <c r="EMH34"/>
      <c r="EMI34"/>
      <c r="EMJ34"/>
      <c r="EMK34"/>
      <c r="EML34"/>
      <c r="EMM34"/>
      <c r="EMN34"/>
      <c r="EMO34"/>
      <c r="EMP34"/>
      <c r="EMQ34"/>
      <c r="EMR34"/>
      <c r="EMS34"/>
      <c r="EMT34"/>
      <c r="EMU34"/>
      <c r="EMV34"/>
      <c r="EMW34"/>
      <c r="EMX34"/>
      <c r="EMY34"/>
      <c r="EMZ34"/>
      <c r="ENA34"/>
      <c r="ENB34"/>
      <c r="ENC34"/>
      <c r="END34"/>
      <c r="ENE34"/>
      <c r="ENF34"/>
      <c r="ENG34"/>
      <c r="ENH34"/>
      <c r="ENI34"/>
      <c r="ENJ34"/>
      <c r="ENK34"/>
      <c r="ENL34"/>
      <c r="ENM34"/>
      <c r="ENN34"/>
      <c r="ENO34"/>
      <c r="ENP34"/>
      <c r="ENQ34"/>
      <c r="ENR34"/>
      <c r="ENS34"/>
      <c r="ENT34"/>
      <c r="ENU34"/>
      <c r="ENV34"/>
      <c r="ENW34"/>
      <c r="ENX34"/>
      <c r="ENY34"/>
      <c r="ENZ34"/>
      <c r="EOA34"/>
      <c r="EOB34"/>
      <c r="EOC34"/>
      <c r="EOD34"/>
      <c r="EOE34"/>
      <c r="EOF34"/>
      <c r="EOG34"/>
      <c r="EOH34"/>
      <c r="EOI34"/>
      <c r="EOJ34"/>
      <c r="EOK34"/>
      <c r="EOL34"/>
      <c r="EOM34"/>
      <c r="EON34"/>
      <c r="EOO34"/>
      <c r="EOP34"/>
      <c r="EOQ34"/>
      <c r="EOR34"/>
      <c r="EOS34"/>
      <c r="EOT34"/>
      <c r="EOU34"/>
      <c r="EOV34"/>
      <c r="EOW34"/>
      <c r="EOX34"/>
      <c r="EOY34"/>
      <c r="EOZ34"/>
      <c r="EPA34"/>
      <c r="EPB34"/>
      <c r="EPC34"/>
      <c r="EPD34"/>
      <c r="EPE34"/>
      <c r="EPF34"/>
      <c r="EPG34"/>
      <c r="EPH34"/>
      <c r="EPI34"/>
      <c r="EPJ34"/>
      <c r="EPK34"/>
      <c r="EPL34"/>
      <c r="EPM34"/>
      <c r="EPN34"/>
      <c r="EPO34"/>
      <c r="EPP34"/>
      <c r="EPQ34"/>
      <c r="EPR34"/>
      <c r="EPS34"/>
      <c r="EPT34"/>
      <c r="EPU34"/>
      <c r="EPV34"/>
      <c r="EPW34"/>
      <c r="EPX34"/>
      <c r="EPY34"/>
      <c r="EPZ34"/>
      <c r="EQA34"/>
      <c r="EQB34"/>
      <c r="EQC34"/>
      <c r="EQD34"/>
      <c r="EQE34"/>
      <c r="EQF34"/>
      <c r="EQG34"/>
      <c r="EQH34"/>
      <c r="EQI34"/>
      <c r="EQJ34"/>
      <c r="EQK34"/>
      <c r="EQL34"/>
      <c r="EQM34"/>
      <c r="EQN34"/>
      <c r="EQO34"/>
      <c r="EQP34"/>
      <c r="EQQ34"/>
      <c r="EQR34"/>
      <c r="EQS34"/>
      <c r="EQT34"/>
      <c r="EQU34"/>
      <c r="EQV34"/>
      <c r="EQW34"/>
      <c r="EQX34"/>
      <c r="EQY34"/>
      <c r="EQZ34"/>
      <c r="ERA34"/>
      <c r="ERB34"/>
      <c r="ERC34"/>
      <c r="ERD34"/>
      <c r="ERE34"/>
      <c r="ERF34"/>
      <c r="ERG34"/>
      <c r="ERH34"/>
      <c r="ERI34"/>
      <c r="ERJ34"/>
      <c r="ERK34"/>
      <c r="ERL34"/>
      <c r="ERM34"/>
      <c r="ERN34"/>
      <c r="ERO34"/>
      <c r="ERP34"/>
      <c r="ERQ34"/>
      <c r="ERR34"/>
      <c r="ERS34"/>
      <c r="ERT34"/>
      <c r="ERU34"/>
      <c r="ERV34"/>
      <c r="ERW34"/>
      <c r="ERX34"/>
      <c r="ERY34"/>
      <c r="ERZ34"/>
      <c r="ESA34"/>
      <c r="ESB34"/>
      <c r="ESC34"/>
      <c r="ESD34"/>
      <c r="ESE34"/>
      <c r="ESF34"/>
      <c r="ESG34"/>
      <c r="ESH34"/>
      <c r="ESI34"/>
      <c r="ESJ34"/>
      <c r="ESK34"/>
      <c r="ESL34"/>
      <c r="ESM34"/>
      <c r="ESN34"/>
      <c r="ESO34"/>
      <c r="ESP34"/>
      <c r="ESQ34"/>
      <c r="ESR34"/>
      <c r="ESS34"/>
      <c r="EST34"/>
      <c r="ESU34"/>
      <c r="ESV34"/>
      <c r="ESW34"/>
      <c r="ESX34"/>
      <c r="ESY34"/>
      <c r="ESZ34"/>
      <c r="ETA34"/>
      <c r="ETB34"/>
      <c r="ETC34"/>
      <c r="ETD34"/>
      <c r="ETE34"/>
      <c r="ETF34"/>
      <c r="ETG34"/>
      <c r="ETH34"/>
      <c r="ETI34"/>
      <c r="ETJ34"/>
      <c r="ETK34"/>
      <c r="ETL34"/>
      <c r="ETM34"/>
      <c r="ETN34"/>
      <c r="ETO34"/>
      <c r="ETP34"/>
      <c r="ETQ34"/>
      <c r="ETR34"/>
      <c r="ETS34"/>
      <c r="ETT34"/>
      <c r="ETU34"/>
      <c r="ETV34"/>
      <c r="ETW34"/>
      <c r="ETX34"/>
      <c r="ETY34"/>
      <c r="ETZ34"/>
      <c r="EUA34"/>
      <c r="EUB34"/>
      <c r="EUC34"/>
      <c r="EUD34"/>
      <c r="EUE34"/>
      <c r="EUF34"/>
      <c r="EUG34"/>
      <c r="EUH34"/>
      <c r="EUI34"/>
      <c r="EUJ34"/>
      <c r="EUK34"/>
      <c r="EUL34"/>
      <c r="EUM34"/>
      <c r="EUN34"/>
      <c r="EUO34"/>
      <c r="EUP34"/>
      <c r="EUQ34"/>
      <c r="EUR34"/>
      <c r="EUS34"/>
      <c r="EUT34"/>
      <c r="EUU34"/>
      <c r="EUV34"/>
      <c r="EUW34"/>
      <c r="EUX34"/>
      <c r="EUY34"/>
      <c r="EUZ34"/>
      <c r="EVA34"/>
      <c r="EVB34"/>
      <c r="EVC34"/>
      <c r="EVD34"/>
      <c r="EVE34"/>
      <c r="EVF34"/>
      <c r="EVG34"/>
      <c r="EVH34"/>
      <c r="EVI34"/>
      <c r="EVJ34"/>
      <c r="EVK34"/>
      <c r="EVL34"/>
      <c r="EVM34"/>
      <c r="EVN34"/>
      <c r="EVO34"/>
      <c r="EVP34"/>
      <c r="EVQ34"/>
      <c r="EVR34"/>
      <c r="EVS34"/>
      <c r="EVT34"/>
      <c r="EVU34"/>
      <c r="EVV34"/>
      <c r="EVW34"/>
      <c r="EVX34"/>
      <c r="EVY34"/>
      <c r="EVZ34"/>
      <c r="EWA34"/>
      <c r="EWB34"/>
      <c r="EWC34"/>
      <c r="EWD34"/>
      <c r="EWE34"/>
      <c r="EWF34"/>
      <c r="EWG34"/>
      <c r="EWH34"/>
      <c r="EWI34"/>
      <c r="EWJ34"/>
      <c r="EWK34"/>
      <c r="EWL34"/>
      <c r="EWM34"/>
      <c r="EWN34"/>
      <c r="EWO34"/>
      <c r="EWP34"/>
      <c r="EWQ34"/>
      <c r="EWR34"/>
      <c r="EWS34"/>
      <c r="EWT34"/>
      <c r="EWU34"/>
      <c r="EWV34"/>
      <c r="EWW34"/>
      <c r="EWX34"/>
      <c r="EWY34"/>
      <c r="EWZ34"/>
      <c r="EXA34"/>
      <c r="EXB34"/>
      <c r="EXC34"/>
      <c r="EXD34"/>
      <c r="EXE34"/>
      <c r="EXF34"/>
      <c r="EXG34"/>
      <c r="EXH34"/>
      <c r="EXI34"/>
      <c r="EXJ34"/>
      <c r="EXK34"/>
      <c r="EXL34"/>
      <c r="EXM34"/>
      <c r="EXN34"/>
      <c r="EXO34"/>
      <c r="EXP34"/>
      <c r="EXQ34"/>
      <c r="EXR34"/>
      <c r="EXS34"/>
      <c r="EXT34"/>
      <c r="EXU34"/>
      <c r="EXV34"/>
      <c r="EXW34"/>
      <c r="EXX34"/>
      <c r="EXY34"/>
      <c r="EXZ34"/>
      <c r="EYA34"/>
      <c r="EYB34"/>
      <c r="EYC34"/>
      <c r="EYD34"/>
      <c r="EYE34"/>
      <c r="EYF34"/>
      <c r="EYG34"/>
      <c r="EYH34"/>
      <c r="EYI34"/>
      <c r="EYJ34"/>
      <c r="EYK34"/>
      <c r="EYL34"/>
      <c r="EYM34"/>
      <c r="EYN34"/>
      <c r="EYO34"/>
      <c r="EYP34"/>
      <c r="EYQ34"/>
      <c r="EYR34"/>
      <c r="EYS34"/>
      <c r="EYT34"/>
      <c r="EYU34"/>
      <c r="EYV34"/>
      <c r="EYW34"/>
      <c r="EYX34"/>
      <c r="EYY34"/>
      <c r="EYZ34"/>
      <c r="EZA34"/>
      <c r="EZB34"/>
      <c r="EZC34"/>
      <c r="EZD34"/>
      <c r="EZE34"/>
      <c r="EZF34"/>
      <c r="EZG34"/>
      <c r="EZH34"/>
      <c r="EZI34"/>
      <c r="EZJ34"/>
      <c r="EZK34"/>
      <c r="EZL34"/>
      <c r="EZM34"/>
      <c r="EZN34"/>
      <c r="EZO34"/>
      <c r="EZP34"/>
      <c r="EZQ34"/>
      <c r="EZR34"/>
      <c r="EZS34"/>
      <c r="EZT34"/>
      <c r="EZU34"/>
      <c r="EZV34"/>
      <c r="EZW34"/>
      <c r="EZX34"/>
      <c r="EZY34"/>
      <c r="EZZ34"/>
      <c r="FAA34"/>
      <c r="FAB34"/>
      <c r="FAC34"/>
      <c r="FAD34"/>
      <c r="FAE34"/>
      <c r="FAF34"/>
      <c r="FAG34"/>
      <c r="FAH34"/>
      <c r="FAI34"/>
      <c r="FAJ34"/>
      <c r="FAK34"/>
      <c r="FAL34"/>
      <c r="FAM34"/>
      <c r="FAN34"/>
      <c r="FAO34"/>
      <c r="FAP34"/>
      <c r="FAQ34"/>
      <c r="FAR34"/>
      <c r="FAS34"/>
      <c r="FAT34"/>
      <c r="FAU34"/>
      <c r="FAV34"/>
      <c r="FAW34"/>
      <c r="FAX34"/>
      <c r="FAY34"/>
      <c r="FAZ34"/>
      <c r="FBA34"/>
      <c r="FBB34"/>
      <c r="FBC34"/>
      <c r="FBD34"/>
      <c r="FBE34"/>
      <c r="FBF34"/>
      <c r="FBG34"/>
      <c r="FBH34"/>
      <c r="FBI34"/>
      <c r="FBJ34"/>
      <c r="FBK34"/>
      <c r="FBL34"/>
      <c r="FBM34"/>
      <c r="FBN34"/>
      <c r="FBO34"/>
      <c r="FBP34"/>
      <c r="FBQ34"/>
      <c r="FBR34"/>
      <c r="FBS34"/>
      <c r="FBT34"/>
      <c r="FBU34"/>
      <c r="FBV34"/>
      <c r="FBW34"/>
      <c r="FBX34"/>
      <c r="FBY34"/>
      <c r="FBZ34"/>
      <c r="FCA34"/>
      <c r="FCB34"/>
      <c r="FCC34"/>
      <c r="FCD34"/>
      <c r="FCE34"/>
      <c r="FCF34"/>
      <c r="FCG34"/>
      <c r="FCH34"/>
      <c r="FCI34"/>
      <c r="FCJ34"/>
      <c r="FCK34"/>
      <c r="FCL34"/>
      <c r="FCM34"/>
      <c r="FCN34"/>
      <c r="FCO34"/>
      <c r="FCP34"/>
      <c r="FCQ34"/>
      <c r="FCR34"/>
      <c r="FCS34"/>
      <c r="FCT34"/>
      <c r="FCU34"/>
      <c r="FCV34"/>
      <c r="FCW34"/>
      <c r="FCX34"/>
      <c r="FCY34"/>
      <c r="FCZ34"/>
      <c r="FDA34"/>
      <c r="FDB34"/>
      <c r="FDC34"/>
      <c r="FDD34"/>
      <c r="FDE34"/>
      <c r="FDF34"/>
      <c r="FDG34"/>
      <c r="FDH34"/>
      <c r="FDI34"/>
      <c r="FDJ34"/>
      <c r="FDK34"/>
      <c r="FDL34"/>
      <c r="FDM34"/>
      <c r="FDN34"/>
      <c r="FDO34"/>
      <c r="FDP34"/>
      <c r="FDQ34"/>
      <c r="FDR34"/>
      <c r="FDS34"/>
      <c r="FDT34"/>
      <c r="FDU34"/>
      <c r="FDV34"/>
      <c r="FDW34"/>
      <c r="FDX34"/>
      <c r="FDY34"/>
      <c r="FDZ34"/>
      <c r="FEA34"/>
      <c r="FEB34"/>
      <c r="FEC34"/>
      <c r="FED34"/>
      <c r="FEE34"/>
      <c r="FEF34"/>
      <c r="FEG34"/>
      <c r="FEH34"/>
      <c r="FEI34"/>
      <c r="FEJ34"/>
      <c r="FEK34"/>
      <c r="FEL34"/>
      <c r="FEM34"/>
      <c r="FEN34"/>
      <c r="FEO34"/>
      <c r="FEP34"/>
      <c r="FEQ34"/>
      <c r="FER34"/>
      <c r="FES34"/>
      <c r="FET34"/>
      <c r="FEU34"/>
      <c r="FEV34"/>
      <c r="FEW34"/>
      <c r="FEX34"/>
      <c r="FEY34"/>
      <c r="FEZ34"/>
      <c r="FFA34"/>
      <c r="FFB34"/>
      <c r="FFC34"/>
      <c r="FFD34"/>
      <c r="FFE34"/>
      <c r="FFF34"/>
      <c r="FFG34"/>
      <c r="FFH34"/>
      <c r="FFI34"/>
      <c r="FFJ34"/>
      <c r="FFK34"/>
      <c r="FFL34"/>
      <c r="FFM34"/>
      <c r="FFN34"/>
      <c r="FFO34"/>
      <c r="FFP34"/>
      <c r="FFQ34"/>
      <c r="FFR34"/>
      <c r="FFS34"/>
      <c r="FFT34"/>
      <c r="FFU34"/>
      <c r="FFV34"/>
      <c r="FFW34"/>
      <c r="FFX34"/>
      <c r="FFY34"/>
      <c r="FFZ34"/>
      <c r="FGA34"/>
      <c r="FGB34"/>
      <c r="FGC34"/>
      <c r="FGD34"/>
      <c r="FGE34"/>
      <c r="FGF34"/>
      <c r="FGG34"/>
      <c r="FGH34"/>
      <c r="FGI34"/>
      <c r="FGJ34"/>
      <c r="FGK34"/>
      <c r="FGL34"/>
      <c r="FGM34"/>
      <c r="FGN34"/>
      <c r="FGO34"/>
      <c r="FGP34"/>
      <c r="FGQ34"/>
      <c r="FGR34"/>
      <c r="FGS34"/>
      <c r="FGT34"/>
      <c r="FGU34"/>
      <c r="FGV34"/>
      <c r="FGW34"/>
      <c r="FGX34"/>
      <c r="FGY34"/>
      <c r="FGZ34"/>
      <c r="FHA34"/>
      <c r="FHB34"/>
      <c r="FHC34"/>
      <c r="FHD34"/>
      <c r="FHE34"/>
      <c r="FHF34"/>
      <c r="FHG34"/>
      <c r="FHH34"/>
      <c r="FHI34"/>
      <c r="FHJ34"/>
      <c r="FHK34"/>
      <c r="FHL34"/>
      <c r="FHM34"/>
      <c r="FHN34"/>
      <c r="FHO34"/>
      <c r="FHP34"/>
      <c r="FHQ34"/>
      <c r="FHR34"/>
      <c r="FHS34"/>
      <c r="FHT34"/>
      <c r="FHU34"/>
      <c r="FHV34"/>
      <c r="FHW34"/>
      <c r="FHX34"/>
      <c r="FHY34"/>
      <c r="FHZ34"/>
      <c r="FIA34"/>
      <c r="FIB34"/>
      <c r="FIC34"/>
      <c r="FID34"/>
      <c r="FIE34"/>
      <c r="FIF34"/>
      <c r="FIG34"/>
      <c r="FIH34"/>
      <c r="FII34"/>
      <c r="FIJ34"/>
      <c r="FIK34"/>
      <c r="FIL34"/>
      <c r="FIM34"/>
      <c r="FIN34"/>
      <c r="FIO34"/>
      <c r="FIP34"/>
      <c r="FIQ34"/>
      <c r="FIR34"/>
      <c r="FIS34"/>
      <c r="FIT34"/>
      <c r="FIU34"/>
      <c r="FIV34"/>
      <c r="FIW34"/>
      <c r="FIX34"/>
      <c r="FIY34"/>
      <c r="FIZ34"/>
      <c r="FJA34"/>
      <c r="FJB34"/>
      <c r="FJC34"/>
      <c r="FJD34"/>
      <c r="FJE34"/>
      <c r="FJF34"/>
      <c r="FJG34"/>
      <c r="FJH34"/>
      <c r="FJI34"/>
      <c r="FJJ34"/>
      <c r="FJK34"/>
      <c r="FJL34"/>
      <c r="FJM34"/>
      <c r="FJN34"/>
      <c r="FJO34"/>
      <c r="FJP34"/>
      <c r="FJQ34"/>
      <c r="FJR34"/>
      <c r="FJS34"/>
      <c r="FJT34"/>
      <c r="FJU34"/>
      <c r="FJV34"/>
      <c r="FJW34"/>
      <c r="FJX34"/>
      <c r="FJY34"/>
      <c r="FJZ34"/>
      <c r="FKA34"/>
      <c r="FKB34"/>
      <c r="FKC34"/>
      <c r="FKD34"/>
      <c r="FKE34"/>
      <c r="FKF34"/>
      <c r="FKG34"/>
      <c r="FKH34"/>
      <c r="FKI34"/>
      <c r="FKJ34"/>
      <c r="FKK34"/>
      <c r="FKL34"/>
      <c r="FKM34"/>
      <c r="FKN34"/>
      <c r="FKO34"/>
      <c r="FKP34"/>
      <c r="FKQ34"/>
      <c r="FKR34"/>
      <c r="FKS34"/>
      <c r="FKT34"/>
      <c r="FKU34"/>
      <c r="FKV34"/>
      <c r="FKW34"/>
      <c r="FKX34"/>
      <c r="FKY34"/>
      <c r="FKZ34"/>
      <c r="FLA34"/>
      <c r="FLB34"/>
      <c r="FLC34"/>
      <c r="FLD34"/>
      <c r="FLE34"/>
      <c r="FLF34"/>
      <c r="FLG34"/>
      <c r="FLH34"/>
      <c r="FLI34"/>
      <c r="FLJ34"/>
      <c r="FLK34"/>
      <c r="FLL34"/>
      <c r="FLM34"/>
      <c r="FLN34"/>
      <c r="FLO34"/>
      <c r="FLP34"/>
      <c r="FLQ34"/>
      <c r="FLR34"/>
      <c r="FLS34"/>
      <c r="FLT34"/>
      <c r="FLU34"/>
      <c r="FLV34"/>
      <c r="FLW34"/>
      <c r="FLX34"/>
      <c r="FLY34"/>
      <c r="FLZ34"/>
      <c r="FMA34"/>
      <c r="FMB34"/>
      <c r="FMC34"/>
      <c r="FMD34"/>
      <c r="FME34"/>
      <c r="FMF34"/>
      <c r="FMG34"/>
      <c r="FMH34"/>
      <c r="FMI34"/>
      <c r="FMJ34"/>
      <c r="FMK34"/>
      <c r="FML34"/>
      <c r="FMM34"/>
      <c r="FMN34"/>
      <c r="FMO34"/>
      <c r="FMP34"/>
      <c r="FMQ34"/>
      <c r="FMR34"/>
      <c r="FMS34"/>
      <c r="FMT34"/>
      <c r="FMU34"/>
      <c r="FMV34"/>
      <c r="FMW34"/>
      <c r="FMX34"/>
      <c r="FMY34"/>
      <c r="FMZ34"/>
      <c r="FNA34"/>
      <c r="FNB34"/>
      <c r="FNC34"/>
      <c r="FND34"/>
      <c r="FNE34"/>
      <c r="FNF34"/>
      <c r="FNG34"/>
      <c r="FNH34"/>
      <c r="FNI34"/>
      <c r="FNJ34"/>
      <c r="FNK34"/>
      <c r="FNL34"/>
      <c r="FNM34"/>
      <c r="FNN34"/>
      <c r="FNO34"/>
      <c r="FNP34"/>
      <c r="FNQ34"/>
      <c r="FNR34"/>
      <c r="FNS34"/>
      <c r="FNT34"/>
      <c r="FNU34"/>
      <c r="FNV34"/>
      <c r="FNW34"/>
      <c r="FNX34"/>
      <c r="FNY34"/>
      <c r="FNZ34"/>
      <c r="FOA34"/>
      <c r="FOB34"/>
      <c r="FOC34"/>
      <c r="FOD34"/>
      <c r="FOE34"/>
      <c r="FOF34"/>
      <c r="FOG34"/>
      <c r="FOH34"/>
      <c r="FOI34"/>
      <c r="FOJ34"/>
      <c r="FOK34"/>
      <c r="FOL34"/>
      <c r="FOM34"/>
      <c r="FON34"/>
      <c r="FOO34"/>
      <c r="FOP34"/>
      <c r="FOQ34"/>
      <c r="FOR34"/>
      <c r="FOS34"/>
      <c r="FOT34"/>
      <c r="FOU34"/>
      <c r="FOV34"/>
      <c r="FOW34"/>
      <c r="FOX34"/>
      <c r="FOY34"/>
      <c r="FOZ34"/>
      <c r="FPA34"/>
      <c r="FPB34"/>
      <c r="FPC34"/>
      <c r="FPD34"/>
      <c r="FPE34"/>
      <c r="FPF34"/>
      <c r="FPG34"/>
      <c r="FPH34"/>
      <c r="FPI34"/>
      <c r="FPJ34"/>
      <c r="FPK34"/>
      <c r="FPL34"/>
      <c r="FPM34"/>
      <c r="FPN34"/>
      <c r="FPO34"/>
      <c r="FPP34"/>
      <c r="FPQ34"/>
      <c r="FPR34"/>
      <c r="FPS34"/>
      <c r="FPT34"/>
      <c r="FPU34"/>
      <c r="FPV34"/>
      <c r="FPW34"/>
      <c r="FPX34"/>
      <c r="FPY34"/>
      <c r="FPZ34"/>
      <c r="FQA34"/>
      <c r="FQB34"/>
      <c r="FQC34"/>
      <c r="FQD34"/>
      <c r="FQE34"/>
      <c r="FQF34"/>
      <c r="FQG34"/>
      <c r="FQH34"/>
      <c r="FQI34"/>
      <c r="FQJ34"/>
      <c r="FQK34"/>
      <c r="FQL34"/>
      <c r="FQM34"/>
      <c r="FQN34"/>
      <c r="FQO34"/>
      <c r="FQP34"/>
      <c r="FQQ34"/>
      <c r="FQR34"/>
      <c r="FQS34"/>
      <c r="FQT34"/>
      <c r="FQU34"/>
      <c r="FQV34"/>
      <c r="FQW34"/>
      <c r="FQX34"/>
      <c r="FQY34"/>
      <c r="FQZ34"/>
      <c r="FRA34"/>
      <c r="FRB34"/>
      <c r="FRC34"/>
      <c r="FRD34"/>
      <c r="FRE34"/>
      <c r="FRF34"/>
      <c r="FRG34"/>
      <c r="FRH34"/>
      <c r="FRI34"/>
      <c r="FRJ34"/>
      <c r="FRK34"/>
      <c r="FRL34"/>
      <c r="FRM34"/>
      <c r="FRN34"/>
      <c r="FRO34"/>
      <c r="FRP34"/>
      <c r="FRQ34"/>
      <c r="FRR34"/>
      <c r="FRS34"/>
      <c r="FRT34"/>
      <c r="FRU34"/>
      <c r="FRV34"/>
      <c r="FRW34"/>
      <c r="FRX34"/>
      <c r="FRY34"/>
      <c r="FRZ34"/>
      <c r="FSA34"/>
      <c r="FSB34"/>
      <c r="FSC34"/>
      <c r="FSD34"/>
      <c r="FSE34"/>
      <c r="FSF34"/>
      <c r="FSG34"/>
      <c r="FSH34"/>
      <c r="FSI34"/>
      <c r="FSJ34"/>
      <c r="FSK34"/>
      <c r="FSL34"/>
      <c r="FSM34"/>
      <c r="FSN34"/>
      <c r="FSO34"/>
      <c r="FSP34"/>
      <c r="FSQ34"/>
      <c r="FSR34"/>
      <c r="FSS34"/>
      <c r="FST34"/>
      <c r="FSU34"/>
      <c r="FSV34"/>
      <c r="FSW34"/>
      <c r="FSX34"/>
      <c r="FSY34"/>
      <c r="FSZ34"/>
      <c r="FTA34"/>
      <c r="FTB34"/>
      <c r="FTC34"/>
      <c r="FTD34"/>
      <c r="FTE34"/>
      <c r="FTF34"/>
      <c r="FTG34"/>
      <c r="FTH34"/>
      <c r="FTI34"/>
      <c r="FTJ34"/>
      <c r="FTK34"/>
      <c r="FTL34"/>
      <c r="FTM34"/>
      <c r="FTN34"/>
      <c r="FTO34"/>
      <c r="FTP34"/>
      <c r="FTQ34"/>
      <c r="FTR34"/>
      <c r="FTS34"/>
      <c r="FTT34"/>
      <c r="FTU34"/>
      <c r="FTV34"/>
      <c r="FTW34"/>
      <c r="FTX34"/>
      <c r="FTY34"/>
      <c r="FTZ34"/>
      <c r="FUA34"/>
      <c r="FUB34"/>
      <c r="FUC34"/>
      <c r="FUD34"/>
      <c r="FUE34"/>
      <c r="FUF34"/>
      <c r="FUG34"/>
      <c r="FUH34"/>
      <c r="FUI34"/>
      <c r="FUJ34"/>
      <c r="FUK34"/>
      <c r="FUL34"/>
      <c r="FUM34"/>
      <c r="FUN34"/>
      <c r="FUO34"/>
      <c r="FUP34"/>
      <c r="FUQ34"/>
      <c r="FUR34"/>
      <c r="FUS34"/>
      <c r="FUT34"/>
      <c r="FUU34"/>
      <c r="FUV34"/>
      <c r="FUW34"/>
      <c r="FUX34"/>
      <c r="FUY34"/>
      <c r="FUZ34"/>
      <c r="FVA34"/>
      <c r="FVB34"/>
      <c r="FVC34"/>
      <c r="FVD34"/>
      <c r="FVE34"/>
      <c r="FVF34"/>
      <c r="FVG34"/>
      <c r="FVH34"/>
      <c r="FVI34"/>
      <c r="FVJ34"/>
      <c r="FVK34"/>
      <c r="FVL34"/>
      <c r="FVM34"/>
      <c r="FVN34"/>
      <c r="FVO34"/>
      <c r="FVP34"/>
      <c r="FVQ34"/>
      <c r="FVR34"/>
      <c r="FVS34"/>
      <c r="FVT34"/>
      <c r="FVU34"/>
      <c r="FVV34"/>
      <c r="FVW34"/>
      <c r="FVX34"/>
      <c r="FVY34"/>
      <c r="FVZ34"/>
      <c r="FWA34"/>
      <c r="FWB34"/>
      <c r="FWC34"/>
      <c r="FWD34"/>
      <c r="FWE34"/>
      <c r="FWF34"/>
      <c r="FWG34"/>
      <c r="FWH34"/>
      <c r="FWI34"/>
      <c r="FWJ34"/>
      <c r="FWK34"/>
      <c r="FWL34"/>
      <c r="FWM34"/>
      <c r="FWN34"/>
      <c r="FWO34"/>
      <c r="FWP34"/>
      <c r="FWQ34"/>
      <c r="FWR34"/>
      <c r="FWS34"/>
      <c r="FWT34"/>
      <c r="FWU34"/>
      <c r="FWV34"/>
      <c r="FWW34"/>
      <c r="FWX34"/>
      <c r="FWY34"/>
      <c r="FWZ34"/>
      <c r="FXA34"/>
      <c r="FXB34"/>
      <c r="FXC34"/>
      <c r="FXD34"/>
      <c r="FXE34"/>
      <c r="FXF34"/>
      <c r="FXG34"/>
      <c r="FXH34"/>
      <c r="FXI34"/>
      <c r="FXJ34"/>
      <c r="FXK34"/>
      <c r="FXL34"/>
      <c r="FXM34"/>
      <c r="FXN34"/>
      <c r="FXO34"/>
      <c r="FXP34"/>
      <c r="FXQ34"/>
      <c r="FXR34"/>
      <c r="FXS34"/>
      <c r="FXT34"/>
      <c r="FXU34"/>
      <c r="FXV34"/>
      <c r="FXW34"/>
      <c r="FXX34"/>
      <c r="FXY34"/>
      <c r="FXZ34"/>
      <c r="FYA34"/>
      <c r="FYB34"/>
      <c r="FYC34"/>
      <c r="FYD34"/>
      <c r="FYE34"/>
      <c r="FYF34"/>
      <c r="FYG34"/>
      <c r="FYH34"/>
      <c r="FYI34"/>
      <c r="FYJ34"/>
      <c r="FYK34"/>
      <c r="FYL34"/>
      <c r="FYM34"/>
      <c r="FYN34"/>
      <c r="FYO34"/>
      <c r="FYP34"/>
      <c r="FYQ34"/>
      <c r="FYR34"/>
      <c r="FYS34"/>
      <c r="FYT34"/>
      <c r="FYU34"/>
      <c r="FYV34"/>
      <c r="FYW34"/>
      <c r="FYX34"/>
      <c r="FYY34"/>
      <c r="FYZ34"/>
      <c r="FZA34"/>
      <c r="FZB34"/>
      <c r="FZC34"/>
      <c r="FZD34"/>
      <c r="FZE34"/>
      <c r="FZF34"/>
      <c r="FZG34"/>
      <c r="FZH34"/>
      <c r="FZI34"/>
      <c r="FZJ34"/>
      <c r="FZK34"/>
      <c r="FZL34"/>
      <c r="FZM34"/>
      <c r="FZN34"/>
      <c r="FZO34"/>
      <c r="FZP34"/>
      <c r="FZQ34"/>
      <c r="FZR34"/>
      <c r="FZS34"/>
      <c r="FZT34"/>
      <c r="FZU34"/>
      <c r="FZV34"/>
      <c r="FZW34"/>
      <c r="FZX34"/>
      <c r="FZY34"/>
      <c r="FZZ34"/>
      <c r="GAA34"/>
      <c r="GAB34"/>
      <c r="GAC34"/>
      <c r="GAD34"/>
      <c r="GAE34"/>
      <c r="GAF34"/>
      <c r="GAG34"/>
      <c r="GAH34"/>
      <c r="GAI34"/>
      <c r="GAJ34"/>
      <c r="GAK34"/>
      <c r="GAL34"/>
      <c r="GAM34"/>
      <c r="GAN34"/>
      <c r="GAO34"/>
      <c r="GAP34"/>
      <c r="GAQ34"/>
      <c r="GAR34"/>
      <c r="GAS34"/>
      <c r="GAT34"/>
      <c r="GAU34"/>
      <c r="GAV34"/>
      <c r="GAW34"/>
      <c r="GAX34"/>
      <c r="GAY34"/>
      <c r="GAZ34"/>
      <c r="GBA34"/>
      <c r="GBB34"/>
      <c r="GBC34"/>
      <c r="GBD34"/>
      <c r="GBE34"/>
      <c r="GBF34"/>
      <c r="GBG34"/>
    </row>
    <row r="35" spans="1:4791" x14ac:dyDescent="0.25">
      <c r="A35" s="1" t="s">
        <v>2404</v>
      </c>
      <c r="B35" s="1">
        <v>151722.39000000001</v>
      </c>
      <c r="E35"/>
      <c r="F35"/>
      <c r="G35" s="1" t="s">
        <v>3066</v>
      </c>
      <c r="H35" s="1">
        <v>258</v>
      </c>
      <c r="I35"/>
      <c r="J35" s="1" t="s">
        <v>4284</v>
      </c>
      <c r="K35" s="10">
        <v>1</v>
      </c>
      <c r="L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/>
      <c r="AND35"/>
      <c r="ANE35"/>
      <c r="ANF35"/>
      <c r="ANG35"/>
      <c r="ANH35"/>
      <c r="ANI35"/>
      <c r="ANJ35"/>
      <c r="ANK35"/>
      <c r="ANL35"/>
      <c r="ANM35"/>
      <c r="ANN35"/>
      <c r="ANO35"/>
      <c r="ANP35"/>
      <c r="ANQ35"/>
      <c r="ANR35"/>
      <c r="ANS35"/>
      <c r="ANT35"/>
      <c r="ANU35"/>
      <c r="ANV35"/>
      <c r="ANW35"/>
      <c r="ANX35"/>
      <c r="ANY35"/>
      <c r="ANZ35"/>
      <c r="AOA35"/>
      <c r="AOB35"/>
      <c r="AOC35"/>
      <c r="AOD35"/>
      <c r="AOE35"/>
      <c r="AOF35"/>
      <c r="AOG35"/>
      <c r="AOH35"/>
      <c r="AOI35"/>
      <c r="AOJ35"/>
      <c r="AOK35"/>
      <c r="AOL35"/>
      <c r="AOM35"/>
      <c r="AON35"/>
      <c r="AOO35"/>
      <c r="AOP35"/>
      <c r="AOQ35"/>
      <c r="AOR35"/>
      <c r="AOS35"/>
      <c r="AOT35"/>
      <c r="AOU35"/>
      <c r="AOV35"/>
      <c r="AOW35"/>
      <c r="AOX35"/>
      <c r="AOY35"/>
      <c r="AOZ35"/>
      <c r="APA35"/>
      <c r="APB35"/>
      <c r="APC35"/>
      <c r="APD35"/>
      <c r="APE35"/>
      <c r="APF35"/>
      <c r="APG35"/>
      <c r="APH35"/>
      <c r="API35"/>
      <c r="APJ35"/>
      <c r="APK35"/>
      <c r="APL35"/>
      <c r="APM35"/>
      <c r="APN35"/>
      <c r="APO35"/>
      <c r="APP35"/>
      <c r="APQ35"/>
      <c r="APR35"/>
      <c r="APS35"/>
      <c r="APT35"/>
      <c r="APU35"/>
      <c r="APV35"/>
      <c r="APW35"/>
      <c r="APX35"/>
      <c r="APY35"/>
      <c r="APZ35"/>
      <c r="AQA35"/>
      <c r="AQB35"/>
      <c r="AQC35"/>
      <c r="AQD35"/>
      <c r="AQE35"/>
      <c r="AQF35"/>
      <c r="AQG35"/>
      <c r="AQH35"/>
      <c r="AQI35"/>
      <c r="AQJ35"/>
      <c r="AQK35"/>
      <c r="AQL35"/>
      <c r="AQM35"/>
      <c r="AQN35"/>
      <c r="AQO35"/>
      <c r="AQP35"/>
      <c r="AQQ35"/>
      <c r="AQR35"/>
      <c r="AQS35"/>
      <c r="AQT35"/>
      <c r="AQU35"/>
      <c r="AQV35"/>
      <c r="AQW35"/>
      <c r="AQX35"/>
      <c r="AQY35"/>
      <c r="AQZ35"/>
      <c r="ARA35"/>
      <c r="ARB35"/>
      <c r="ARC35"/>
      <c r="ARD35"/>
      <c r="ARE35"/>
      <c r="ARF35"/>
      <c r="ARG35"/>
      <c r="ARH35"/>
      <c r="ARI35"/>
      <c r="ARJ35"/>
      <c r="ARK35"/>
      <c r="ARL35"/>
      <c r="ARM35"/>
      <c r="ARN35"/>
      <c r="ARO35"/>
      <c r="ARP35"/>
      <c r="ARQ35"/>
      <c r="ARR35"/>
      <c r="ARS35"/>
      <c r="ART35"/>
      <c r="ARU35"/>
      <c r="ARV35"/>
      <c r="ARW35"/>
      <c r="ARX35"/>
      <c r="ARY35"/>
      <c r="ARZ35"/>
      <c r="ASA35"/>
      <c r="ASB35"/>
      <c r="ASC35"/>
      <c r="ASD35"/>
      <c r="ASE35"/>
      <c r="ASF35"/>
      <c r="ASG35"/>
      <c r="ASH35"/>
      <c r="ASI35"/>
      <c r="ASJ35"/>
      <c r="ASK35"/>
      <c r="ASL35"/>
      <c r="ASM35"/>
      <c r="ASN35"/>
      <c r="ASO35"/>
      <c r="ASP35"/>
      <c r="ASQ35"/>
      <c r="ASR35"/>
      <c r="ASS35"/>
      <c r="AST35"/>
      <c r="ASU35"/>
      <c r="ASV35"/>
      <c r="ASW35"/>
      <c r="ASX35"/>
      <c r="ASY35"/>
      <c r="ASZ35"/>
      <c r="ATA35"/>
      <c r="ATB35"/>
      <c r="ATC35"/>
      <c r="ATD35"/>
      <c r="ATE35"/>
      <c r="ATF35"/>
      <c r="ATG35"/>
      <c r="ATH35"/>
      <c r="ATI35"/>
      <c r="ATJ35"/>
      <c r="ATK35"/>
      <c r="ATL35"/>
      <c r="ATM35"/>
      <c r="ATN35"/>
      <c r="ATO35"/>
      <c r="ATP35"/>
      <c r="ATQ35"/>
      <c r="ATR35"/>
      <c r="ATS35"/>
      <c r="ATT35"/>
      <c r="ATU35"/>
      <c r="ATV35"/>
      <c r="ATW35"/>
      <c r="ATX35"/>
      <c r="ATY35"/>
      <c r="ATZ35"/>
      <c r="AUA35"/>
      <c r="AUB35"/>
      <c r="AUC35"/>
      <c r="AUD35"/>
      <c r="AUE35"/>
      <c r="AUF35"/>
      <c r="AUG35"/>
      <c r="AUH35"/>
      <c r="AUI35"/>
      <c r="AUJ35"/>
      <c r="AUK35"/>
      <c r="AUL35"/>
      <c r="AUM35"/>
      <c r="AUN35"/>
      <c r="AUO35"/>
      <c r="AUP35"/>
      <c r="AUQ35"/>
      <c r="AUR35"/>
      <c r="AUS35"/>
      <c r="AUT35"/>
      <c r="AUU35"/>
      <c r="AUV35"/>
      <c r="AUW35"/>
      <c r="AUX35"/>
      <c r="AUY35"/>
      <c r="AUZ35"/>
      <c r="AVA35"/>
      <c r="AVB35"/>
      <c r="AVC35"/>
      <c r="AVD35"/>
      <c r="AVE35"/>
      <c r="AVF35"/>
      <c r="AVG35"/>
      <c r="AVH35"/>
      <c r="AVI35"/>
      <c r="AVJ35"/>
      <c r="AVK35"/>
      <c r="AVL35"/>
      <c r="AVM35"/>
      <c r="AVN35"/>
      <c r="AVO35"/>
      <c r="AVP35"/>
      <c r="AVQ35"/>
      <c r="AVR35"/>
      <c r="AVS35"/>
      <c r="AVT35"/>
      <c r="AVU35"/>
      <c r="AVV35"/>
      <c r="AVW35"/>
      <c r="AVX35"/>
      <c r="AVY35"/>
      <c r="AVZ35"/>
      <c r="AWA35"/>
      <c r="AWB35"/>
      <c r="AWC35"/>
      <c r="AWD35"/>
      <c r="AWE35"/>
      <c r="AWF35"/>
      <c r="AWG35"/>
      <c r="AWH35"/>
      <c r="AWI35"/>
      <c r="AWJ35"/>
      <c r="AWK35"/>
      <c r="AWL35"/>
      <c r="AWM35"/>
      <c r="AWN35"/>
      <c r="AWO35"/>
      <c r="AWP35"/>
      <c r="AWQ35"/>
      <c r="AWR35"/>
      <c r="AWS35"/>
      <c r="AWT35"/>
      <c r="AWU35"/>
      <c r="AWV35"/>
      <c r="AWW35"/>
      <c r="AWX35"/>
      <c r="AWY35"/>
      <c r="AWZ35"/>
      <c r="AXA35"/>
      <c r="AXB35"/>
      <c r="AXC35"/>
      <c r="AXD35"/>
      <c r="AXE35"/>
      <c r="AXF35"/>
      <c r="AXG35"/>
      <c r="AXH35"/>
      <c r="AXI35"/>
      <c r="AXJ35"/>
      <c r="AXK35"/>
      <c r="AXL35"/>
      <c r="AXM35"/>
      <c r="AXN35"/>
      <c r="AXO35"/>
      <c r="AXP35"/>
      <c r="AXQ35"/>
      <c r="AXR35"/>
      <c r="AXS35"/>
      <c r="AXT35"/>
      <c r="AXU35"/>
      <c r="AXV35"/>
      <c r="AXW35"/>
      <c r="AXX35"/>
      <c r="AXY35"/>
      <c r="AXZ35"/>
      <c r="AYA35"/>
      <c r="AYB35"/>
      <c r="AYC35"/>
      <c r="AYD35"/>
      <c r="AYE35"/>
      <c r="AYF35"/>
      <c r="AYG35"/>
      <c r="AYH35"/>
      <c r="AYI35"/>
      <c r="AYJ35"/>
      <c r="AYK35"/>
      <c r="AYL35"/>
      <c r="AYM35"/>
      <c r="AYN35"/>
      <c r="AYO35"/>
      <c r="AYP35"/>
      <c r="AYQ35"/>
      <c r="AYR35"/>
      <c r="AYS35"/>
      <c r="AYT35"/>
      <c r="AYU35"/>
      <c r="AYV35"/>
      <c r="AYW35"/>
      <c r="AYX35"/>
      <c r="AYY35"/>
      <c r="AYZ35"/>
      <c r="AZA35"/>
      <c r="AZB35"/>
      <c r="AZC35"/>
      <c r="AZD35"/>
      <c r="AZE35"/>
      <c r="AZF35"/>
      <c r="AZG35"/>
      <c r="AZH35"/>
      <c r="AZI35"/>
      <c r="AZJ35"/>
      <c r="AZK35"/>
      <c r="AZL35"/>
      <c r="AZM35"/>
      <c r="AZN35"/>
      <c r="AZO35"/>
      <c r="AZP35"/>
      <c r="AZQ35"/>
      <c r="AZR35"/>
      <c r="AZS35"/>
      <c r="AZT35"/>
      <c r="AZU35"/>
      <c r="AZV35"/>
      <c r="AZW35"/>
      <c r="AZX35"/>
      <c r="AZY35"/>
      <c r="AZZ35"/>
      <c r="BAA35"/>
      <c r="BAB35"/>
      <c r="BAC35"/>
      <c r="BAD35"/>
      <c r="BAE35"/>
      <c r="BAF35"/>
      <c r="BAG35"/>
      <c r="BAH35"/>
      <c r="BAI35"/>
      <c r="BAJ35"/>
      <c r="BAK35"/>
      <c r="BAL35"/>
      <c r="BAM35"/>
      <c r="BAN35"/>
      <c r="BAO35"/>
      <c r="BAP35"/>
      <c r="BAQ35"/>
      <c r="BAR35"/>
      <c r="BAS35"/>
      <c r="BAT35"/>
      <c r="BAU35"/>
      <c r="BAV35"/>
      <c r="BAW35"/>
      <c r="BAX35"/>
      <c r="BAY35"/>
      <c r="BAZ35"/>
      <c r="BBA35"/>
      <c r="BBB35"/>
      <c r="BBC35"/>
      <c r="BBD35"/>
      <c r="BBE35"/>
      <c r="BBF35"/>
      <c r="BBG35"/>
      <c r="BBH35"/>
      <c r="BBI35"/>
      <c r="BBJ35"/>
      <c r="BBK35"/>
      <c r="BBL35"/>
      <c r="BBM35"/>
      <c r="BBN35"/>
      <c r="BBO35"/>
      <c r="BBP35"/>
      <c r="BBQ35"/>
      <c r="BBR35"/>
      <c r="BBS35"/>
      <c r="BBT35"/>
      <c r="BBU35"/>
      <c r="BBV35"/>
      <c r="BBW35"/>
      <c r="BBX35"/>
      <c r="BBY35"/>
      <c r="BBZ35"/>
      <c r="BCA35"/>
      <c r="BCB35"/>
      <c r="BCC35"/>
      <c r="BCD35"/>
      <c r="BCE35"/>
      <c r="BCF35"/>
      <c r="BCG35"/>
      <c r="BCH35"/>
      <c r="BCI35"/>
      <c r="BCJ35"/>
      <c r="BCK35"/>
      <c r="BCL35"/>
      <c r="BCM35"/>
      <c r="BCN35"/>
      <c r="BCO35"/>
      <c r="BCP35"/>
      <c r="BCQ35"/>
      <c r="BCR35"/>
      <c r="BCS35"/>
      <c r="BCT35"/>
      <c r="BCU35"/>
      <c r="BCV35"/>
      <c r="BCW35"/>
      <c r="BCX35"/>
      <c r="BCY35"/>
      <c r="BCZ35"/>
      <c r="BDA35"/>
      <c r="BDB35"/>
      <c r="BDC35"/>
      <c r="BDD35"/>
      <c r="BDE35"/>
      <c r="BDF35"/>
      <c r="BDG35"/>
      <c r="BDH35"/>
      <c r="BDI35"/>
      <c r="BDJ35"/>
      <c r="BDK35"/>
      <c r="BDL35"/>
      <c r="BDM35"/>
      <c r="BDN35"/>
      <c r="BDO35"/>
      <c r="BDP35"/>
      <c r="BDQ35"/>
      <c r="BDR35"/>
      <c r="BDS35"/>
      <c r="BDT35"/>
      <c r="BDU35"/>
      <c r="BDV35"/>
      <c r="BDW35"/>
      <c r="BDX35"/>
      <c r="BDY35"/>
      <c r="BDZ35"/>
      <c r="BEA35"/>
      <c r="BEB35"/>
      <c r="BEC35"/>
      <c r="BED35"/>
      <c r="BEE35"/>
      <c r="BEF35"/>
      <c r="BEG35"/>
      <c r="BEH35"/>
      <c r="BEI35"/>
      <c r="BEJ35"/>
      <c r="BEK35"/>
      <c r="BEL35"/>
      <c r="BEM35"/>
      <c r="BEN35"/>
      <c r="BEO35"/>
      <c r="BEP35"/>
      <c r="BEQ35"/>
      <c r="BER35"/>
      <c r="BES35"/>
      <c r="BET35"/>
      <c r="BEU35"/>
      <c r="BEV35"/>
      <c r="BEW35"/>
      <c r="BEX35"/>
      <c r="BEY35"/>
      <c r="BEZ35"/>
      <c r="BFA35"/>
      <c r="BFB35"/>
      <c r="BFC35"/>
      <c r="BFD35"/>
      <c r="BFE35"/>
      <c r="BFF35"/>
      <c r="BFG35"/>
      <c r="BFH35"/>
      <c r="BFI35"/>
      <c r="BFJ35"/>
      <c r="BFK35"/>
      <c r="BFL35"/>
      <c r="BFM35"/>
      <c r="BFN35"/>
      <c r="BFO35"/>
      <c r="BFP35"/>
      <c r="BFQ35"/>
      <c r="BFR35"/>
      <c r="BFS35"/>
      <c r="BFT35"/>
      <c r="BFU35"/>
      <c r="BFV35"/>
      <c r="BFW35"/>
      <c r="BFX35"/>
      <c r="BFY35"/>
      <c r="BFZ35"/>
      <c r="BGA35"/>
      <c r="BGB35"/>
      <c r="BGC35"/>
      <c r="BGD35"/>
      <c r="BGE35"/>
      <c r="BGF35"/>
      <c r="BGG35"/>
      <c r="BGH35"/>
      <c r="BGI35"/>
      <c r="BGJ35"/>
      <c r="BGK35"/>
      <c r="BGL35"/>
      <c r="BGM35"/>
      <c r="BGN35"/>
      <c r="BGO35"/>
      <c r="BGP35"/>
      <c r="BGQ35"/>
      <c r="BGR35"/>
      <c r="BGS35"/>
      <c r="BGT35"/>
      <c r="BGU35"/>
      <c r="BGV35"/>
      <c r="BGW35"/>
      <c r="BGX35"/>
      <c r="BGY35"/>
      <c r="BGZ35"/>
      <c r="BHA35"/>
      <c r="BHB35"/>
      <c r="BHC35"/>
      <c r="BHD35"/>
      <c r="BHE35"/>
      <c r="BHF35"/>
      <c r="BHG35"/>
      <c r="BHH35"/>
      <c r="BHI35"/>
      <c r="BHJ35"/>
      <c r="BHK35"/>
      <c r="BHL35"/>
      <c r="BHM35"/>
      <c r="BHN35"/>
      <c r="BHO35"/>
      <c r="BHP35"/>
      <c r="BHQ35"/>
      <c r="BHR35"/>
      <c r="BHS35"/>
      <c r="BHT35"/>
      <c r="BHU35"/>
      <c r="BHV35"/>
      <c r="BHW35"/>
      <c r="BHX35"/>
      <c r="BHY35"/>
      <c r="BHZ35"/>
      <c r="BIA35"/>
      <c r="BIB35"/>
      <c r="BIC35"/>
      <c r="BID35"/>
      <c r="BIE35"/>
      <c r="BIF35"/>
      <c r="BIG35"/>
      <c r="BIH35"/>
      <c r="BII35"/>
      <c r="BIJ35"/>
      <c r="BIK35"/>
      <c r="BIL35"/>
      <c r="BIM35"/>
      <c r="BIN35"/>
      <c r="BIO35"/>
      <c r="BIP35"/>
      <c r="BIQ35"/>
      <c r="BIR35"/>
      <c r="BIS35"/>
      <c r="BIT35"/>
      <c r="BIU35"/>
      <c r="BIV35"/>
      <c r="BIW35"/>
      <c r="BIX35"/>
      <c r="BIY35"/>
      <c r="BIZ35"/>
      <c r="BJA35"/>
      <c r="BJB35"/>
      <c r="BJC35"/>
      <c r="BJD35"/>
      <c r="BJE35"/>
      <c r="BJF35"/>
      <c r="BJG35"/>
      <c r="BJH35"/>
      <c r="BJI35"/>
      <c r="BJJ35"/>
      <c r="BJK35"/>
      <c r="BJL35"/>
      <c r="BJM35"/>
      <c r="BJN35"/>
      <c r="BJO35"/>
      <c r="BJP35"/>
      <c r="BJQ35"/>
      <c r="BJR35"/>
      <c r="BJS35"/>
      <c r="BJT35"/>
      <c r="BJU35"/>
      <c r="BJV35"/>
      <c r="BJW35"/>
      <c r="BJX35"/>
      <c r="BJY35"/>
      <c r="BJZ35"/>
      <c r="BKA35"/>
      <c r="BKB35"/>
      <c r="BKC35"/>
      <c r="BKD35"/>
      <c r="BKE35"/>
      <c r="BKF35"/>
      <c r="BKG35"/>
      <c r="BKH35"/>
      <c r="BKI35"/>
      <c r="BKJ35"/>
      <c r="BKK35"/>
      <c r="BKL35"/>
      <c r="BKM35"/>
      <c r="BKN35"/>
      <c r="BKO35"/>
      <c r="BKP35"/>
      <c r="BKQ35"/>
      <c r="BKR35"/>
      <c r="BKS35"/>
      <c r="BKT35"/>
      <c r="BKU35"/>
      <c r="BKV35"/>
      <c r="BKW35"/>
      <c r="BKX35"/>
      <c r="BKY35"/>
      <c r="BKZ35"/>
      <c r="BLA35"/>
      <c r="BLB35"/>
      <c r="BLC35"/>
      <c r="BLD35"/>
      <c r="BLE35"/>
      <c r="BLF35"/>
      <c r="BLG35"/>
      <c r="BLH35"/>
      <c r="BLI35"/>
      <c r="BLJ35"/>
      <c r="BLK35"/>
      <c r="BLL35"/>
      <c r="BLM35"/>
      <c r="BLN35"/>
      <c r="BLO35"/>
      <c r="BLP35"/>
      <c r="BLQ35"/>
      <c r="BLR35"/>
      <c r="BLS35"/>
      <c r="BLT35"/>
      <c r="BLU35"/>
      <c r="BLV35"/>
      <c r="BLW35"/>
      <c r="BLX35"/>
      <c r="BLY35"/>
      <c r="BLZ35"/>
      <c r="BMA35"/>
      <c r="BMB35"/>
      <c r="BMC35"/>
      <c r="BMD35"/>
      <c r="BME35"/>
      <c r="BMF35"/>
      <c r="BMG35"/>
      <c r="BMH35"/>
      <c r="BMI35"/>
      <c r="BMJ35"/>
      <c r="BMK35"/>
      <c r="BML35"/>
      <c r="BMM35"/>
      <c r="BMN35"/>
      <c r="BMO35"/>
      <c r="BMP35"/>
      <c r="BMQ35"/>
      <c r="BMR35"/>
      <c r="BMS35"/>
      <c r="BMT35"/>
      <c r="BMU35"/>
      <c r="BMV35"/>
      <c r="BMW35"/>
      <c r="BMX35"/>
      <c r="BMY35"/>
      <c r="BMZ35"/>
      <c r="BNA35"/>
      <c r="BNB35"/>
      <c r="BNC35"/>
      <c r="BND35"/>
      <c r="BNE35"/>
      <c r="BNF35"/>
      <c r="BNG35"/>
      <c r="BNH35"/>
      <c r="BNI35"/>
      <c r="BNJ35"/>
      <c r="BNK35"/>
      <c r="BNL35"/>
      <c r="BNM35"/>
      <c r="BNN35"/>
      <c r="BNO35"/>
      <c r="BNP35"/>
      <c r="BNQ35"/>
      <c r="BNR35"/>
      <c r="BNS35"/>
      <c r="BNT35"/>
      <c r="BNU35"/>
      <c r="BNV35"/>
      <c r="BNW35"/>
      <c r="BNX35"/>
      <c r="BNY35"/>
      <c r="BNZ35"/>
      <c r="BOA35"/>
      <c r="BOB35"/>
      <c r="BOC35"/>
      <c r="BOD35"/>
      <c r="BOE35"/>
      <c r="BOF35"/>
      <c r="BOG35"/>
      <c r="BOH35"/>
      <c r="BOI35"/>
      <c r="BOJ35"/>
      <c r="BOK35"/>
      <c r="BOL35"/>
      <c r="BOM35"/>
      <c r="BON35"/>
      <c r="BOO35"/>
      <c r="BOP35"/>
      <c r="BOQ35"/>
      <c r="BOR35"/>
      <c r="BOS35"/>
      <c r="BOT35"/>
      <c r="BOU35"/>
      <c r="BOV35"/>
      <c r="BOW35"/>
      <c r="BOX35"/>
      <c r="BOY35"/>
      <c r="BOZ35"/>
      <c r="BPA35"/>
      <c r="BPB35"/>
      <c r="BPC35"/>
      <c r="BPD35"/>
      <c r="BPE35"/>
      <c r="BPF35"/>
      <c r="BPG35"/>
      <c r="BPH35"/>
      <c r="BPI35"/>
      <c r="BPJ35"/>
      <c r="BPK35"/>
      <c r="BPL35"/>
      <c r="BPM35"/>
      <c r="BPN35"/>
      <c r="BPO35"/>
      <c r="BPP35"/>
      <c r="BPQ35"/>
      <c r="BPR35"/>
      <c r="BPS35"/>
      <c r="BPT35"/>
      <c r="BPU35"/>
      <c r="BPV35"/>
      <c r="BPW35"/>
      <c r="BPX35"/>
      <c r="BPY35"/>
      <c r="BPZ35"/>
      <c r="BQA35"/>
      <c r="BQB35"/>
      <c r="BQC35"/>
      <c r="BQD35"/>
      <c r="BQE35"/>
      <c r="BQF35"/>
      <c r="BQG35"/>
      <c r="BQH35"/>
      <c r="BQI35"/>
      <c r="BQJ35"/>
      <c r="BQK35"/>
      <c r="BQL35"/>
      <c r="BQM35"/>
      <c r="BQN35"/>
      <c r="BQO35"/>
      <c r="BQP35"/>
      <c r="BQQ35"/>
      <c r="BQR35"/>
      <c r="BQS35"/>
      <c r="BQT35"/>
      <c r="BQU35"/>
      <c r="BQV35"/>
      <c r="BQW35"/>
      <c r="BQX35"/>
      <c r="BQY35"/>
      <c r="BQZ35"/>
      <c r="BRA35"/>
      <c r="BRB35"/>
      <c r="BRC35"/>
      <c r="BRD35"/>
      <c r="BRE35"/>
      <c r="BRF35"/>
      <c r="BRG35"/>
      <c r="BRH35"/>
      <c r="BRI35"/>
      <c r="BRJ35"/>
      <c r="BRK35"/>
      <c r="BRL35"/>
      <c r="BRM35"/>
      <c r="BRN35"/>
      <c r="BRO35"/>
      <c r="BRP35"/>
      <c r="BRQ35"/>
      <c r="BRR35"/>
      <c r="BRS35"/>
      <c r="BRT35"/>
      <c r="BRU35"/>
      <c r="BRV35"/>
      <c r="BRW35"/>
      <c r="BRX35"/>
      <c r="BRY35"/>
      <c r="BRZ35"/>
      <c r="BSA35"/>
      <c r="BSB35"/>
      <c r="BSC35"/>
      <c r="BSD35"/>
      <c r="BSE35"/>
      <c r="BSF35"/>
      <c r="BSG35"/>
      <c r="BSH35"/>
      <c r="BSI35"/>
      <c r="BSJ35"/>
      <c r="BSK35"/>
      <c r="BSL35"/>
      <c r="BSM35"/>
      <c r="BSN35"/>
      <c r="BSO35"/>
      <c r="BSP35"/>
      <c r="BSQ35"/>
      <c r="BSR35"/>
      <c r="BSS35"/>
      <c r="BST35"/>
      <c r="BSU35"/>
      <c r="BSV35"/>
      <c r="BSW35"/>
      <c r="BSX35"/>
      <c r="BSY35"/>
      <c r="BSZ35"/>
      <c r="BTA35"/>
      <c r="BTB35"/>
      <c r="BTC35"/>
      <c r="BTD35"/>
      <c r="BTE35"/>
      <c r="BTF35"/>
      <c r="BTG35"/>
      <c r="BTH35"/>
      <c r="BTI35"/>
      <c r="BTJ35"/>
      <c r="BTK35"/>
      <c r="BTL35"/>
      <c r="BTM35"/>
      <c r="BTN35"/>
      <c r="BTO35"/>
      <c r="BTP35"/>
      <c r="BTQ35"/>
      <c r="BTR35"/>
      <c r="BTS35"/>
      <c r="BTT35"/>
      <c r="BTU35"/>
      <c r="BTV35"/>
      <c r="BTW35"/>
      <c r="BTX35"/>
      <c r="BTY35"/>
      <c r="BTZ35"/>
      <c r="BUA35"/>
      <c r="BUB35"/>
      <c r="BUC35"/>
      <c r="BUD35"/>
      <c r="BUE35"/>
      <c r="BUF35"/>
      <c r="BUG35"/>
      <c r="BUH35"/>
      <c r="BUI35"/>
      <c r="BUJ35"/>
      <c r="BUK35"/>
      <c r="BUL35"/>
      <c r="BUM35"/>
      <c r="BUN35"/>
      <c r="BUO35"/>
      <c r="BUP35"/>
      <c r="BUQ35"/>
      <c r="BUR35"/>
      <c r="BUS35"/>
      <c r="BUT35"/>
      <c r="BUU35"/>
      <c r="BUV35"/>
      <c r="BUW35"/>
      <c r="BUX35"/>
      <c r="BUY35"/>
      <c r="BUZ35"/>
      <c r="BVA35"/>
      <c r="BVB35"/>
      <c r="BVC35"/>
      <c r="BVD35"/>
      <c r="BVE35"/>
      <c r="BVF35"/>
      <c r="BVG35"/>
      <c r="BVH35"/>
      <c r="BVI35"/>
      <c r="BVJ35"/>
      <c r="BVK35"/>
      <c r="BVL35"/>
      <c r="BVM35"/>
      <c r="BVN35"/>
      <c r="BVO35"/>
      <c r="BVP35"/>
      <c r="BVQ35"/>
      <c r="BVR35"/>
      <c r="BVS35"/>
      <c r="BVT35"/>
      <c r="BVU35"/>
      <c r="BVV35"/>
      <c r="BVW35"/>
      <c r="BVX35"/>
      <c r="BVY35"/>
      <c r="BVZ35"/>
      <c r="BWA35"/>
      <c r="BWB35"/>
      <c r="BWC35"/>
      <c r="BWD35"/>
      <c r="BWE35"/>
      <c r="BWF35"/>
      <c r="BWG35"/>
      <c r="BWH35"/>
      <c r="BWI35"/>
      <c r="BWJ35"/>
      <c r="BWK35"/>
      <c r="BWL35"/>
      <c r="BWM35"/>
      <c r="BWN35"/>
      <c r="BWO35"/>
      <c r="BWP35"/>
      <c r="BWQ35"/>
      <c r="BWR35"/>
      <c r="BWS35"/>
      <c r="BWT35"/>
      <c r="BWU35"/>
      <c r="BWV35"/>
      <c r="BWW35"/>
      <c r="BWX35"/>
      <c r="BWY35"/>
      <c r="BWZ35"/>
      <c r="BXA35"/>
      <c r="BXB35"/>
      <c r="BXC35"/>
      <c r="BXD35"/>
      <c r="BXE35"/>
      <c r="BXF35"/>
      <c r="BXG35"/>
      <c r="BXH35"/>
      <c r="BXI35"/>
      <c r="BXJ35"/>
      <c r="BXK35"/>
      <c r="BXL35"/>
      <c r="BXM35"/>
      <c r="BXN35"/>
      <c r="BXO35"/>
      <c r="BXP35"/>
      <c r="BXQ35"/>
      <c r="BXR35"/>
      <c r="BXS35"/>
      <c r="BXT35"/>
      <c r="BXU35"/>
      <c r="BXV35"/>
      <c r="BXW35"/>
      <c r="BXX35"/>
      <c r="BXY35"/>
      <c r="BXZ35"/>
      <c r="BYA35"/>
      <c r="BYB35"/>
      <c r="BYC35"/>
      <c r="BYD35"/>
      <c r="BYE35"/>
      <c r="BYF35"/>
      <c r="BYG35"/>
      <c r="BYH35"/>
      <c r="BYI35"/>
      <c r="BYJ35"/>
      <c r="BYK35"/>
      <c r="BYL35"/>
      <c r="BYM35"/>
      <c r="BYN35"/>
      <c r="BYO35"/>
      <c r="BYP35"/>
      <c r="BYQ35"/>
      <c r="BYR35"/>
      <c r="BYS35"/>
      <c r="BYT35"/>
      <c r="BYU35"/>
      <c r="BYV35"/>
      <c r="BYW35"/>
      <c r="BYX35"/>
      <c r="BYY35"/>
      <c r="BYZ35"/>
      <c r="BZA35"/>
      <c r="BZB35"/>
      <c r="BZC35"/>
      <c r="BZD35"/>
      <c r="BZE35"/>
      <c r="BZF35"/>
      <c r="BZG35"/>
      <c r="BZH35"/>
      <c r="BZI35"/>
      <c r="BZJ35"/>
      <c r="BZK35"/>
      <c r="BZL35"/>
      <c r="BZM35"/>
      <c r="BZN35"/>
      <c r="BZO35"/>
      <c r="BZP35"/>
      <c r="BZQ35"/>
      <c r="BZR35"/>
      <c r="BZS35"/>
      <c r="BZT35"/>
      <c r="BZU35"/>
      <c r="BZV35"/>
      <c r="BZW35"/>
      <c r="BZX35"/>
      <c r="BZY35"/>
      <c r="BZZ35"/>
      <c r="CAA35"/>
      <c r="CAB35"/>
      <c r="CAC35"/>
      <c r="CAD35"/>
      <c r="CAE35"/>
      <c r="CAF35"/>
      <c r="CAG35"/>
      <c r="CAH35"/>
      <c r="CAI35"/>
      <c r="CAJ35"/>
      <c r="CAK35"/>
      <c r="CAL35"/>
      <c r="CAM35"/>
      <c r="CAN35"/>
      <c r="CAO35"/>
      <c r="CAP35"/>
      <c r="CAQ35"/>
      <c r="CAR35"/>
      <c r="CAS35"/>
      <c r="CAT35"/>
      <c r="CAU35"/>
      <c r="CAV35"/>
      <c r="CAW35"/>
      <c r="CAX35"/>
      <c r="CAY35"/>
      <c r="CAZ35"/>
      <c r="CBA35"/>
      <c r="CBB35"/>
      <c r="CBC35"/>
      <c r="CBD35"/>
      <c r="CBE35"/>
      <c r="CBF35"/>
      <c r="CBG35"/>
      <c r="CBH35"/>
      <c r="CBI35"/>
      <c r="CBJ35"/>
      <c r="CBK35"/>
      <c r="CBL35"/>
      <c r="CBM35"/>
      <c r="CBN35"/>
      <c r="CBO35"/>
      <c r="CBP35"/>
      <c r="CBQ35"/>
      <c r="CBR35"/>
      <c r="CBS35"/>
      <c r="CBT35"/>
      <c r="CBU35"/>
      <c r="CBV35"/>
      <c r="CBW35"/>
      <c r="CBX35"/>
      <c r="CBY35"/>
      <c r="CBZ35"/>
      <c r="CCA35"/>
      <c r="CCB35"/>
      <c r="CCC35"/>
      <c r="CCD35"/>
      <c r="CCE35"/>
      <c r="CCF35"/>
      <c r="CCG35"/>
      <c r="CCH35"/>
      <c r="CCI35"/>
      <c r="CCJ35"/>
      <c r="CCK35"/>
      <c r="CCL35"/>
      <c r="CCM35"/>
      <c r="CCN35"/>
      <c r="CCO35"/>
      <c r="CCP35"/>
      <c r="CCQ35"/>
      <c r="CCR35"/>
      <c r="CCS35"/>
      <c r="CCT35"/>
      <c r="CCU35"/>
      <c r="CCV35"/>
      <c r="CCW35"/>
      <c r="CCX35"/>
      <c r="CCY35"/>
      <c r="CCZ35"/>
      <c r="CDA35"/>
      <c r="CDB35"/>
      <c r="CDC35"/>
      <c r="CDD35"/>
      <c r="CDE35"/>
      <c r="CDF35"/>
      <c r="CDG35"/>
      <c r="CDH35"/>
      <c r="CDI35"/>
      <c r="CDJ35"/>
      <c r="CDK35"/>
      <c r="CDL35"/>
      <c r="CDM35"/>
      <c r="CDN35"/>
      <c r="CDO35"/>
      <c r="CDP35"/>
      <c r="CDQ35"/>
      <c r="CDR35"/>
      <c r="CDS35"/>
      <c r="CDT35"/>
      <c r="CDU35"/>
      <c r="CDV35"/>
      <c r="CDW35"/>
      <c r="CDX35"/>
      <c r="CDY35"/>
      <c r="CDZ35"/>
      <c r="CEA35"/>
      <c r="CEB35"/>
      <c r="CEC35"/>
      <c r="CED35"/>
      <c r="CEE35"/>
      <c r="CEF35"/>
      <c r="CEG35"/>
      <c r="CEH35"/>
      <c r="CEI35"/>
      <c r="CEJ35"/>
      <c r="CEK35"/>
      <c r="CEL35"/>
      <c r="CEM35"/>
      <c r="CEN35"/>
      <c r="CEO35"/>
      <c r="CEP35"/>
      <c r="CEQ35"/>
      <c r="CER35"/>
      <c r="CES35"/>
      <c r="CET35"/>
      <c r="CEU35"/>
      <c r="CEV35"/>
      <c r="CEW35"/>
      <c r="CEX35"/>
      <c r="CEY35"/>
      <c r="CEZ35"/>
      <c r="CFA35"/>
      <c r="CFB35"/>
      <c r="CFC35"/>
      <c r="CFD35"/>
      <c r="CFE35"/>
      <c r="CFF35"/>
      <c r="CFG35"/>
      <c r="CFH35"/>
      <c r="CFI35"/>
      <c r="CFJ35"/>
      <c r="CFK35"/>
      <c r="CFL35"/>
      <c r="CFM35"/>
      <c r="CFN35"/>
      <c r="CFO35"/>
      <c r="CFP35"/>
      <c r="CFQ35"/>
      <c r="CFR35"/>
      <c r="CFS35"/>
      <c r="CFT35"/>
      <c r="CFU35"/>
      <c r="CFV35"/>
      <c r="CFW35"/>
      <c r="CFX35"/>
      <c r="CFY35"/>
      <c r="CFZ35"/>
      <c r="CGA35"/>
      <c r="CGB35"/>
      <c r="CGC35"/>
      <c r="CGD35"/>
      <c r="CGE35"/>
      <c r="CGF35"/>
      <c r="CGG35"/>
      <c r="CGH35"/>
      <c r="CGI35"/>
      <c r="CGJ35"/>
      <c r="CGK35"/>
      <c r="CGL35"/>
      <c r="CGM35"/>
      <c r="CGN35"/>
      <c r="CGO35"/>
      <c r="CGP35"/>
      <c r="CGQ35"/>
      <c r="CGR35"/>
      <c r="CGS35"/>
      <c r="CGT35"/>
      <c r="CGU35"/>
      <c r="CGV35"/>
      <c r="CGW35"/>
      <c r="CGX35"/>
      <c r="CGY35"/>
      <c r="CGZ35"/>
      <c r="CHA35"/>
      <c r="CHB35"/>
      <c r="CHC35"/>
      <c r="CHD35"/>
      <c r="CHE35"/>
      <c r="CHF35"/>
      <c r="CHG35"/>
      <c r="CHH35"/>
      <c r="CHI35"/>
      <c r="CHJ35"/>
      <c r="CHK35"/>
      <c r="CHL35"/>
      <c r="CHM35"/>
      <c r="CHN35"/>
      <c r="CHO35"/>
      <c r="CHP35"/>
      <c r="CHQ35"/>
      <c r="CHR35"/>
      <c r="CHS35"/>
      <c r="CHT35"/>
      <c r="CHU35"/>
      <c r="CHV35"/>
      <c r="CHW35"/>
      <c r="CHX35"/>
      <c r="CHY35"/>
      <c r="CHZ35"/>
      <c r="CIA35"/>
      <c r="CIB35"/>
      <c r="CIC35"/>
      <c r="CID35"/>
      <c r="CIE35"/>
      <c r="CIF35"/>
      <c r="CIG35"/>
      <c r="CIH35"/>
      <c r="CII35"/>
      <c r="CIJ35"/>
      <c r="CIK35"/>
      <c r="CIL35"/>
      <c r="CIM35"/>
      <c r="CIN35"/>
      <c r="CIO35"/>
      <c r="CIP35"/>
      <c r="CIQ35"/>
      <c r="CIR35"/>
      <c r="CIS35"/>
      <c r="CIT35"/>
      <c r="CIU35"/>
      <c r="CIV35"/>
      <c r="CIW35"/>
      <c r="CIX35"/>
      <c r="CIY35"/>
      <c r="CIZ35"/>
      <c r="CJA35"/>
      <c r="CJB35"/>
      <c r="CJC35"/>
      <c r="CJD35"/>
      <c r="CJE35"/>
      <c r="CJF35"/>
      <c r="CJG35"/>
      <c r="CJH35"/>
      <c r="CJI35"/>
      <c r="CJJ35"/>
      <c r="CJK35"/>
      <c r="CJL35"/>
      <c r="CJM35"/>
      <c r="CJN35"/>
      <c r="CJO35"/>
      <c r="CJP35"/>
      <c r="CJQ35"/>
      <c r="CJR35"/>
      <c r="CJS35"/>
      <c r="CJT35"/>
      <c r="CJU35"/>
      <c r="CJV35"/>
      <c r="CJW35"/>
      <c r="CJX35"/>
      <c r="CJY35"/>
      <c r="CJZ35"/>
      <c r="CKA35"/>
      <c r="CKB35"/>
      <c r="CKC35"/>
      <c r="CKD35"/>
      <c r="CKE35"/>
      <c r="CKF35"/>
      <c r="CKG35"/>
      <c r="CKH35"/>
      <c r="CKI35"/>
      <c r="CKJ35"/>
      <c r="CKK35"/>
      <c r="CKL35"/>
      <c r="CKM35"/>
      <c r="CKN35"/>
      <c r="CKO35"/>
      <c r="CKP35"/>
      <c r="CKQ35"/>
      <c r="CKR35"/>
      <c r="CKS35"/>
      <c r="CKT35"/>
      <c r="CKU35"/>
      <c r="CKV35"/>
      <c r="CKW35"/>
      <c r="CKX35"/>
      <c r="CKY35"/>
      <c r="CKZ35"/>
      <c r="CLA35"/>
      <c r="CLB35"/>
      <c r="CLC35"/>
      <c r="CLD35"/>
      <c r="CLE35"/>
      <c r="CLF35"/>
      <c r="CLG35"/>
      <c r="CLH35"/>
      <c r="CLI35"/>
      <c r="CLJ35"/>
      <c r="CLK35"/>
      <c r="CLL35"/>
      <c r="CLM35"/>
      <c r="CLN35"/>
      <c r="CLO35"/>
      <c r="CLP35"/>
      <c r="CLQ35"/>
      <c r="CLR35"/>
      <c r="CLS35"/>
      <c r="CLT35"/>
      <c r="CLU35"/>
      <c r="CLV35"/>
      <c r="CLW35"/>
      <c r="CLX35"/>
      <c r="CLY35"/>
      <c r="CLZ35"/>
      <c r="CMA35"/>
      <c r="CMB35"/>
      <c r="CMC35"/>
      <c r="CMD35"/>
      <c r="CME35"/>
      <c r="CMF35"/>
      <c r="CMG35"/>
      <c r="CMH35"/>
      <c r="CMI35"/>
      <c r="CMJ35"/>
      <c r="CMK35"/>
      <c r="CML35"/>
      <c r="CMM35"/>
      <c r="CMN35"/>
      <c r="CMO35"/>
      <c r="CMP35"/>
      <c r="CMQ35"/>
      <c r="CMR35"/>
      <c r="CMS35"/>
      <c r="CMT35"/>
      <c r="CMU35"/>
      <c r="CMV35"/>
      <c r="CMW35"/>
      <c r="CMX35"/>
      <c r="CMY35"/>
      <c r="CMZ35"/>
      <c r="CNA35"/>
      <c r="CNB35"/>
      <c r="CNC35"/>
      <c r="CND35"/>
      <c r="CNE35"/>
      <c r="CNF35"/>
      <c r="CNG35"/>
      <c r="CNH35"/>
      <c r="CNI35"/>
      <c r="CNJ35"/>
      <c r="CNK35"/>
      <c r="CNL35"/>
      <c r="CNM35"/>
      <c r="CNN35"/>
      <c r="CNO35"/>
      <c r="CNP35"/>
      <c r="CNQ35"/>
      <c r="CNR35"/>
      <c r="CNS35"/>
      <c r="CNT35"/>
      <c r="CNU35"/>
      <c r="CNV35"/>
      <c r="CNW35"/>
      <c r="CNX35"/>
      <c r="CNY35"/>
      <c r="CNZ35"/>
      <c r="COA35"/>
      <c r="COB35"/>
      <c r="COC35"/>
      <c r="COD35"/>
      <c r="COE35"/>
      <c r="COF35"/>
      <c r="COG35"/>
      <c r="COH35"/>
      <c r="COI35"/>
      <c r="COJ35"/>
      <c r="COK35"/>
      <c r="COL35"/>
      <c r="COM35"/>
      <c r="CON35"/>
      <c r="COO35"/>
      <c r="COP35"/>
      <c r="COQ35"/>
      <c r="COR35"/>
      <c r="COS35"/>
      <c r="COT35"/>
      <c r="COU35"/>
      <c r="COV35"/>
      <c r="COW35"/>
      <c r="COX35"/>
      <c r="COY35"/>
      <c r="COZ35"/>
      <c r="CPA35"/>
      <c r="CPB35"/>
      <c r="CPC35"/>
      <c r="CPD35"/>
      <c r="CPE35"/>
      <c r="CPF35"/>
      <c r="CPG35"/>
      <c r="CPH35"/>
      <c r="CPI35"/>
      <c r="CPJ35"/>
      <c r="CPK35"/>
      <c r="CPL35"/>
      <c r="CPM35"/>
      <c r="CPN35"/>
      <c r="CPO35"/>
      <c r="CPP35"/>
      <c r="CPQ35"/>
      <c r="CPR35"/>
      <c r="CPS35"/>
      <c r="CPT35"/>
      <c r="CPU35"/>
      <c r="CPV35"/>
      <c r="CPW35"/>
      <c r="CPX35"/>
      <c r="CPY35"/>
      <c r="CPZ35"/>
      <c r="CQA35"/>
      <c r="CQB35"/>
      <c r="CQC35"/>
      <c r="CQD35"/>
      <c r="CQE35"/>
      <c r="CQF35"/>
      <c r="CQG35"/>
      <c r="CQH35"/>
      <c r="CQI35"/>
      <c r="CQJ35"/>
      <c r="CQK35"/>
      <c r="CQL35"/>
      <c r="CQM35"/>
      <c r="CQN35"/>
      <c r="CQO35"/>
      <c r="CQP35"/>
      <c r="CQQ35"/>
      <c r="CQR35"/>
      <c r="CQS35"/>
      <c r="CQT35"/>
      <c r="CQU35"/>
      <c r="CQV35"/>
      <c r="CQW35"/>
      <c r="CQX35"/>
      <c r="CQY35"/>
      <c r="CQZ35"/>
      <c r="CRA35"/>
      <c r="CRB35"/>
      <c r="CRC35"/>
      <c r="CRD35"/>
      <c r="CRE35"/>
      <c r="CRF35"/>
      <c r="CRG35"/>
      <c r="CRH35"/>
      <c r="CRI35"/>
      <c r="CRJ35"/>
      <c r="CRK35"/>
      <c r="CRL35"/>
      <c r="CRM35"/>
      <c r="CRN35"/>
      <c r="CRO35"/>
      <c r="CRP35"/>
      <c r="CRQ35"/>
      <c r="CRR35"/>
      <c r="CRS35"/>
      <c r="CRT35"/>
      <c r="CRU35"/>
      <c r="CRV35"/>
      <c r="CRW35"/>
      <c r="CRX35"/>
      <c r="CRY35"/>
      <c r="CRZ35"/>
      <c r="CSA35"/>
      <c r="CSB35"/>
      <c r="CSC35"/>
      <c r="CSD35"/>
      <c r="CSE35"/>
      <c r="CSF35"/>
      <c r="CSG35"/>
      <c r="CSH35"/>
      <c r="CSI35"/>
      <c r="CSJ35"/>
      <c r="CSK35"/>
      <c r="CSL35"/>
      <c r="CSM35"/>
      <c r="CSN35"/>
      <c r="CSO35"/>
      <c r="CSP35"/>
      <c r="CSQ35"/>
      <c r="CSR35"/>
      <c r="CSS35"/>
      <c r="CST35"/>
      <c r="CSU35"/>
      <c r="CSV35"/>
      <c r="CSW35"/>
      <c r="CSX35"/>
      <c r="CSY35"/>
      <c r="CSZ35"/>
      <c r="CTA35"/>
      <c r="CTB35"/>
      <c r="CTC35"/>
      <c r="CTD35"/>
      <c r="CTE35"/>
      <c r="CTF35"/>
      <c r="CTG35"/>
      <c r="CTH35"/>
      <c r="CTI35"/>
      <c r="CTJ35"/>
      <c r="CTK35"/>
      <c r="CTL35"/>
      <c r="CTM35"/>
      <c r="CTN35"/>
      <c r="CTO35"/>
      <c r="CTP35"/>
      <c r="CTQ35"/>
      <c r="CTR35"/>
      <c r="CTS35"/>
      <c r="CTT35"/>
      <c r="CTU35"/>
      <c r="CTV35"/>
      <c r="CTW35"/>
      <c r="CTX35"/>
      <c r="CTY35"/>
      <c r="CTZ35"/>
      <c r="CUA35"/>
      <c r="CUB35"/>
      <c r="CUC35"/>
      <c r="CUD35"/>
      <c r="CUE35"/>
      <c r="CUF35"/>
      <c r="CUG35"/>
      <c r="CUH35"/>
      <c r="CUI35"/>
      <c r="CUJ35"/>
      <c r="CUK35"/>
      <c r="CUL35"/>
      <c r="CUM35"/>
      <c r="CUN35"/>
      <c r="CUO35"/>
      <c r="CUP35"/>
      <c r="CUQ35"/>
      <c r="CUR35"/>
      <c r="CUS35"/>
      <c r="CUT35"/>
      <c r="CUU35"/>
      <c r="CUV35"/>
      <c r="CUW35"/>
      <c r="CUX35"/>
      <c r="CUY35"/>
      <c r="CUZ35"/>
      <c r="CVA35"/>
      <c r="CVB35"/>
      <c r="CVC35"/>
      <c r="CVD35"/>
      <c r="CVE35"/>
      <c r="CVF35"/>
      <c r="CVG35"/>
      <c r="CVH35"/>
      <c r="CVI35"/>
      <c r="CVJ35"/>
      <c r="CVK35"/>
      <c r="CVL35"/>
      <c r="CVM35"/>
      <c r="CVN35"/>
      <c r="CVO35"/>
      <c r="CVP35"/>
      <c r="CVQ35"/>
      <c r="CVR35"/>
      <c r="CVS35"/>
      <c r="CVT35"/>
      <c r="CVU35"/>
      <c r="CVV35"/>
      <c r="CVW35"/>
      <c r="CVX35"/>
      <c r="CVY35"/>
      <c r="CVZ35"/>
      <c r="CWA35"/>
      <c r="CWB35"/>
      <c r="CWC35"/>
      <c r="CWD35"/>
      <c r="CWE35"/>
      <c r="CWF35"/>
      <c r="CWG35"/>
      <c r="CWH35"/>
      <c r="CWI35"/>
      <c r="CWJ35"/>
      <c r="CWK35"/>
      <c r="CWL35"/>
      <c r="CWM35"/>
      <c r="CWN35"/>
      <c r="CWO35"/>
      <c r="CWP35"/>
      <c r="CWQ35"/>
      <c r="CWR35"/>
      <c r="CWS35"/>
      <c r="CWT35"/>
      <c r="CWU35"/>
      <c r="CWV35"/>
      <c r="CWW35"/>
      <c r="CWX35"/>
      <c r="CWY35"/>
      <c r="CWZ35"/>
      <c r="CXA35"/>
      <c r="CXB35"/>
      <c r="CXC35"/>
      <c r="CXD35"/>
      <c r="CXE35"/>
      <c r="CXF35"/>
      <c r="CXG35"/>
      <c r="CXH35"/>
      <c r="CXI35"/>
      <c r="CXJ35"/>
      <c r="CXK35"/>
      <c r="CXL35"/>
      <c r="CXM35"/>
      <c r="CXN35"/>
      <c r="CXO35"/>
      <c r="CXP35"/>
      <c r="CXQ35"/>
      <c r="CXR35"/>
      <c r="CXS35"/>
      <c r="CXT35"/>
      <c r="CXU35"/>
      <c r="CXV35"/>
      <c r="CXW35"/>
      <c r="CXX35"/>
      <c r="CXY35"/>
      <c r="CXZ35"/>
      <c r="CYA35"/>
      <c r="CYB35"/>
      <c r="CYC35"/>
      <c r="CYD35"/>
      <c r="CYE35"/>
      <c r="CYF35"/>
      <c r="CYG35"/>
      <c r="CYH35"/>
      <c r="CYI35"/>
      <c r="CYJ35"/>
      <c r="CYK35"/>
      <c r="CYL35"/>
      <c r="CYM35"/>
      <c r="CYN35"/>
      <c r="CYO35"/>
      <c r="CYP35"/>
      <c r="CYQ35"/>
      <c r="CYR35"/>
      <c r="CYS35"/>
      <c r="CYT35"/>
      <c r="CYU35"/>
      <c r="CYV35"/>
      <c r="CYW35"/>
      <c r="CYX35"/>
      <c r="CYY35"/>
      <c r="CYZ35"/>
      <c r="CZA35"/>
      <c r="CZB35"/>
      <c r="CZC35"/>
      <c r="CZD35"/>
      <c r="CZE35"/>
      <c r="CZF35"/>
      <c r="CZG35"/>
      <c r="CZH35"/>
      <c r="CZI35"/>
      <c r="CZJ35"/>
      <c r="CZK35"/>
      <c r="CZL35"/>
      <c r="CZM35"/>
      <c r="CZN35"/>
      <c r="CZO35"/>
      <c r="CZP35"/>
      <c r="CZQ35"/>
      <c r="CZR35"/>
      <c r="CZS35"/>
      <c r="CZT35"/>
      <c r="CZU35"/>
      <c r="CZV35"/>
      <c r="CZW35"/>
      <c r="CZX35"/>
      <c r="CZY35"/>
      <c r="CZZ35"/>
      <c r="DAA35"/>
      <c r="DAB35"/>
      <c r="DAC35"/>
      <c r="DAD35"/>
      <c r="DAE35"/>
      <c r="DAF35"/>
      <c r="DAG35"/>
      <c r="DAH35"/>
      <c r="DAI35"/>
      <c r="DAJ35"/>
      <c r="DAK35"/>
      <c r="DAL35"/>
      <c r="DAM35"/>
      <c r="DAN35"/>
      <c r="DAO35"/>
      <c r="DAP35"/>
      <c r="DAQ35"/>
      <c r="DAR35"/>
      <c r="DAS35"/>
      <c r="DAT35"/>
      <c r="DAU35"/>
      <c r="DAV35"/>
      <c r="DAW35"/>
      <c r="DAX35"/>
      <c r="DAY35"/>
      <c r="DAZ35"/>
      <c r="DBA35"/>
      <c r="DBB35"/>
      <c r="DBC35"/>
      <c r="DBD35"/>
      <c r="DBE35"/>
      <c r="DBF35"/>
      <c r="DBG35"/>
      <c r="DBH35"/>
      <c r="DBI35"/>
      <c r="DBJ35"/>
      <c r="DBK35"/>
      <c r="DBL35"/>
      <c r="DBM35"/>
      <c r="DBN35"/>
      <c r="DBO35"/>
      <c r="DBP35"/>
      <c r="DBQ35"/>
      <c r="DBR35"/>
      <c r="DBS35"/>
      <c r="DBT35"/>
      <c r="DBU35"/>
      <c r="DBV35"/>
      <c r="DBW35"/>
      <c r="DBX35"/>
      <c r="DBY35"/>
      <c r="DBZ35"/>
      <c r="DCA35"/>
      <c r="DCB35"/>
      <c r="DCC35"/>
      <c r="DCD35"/>
      <c r="DCE35"/>
      <c r="DCF35"/>
      <c r="DCG35"/>
      <c r="DCH35"/>
      <c r="DCI35"/>
      <c r="DCJ35"/>
      <c r="DCK35"/>
      <c r="DCL35"/>
      <c r="DCM35"/>
      <c r="DCN35"/>
      <c r="DCO35"/>
      <c r="DCP35"/>
      <c r="DCQ35"/>
      <c r="DCR35"/>
      <c r="DCS35"/>
      <c r="DCT35"/>
      <c r="DCU35"/>
      <c r="DCV35"/>
      <c r="DCW35"/>
      <c r="DCX35"/>
      <c r="DCY35"/>
      <c r="DCZ35"/>
      <c r="DDA35"/>
      <c r="DDB35"/>
      <c r="DDC35"/>
      <c r="DDD35"/>
      <c r="DDE35"/>
      <c r="DDF35"/>
      <c r="DDG35"/>
      <c r="DDH35"/>
      <c r="DDI35"/>
      <c r="DDJ35"/>
      <c r="DDK35"/>
      <c r="DDL35"/>
      <c r="DDM35"/>
      <c r="DDN35"/>
      <c r="DDO35"/>
      <c r="DDP35"/>
      <c r="DDQ35"/>
      <c r="DDR35"/>
      <c r="DDS35"/>
      <c r="DDT35"/>
      <c r="DDU35"/>
      <c r="DDV35"/>
      <c r="DDW35"/>
      <c r="DDX35"/>
      <c r="DDY35"/>
      <c r="DDZ35"/>
      <c r="DEA35"/>
      <c r="DEB35"/>
      <c r="DEC35"/>
      <c r="DED35"/>
      <c r="DEE35"/>
      <c r="DEF35"/>
      <c r="DEG35"/>
      <c r="DEH35"/>
      <c r="DEI35"/>
      <c r="DEJ35"/>
      <c r="DEK35"/>
      <c r="DEL35"/>
      <c r="DEM35"/>
      <c r="DEN35"/>
      <c r="DEO35"/>
      <c r="DEP35"/>
      <c r="DEQ35"/>
      <c r="DER35"/>
      <c r="DES35"/>
      <c r="DET35"/>
      <c r="DEU35"/>
      <c r="DEV35"/>
      <c r="DEW35"/>
      <c r="DEX35"/>
      <c r="DEY35"/>
      <c r="DEZ35"/>
      <c r="DFA35"/>
      <c r="DFB35"/>
      <c r="DFC35"/>
      <c r="DFD35"/>
      <c r="DFE35"/>
      <c r="DFF35"/>
      <c r="DFG35"/>
      <c r="DFH35"/>
      <c r="DFI35"/>
      <c r="DFJ35"/>
      <c r="DFK35"/>
      <c r="DFL35"/>
      <c r="DFM35"/>
      <c r="DFN35"/>
      <c r="DFO35"/>
      <c r="DFP35"/>
      <c r="DFQ35"/>
      <c r="DFR35"/>
      <c r="DFS35"/>
      <c r="DFT35"/>
      <c r="DFU35"/>
      <c r="DFV35"/>
      <c r="DFW35"/>
      <c r="DFX35"/>
      <c r="DFY35"/>
      <c r="DFZ35"/>
      <c r="DGA35"/>
      <c r="DGB35"/>
      <c r="DGC35"/>
      <c r="DGD35"/>
      <c r="DGE35"/>
      <c r="DGF35"/>
      <c r="DGG35"/>
      <c r="DGH35"/>
      <c r="DGI35"/>
      <c r="DGJ35"/>
      <c r="DGK35"/>
      <c r="DGL35"/>
      <c r="DGM35"/>
      <c r="DGN35"/>
      <c r="DGO35"/>
      <c r="DGP35"/>
      <c r="DGQ35"/>
      <c r="DGR35"/>
      <c r="DGS35"/>
      <c r="DGT35"/>
      <c r="DGU35"/>
      <c r="DGV35"/>
      <c r="DGW35"/>
      <c r="DGX35"/>
      <c r="DGY35"/>
      <c r="DGZ35"/>
      <c r="DHA35"/>
      <c r="DHB35"/>
      <c r="DHC35"/>
      <c r="DHD35"/>
      <c r="DHE35"/>
      <c r="DHF35"/>
      <c r="DHG35"/>
      <c r="DHH35"/>
      <c r="DHI35"/>
      <c r="DHJ35"/>
      <c r="DHK35"/>
      <c r="DHL35"/>
      <c r="DHM35"/>
      <c r="DHN35"/>
      <c r="DHO35"/>
      <c r="DHP35"/>
      <c r="DHQ35"/>
      <c r="DHR35"/>
      <c r="DHS35"/>
      <c r="DHT35"/>
      <c r="DHU35"/>
      <c r="DHV35"/>
      <c r="DHW35"/>
      <c r="DHX35"/>
      <c r="DHY35"/>
      <c r="DHZ35"/>
      <c r="DIA35"/>
      <c r="DIB35"/>
      <c r="DIC35"/>
      <c r="DID35"/>
      <c r="DIE35"/>
      <c r="DIF35"/>
      <c r="DIG35"/>
      <c r="DIH35"/>
      <c r="DII35"/>
      <c r="DIJ35"/>
      <c r="DIK35"/>
      <c r="DIL35"/>
      <c r="DIM35"/>
      <c r="DIN35"/>
      <c r="DIO35"/>
      <c r="DIP35"/>
      <c r="DIQ35"/>
      <c r="DIR35"/>
      <c r="DIS35"/>
      <c r="DIT35"/>
      <c r="DIU35"/>
      <c r="DIV35"/>
      <c r="DIW35"/>
      <c r="DIX35"/>
      <c r="DIY35"/>
      <c r="DIZ35"/>
      <c r="DJA35"/>
      <c r="DJB35"/>
      <c r="DJC35"/>
      <c r="DJD35"/>
      <c r="DJE35"/>
      <c r="DJF35"/>
      <c r="DJG35"/>
      <c r="DJH35"/>
      <c r="DJI35"/>
      <c r="DJJ35"/>
      <c r="DJK35"/>
      <c r="DJL35"/>
      <c r="DJM35"/>
      <c r="DJN35"/>
      <c r="DJO35"/>
      <c r="DJP35"/>
      <c r="DJQ35"/>
      <c r="DJR35"/>
      <c r="DJS35"/>
      <c r="DJT35"/>
      <c r="DJU35"/>
      <c r="DJV35"/>
      <c r="DJW35"/>
      <c r="DJX35"/>
      <c r="DJY35"/>
      <c r="DJZ35"/>
      <c r="DKA35"/>
      <c r="DKB35"/>
      <c r="DKC35"/>
      <c r="DKD35"/>
      <c r="DKE35"/>
      <c r="DKF35"/>
      <c r="DKG35"/>
      <c r="DKH35"/>
      <c r="DKI35"/>
      <c r="DKJ35"/>
      <c r="DKK35"/>
      <c r="DKL35"/>
      <c r="DKM35"/>
      <c r="DKN35"/>
      <c r="DKO35"/>
      <c r="DKP35"/>
      <c r="DKQ35"/>
      <c r="DKR35"/>
      <c r="DKS35"/>
      <c r="DKT35"/>
      <c r="DKU35"/>
      <c r="DKV35"/>
      <c r="DKW35"/>
      <c r="DKX35"/>
      <c r="DKY35"/>
      <c r="DKZ35"/>
      <c r="DLA35"/>
      <c r="DLB35"/>
      <c r="DLC35"/>
      <c r="DLD35"/>
      <c r="DLE35"/>
      <c r="DLF35"/>
      <c r="DLG35"/>
      <c r="DLH35"/>
      <c r="DLI35"/>
      <c r="DLJ35"/>
      <c r="DLK35"/>
      <c r="DLL35"/>
      <c r="DLM35"/>
      <c r="DLN35"/>
      <c r="DLO35"/>
      <c r="DLP35"/>
      <c r="DLQ35"/>
      <c r="DLR35"/>
      <c r="DLS35"/>
      <c r="DLT35"/>
      <c r="DLU35"/>
      <c r="DLV35"/>
      <c r="DLW35"/>
      <c r="DLX35"/>
      <c r="DLY35"/>
      <c r="DLZ35"/>
      <c r="DMA35"/>
      <c r="DMB35"/>
      <c r="DMC35"/>
      <c r="DMD35"/>
      <c r="DME35"/>
      <c r="DMF35"/>
      <c r="DMG35"/>
      <c r="DMH35"/>
      <c r="DMI35"/>
      <c r="DMJ35"/>
      <c r="DMK35"/>
      <c r="DML35"/>
      <c r="DMM35"/>
      <c r="DMN35"/>
      <c r="DMO35"/>
      <c r="DMP35"/>
      <c r="DMQ35"/>
      <c r="DMR35"/>
      <c r="DMS35"/>
      <c r="DMT35"/>
      <c r="DMU35"/>
      <c r="DMV35"/>
      <c r="DMW35"/>
      <c r="DMX35"/>
      <c r="DMY35"/>
      <c r="DMZ35"/>
      <c r="DNA35"/>
      <c r="DNB35"/>
      <c r="DNC35"/>
      <c r="DND35"/>
      <c r="DNE35"/>
      <c r="DNF35"/>
      <c r="DNG35"/>
      <c r="DNH35"/>
      <c r="DNI35"/>
      <c r="DNJ35"/>
      <c r="DNK35"/>
      <c r="DNL35"/>
      <c r="DNM35"/>
      <c r="DNN35"/>
      <c r="DNO35"/>
      <c r="DNP35"/>
      <c r="DNQ35"/>
      <c r="DNR35"/>
      <c r="DNS35"/>
      <c r="DNT35"/>
      <c r="DNU35"/>
      <c r="DNV35"/>
      <c r="DNW35"/>
      <c r="DNX35"/>
      <c r="DNY35"/>
      <c r="DNZ35"/>
      <c r="DOA35"/>
      <c r="DOB35"/>
      <c r="DOC35"/>
      <c r="DOD35"/>
      <c r="DOE35"/>
      <c r="DOF35"/>
      <c r="DOG35"/>
      <c r="DOH35"/>
      <c r="DOI35"/>
      <c r="DOJ35"/>
      <c r="DOK35"/>
      <c r="DOL35"/>
      <c r="DOM35"/>
      <c r="DON35"/>
      <c r="DOO35"/>
      <c r="DOP35"/>
      <c r="DOQ35"/>
      <c r="DOR35"/>
      <c r="DOS35"/>
      <c r="DOT35"/>
      <c r="DOU35"/>
      <c r="DOV35"/>
      <c r="DOW35"/>
      <c r="DOX35"/>
      <c r="DOY35"/>
      <c r="DOZ35"/>
      <c r="DPA35"/>
      <c r="DPB35"/>
      <c r="DPC35"/>
      <c r="DPD35"/>
      <c r="DPE35"/>
      <c r="DPF35"/>
      <c r="DPG35"/>
      <c r="DPH35"/>
      <c r="DPI35"/>
      <c r="DPJ35"/>
      <c r="DPK35"/>
      <c r="DPL35"/>
      <c r="DPM35"/>
      <c r="DPN35"/>
      <c r="DPO35"/>
      <c r="DPP35"/>
      <c r="DPQ35"/>
      <c r="DPR35"/>
      <c r="DPS35"/>
      <c r="DPT35"/>
      <c r="DPU35"/>
      <c r="DPV35"/>
      <c r="DPW35"/>
      <c r="DPX35"/>
      <c r="DPY35"/>
      <c r="DPZ35"/>
      <c r="DQA35"/>
      <c r="DQB35"/>
      <c r="DQC35"/>
      <c r="DQD35"/>
      <c r="DQE35"/>
      <c r="DQF35"/>
      <c r="DQG35"/>
      <c r="DQH35"/>
      <c r="DQI35"/>
      <c r="DQJ35"/>
      <c r="DQK35"/>
      <c r="DQL35"/>
      <c r="DQM35"/>
      <c r="DQN35"/>
      <c r="DQO35"/>
      <c r="DQP35"/>
      <c r="DQQ35"/>
      <c r="DQR35"/>
      <c r="DQS35"/>
      <c r="DQT35"/>
      <c r="DQU35"/>
      <c r="DQV35"/>
      <c r="DQW35"/>
      <c r="DQX35"/>
      <c r="DQY35"/>
      <c r="DQZ35"/>
      <c r="DRA35"/>
      <c r="DRB35"/>
      <c r="DRC35"/>
      <c r="DRD35"/>
      <c r="DRE35"/>
      <c r="DRF35"/>
      <c r="DRG35"/>
      <c r="DRH35"/>
      <c r="DRI35"/>
      <c r="DRJ35"/>
      <c r="DRK35"/>
      <c r="DRL35"/>
      <c r="DRM35"/>
      <c r="DRN35"/>
      <c r="DRO35"/>
      <c r="DRP35"/>
      <c r="DRQ35"/>
      <c r="DRR35"/>
      <c r="DRS35"/>
      <c r="DRT35"/>
      <c r="DRU35"/>
      <c r="DRV35"/>
      <c r="DRW35"/>
      <c r="DRX35"/>
      <c r="DRY35"/>
      <c r="DRZ35"/>
      <c r="DSA35"/>
      <c r="DSB35"/>
      <c r="DSC35"/>
      <c r="DSD35"/>
      <c r="DSE35"/>
      <c r="DSF35"/>
      <c r="DSG35"/>
      <c r="DSH35"/>
      <c r="DSI35"/>
      <c r="DSJ35"/>
      <c r="DSK35"/>
      <c r="DSL35"/>
      <c r="DSM35"/>
      <c r="DSN35"/>
      <c r="DSO35"/>
      <c r="DSP35"/>
      <c r="DSQ35"/>
      <c r="DSR35"/>
      <c r="DSS35"/>
      <c r="DST35"/>
      <c r="DSU35"/>
      <c r="DSV35"/>
      <c r="DSW35"/>
      <c r="DSX35"/>
      <c r="DSY35"/>
      <c r="DSZ35"/>
      <c r="DTA35"/>
      <c r="DTB35"/>
      <c r="DTC35"/>
      <c r="DTD35"/>
      <c r="DTE35"/>
      <c r="DTF35"/>
      <c r="DTG35"/>
      <c r="DTH35"/>
      <c r="DTI35"/>
      <c r="DTJ35"/>
      <c r="DTK35"/>
      <c r="DTL35"/>
      <c r="DTM35"/>
      <c r="DTN35"/>
      <c r="DTO35"/>
      <c r="DTP35"/>
      <c r="DTQ35"/>
      <c r="DTR35"/>
      <c r="DTS35"/>
      <c r="DTT35"/>
      <c r="DTU35"/>
      <c r="DTV35"/>
      <c r="DTW35"/>
      <c r="DTX35"/>
      <c r="DTY35"/>
      <c r="DTZ35"/>
      <c r="DUA35"/>
      <c r="DUB35"/>
      <c r="DUC35"/>
      <c r="DUD35"/>
      <c r="DUE35"/>
      <c r="DUF35"/>
      <c r="DUG35"/>
      <c r="DUH35"/>
      <c r="DUI35"/>
      <c r="DUJ35"/>
      <c r="DUK35"/>
      <c r="DUL35"/>
      <c r="DUM35"/>
      <c r="DUN35"/>
      <c r="DUO35"/>
      <c r="DUP35"/>
      <c r="DUQ35"/>
      <c r="DUR35"/>
      <c r="DUS35"/>
      <c r="DUT35"/>
      <c r="DUU35"/>
      <c r="DUV35"/>
      <c r="DUW35"/>
      <c r="DUX35"/>
      <c r="DUY35"/>
      <c r="DUZ35"/>
      <c r="DVA35"/>
      <c r="DVB35"/>
      <c r="DVC35"/>
      <c r="DVD35"/>
      <c r="DVE35"/>
      <c r="DVF35"/>
      <c r="DVG35"/>
      <c r="DVH35"/>
      <c r="DVI35"/>
      <c r="DVJ35"/>
      <c r="DVK35"/>
      <c r="DVL35"/>
      <c r="DVM35"/>
      <c r="DVN35"/>
      <c r="DVO35"/>
      <c r="DVP35"/>
      <c r="DVQ35"/>
      <c r="DVR35"/>
      <c r="DVS35"/>
      <c r="DVT35"/>
      <c r="DVU35"/>
      <c r="DVV35"/>
      <c r="DVW35"/>
      <c r="DVX35"/>
      <c r="DVY35"/>
      <c r="DVZ35"/>
      <c r="DWA35"/>
      <c r="DWB35"/>
      <c r="DWC35"/>
      <c r="DWD35"/>
      <c r="DWE35"/>
      <c r="DWF35"/>
      <c r="DWG35"/>
      <c r="DWH35"/>
      <c r="DWI35"/>
      <c r="DWJ35"/>
      <c r="DWK35"/>
      <c r="DWL35"/>
      <c r="DWM35"/>
      <c r="DWN35"/>
      <c r="DWO35"/>
      <c r="DWP35"/>
      <c r="DWQ35"/>
      <c r="DWR35"/>
      <c r="DWS35"/>
      <c r="DWT35"/>
      <c r="DWU35"/>
      <c r="DWV35"/>
      <c r="DWW35"/>
      <c r="DWX35"/>
      <c r="DWY35"/>
      <c r="DWZ35"/>
      <c r="DXA35"/>
      <c r="DXB35"/>
      <c r="DXC35"/>
      <c r="DXD35"/>
      <c r="DXE35"/>
      <c r="DXF35"/>
      <c r="DXG35"/>
      <c r="DXH35"/>
      <c r="DXI35"/>
      <c r="DXJ35"/>
      <c r="DXK35"/>
      <c r="DXL35"/>
      <c r="DXM35"/>
      <c r="DXN35"/>
      <c r="DXO35"/>
      <c r="DXP35"/>
      <c r="DXQ35"/>
      <c r="DXR35"/>
      <c r="DXS35"/>
      <c r="DXT35"/>
      <c r="DXU35"/>
      <c r="DXV35"/>
      <c r="DXW35"/>
      <c r="DXX35"/>
      <c r="DXY35"/>
      <c r="DXZ35"/>
      <c r="DYA35"/>
      <c r="DYB35"/>
      <c r="DYC35"/>
      <c r="DYD35"/>
      <c r="DYE35"/>
      <c r="DYF35"/>
      <c r="DYG35"/>
      <c r="DYH35"/>
      <c r="DYI35"/>
      <c r="DYJ35"/>
      <c r="DYK35"/>
      <c r="DYL35"/>
      <c r="DYM35"/>
      <c r="DYN35"/>
      <c r="DYO35"/>
      <c r="DYP35"/>
      <c r="DYQ35"/>
      <c r="DYR35"/>
      <c r="DYS35"/>
      <c r="DYT35"/>
      <c r="DYU35"/>
      <c r="DYV35"/>
      <c r="DYW35"/>
      <c r="DYX35"/>
      <c r="DYY35"/>
      <c r="DYZ35"/>
      <c r="DZA35"/>
      <c r="DZB35"/>
      <c r="DZC35"/>
      <c r="DZD35"/>
      <c r="DZE35"/>
      <c r="DZF35"/>
      <c r="DZG35"/>
      <c r="DZH35"/>
      <c r="DZI35"/>
      <c r="DZJ35"/>
      <c r="DZK35"/>
      <c r="DZL35"/>
      <c r="DZM35"/>
      <c r="DZN35"/>
      <c r="DZO35"/>
      <c r="DZP35"/>
      <c r="DZQ35"/>
      <c r="DZR35"/>
      <c r="DZS35"/>
      <c r="DZT35"/>
      <c r="DZU35"/>
      <c r="DZV35"/>
      <c r="DZW35"/>
      <c r="DZX35"/>
      <c r="DZY35"/>
      <c r="DZZ35"/>
      <c r="EAA35"/>
      <c r="EAB35"/>
      <c r="EAC35"/>
      <c r="EAD35"/>
      <c r="EAE35"/>
      <c r="EAF35"/>
      <c r="EAG35"/>
      <c r="EAH35"/>
      <c r="EAI35"/>
      <c r="EAJ35"/>
      <c r="EAK35"/>
      <c r="EAL35"/>
      <c r="EAM35"/>
      <c r="EAN35"/>
      <c r="EAO35"/>
      <c r="EAP35"/>
      <c r="EAQ35"/>
      <c r="EAR35"/>
      <c r="EAS35"/>
      <c r="EAT35"/>
      <c r="EAU35"/>
      <c r="EAV35"/>
      <c r="EAW35"/>
      <c r="EAX35"/>
      <c r="EAY35"/>
      <c r="EAZ35"/>
      <c r="EBA35"/>
      <c r="EBB35"/>
      <c r="EBC35"/>
      <c r="EBD35"/>
      <c r="EBE35"/>
      <c r="EBF35"/>
      <c r="EBG35"/>
      <c r="EBH35"/>
      <c r="EBI35"/>
      <c r="EBJ35"/>
      <c r="EBK35"/>
      <c r="EBL35"/>
      <c r="EBM35"/>
      <c r="EBN35"/>
      <c r="EBO35"/>
      <c r="EBP35"/>
      <c r="EBQ35"/>
      <c r="EBR35"/>
      <c r="EBS35"/>
      <c r="EBT35"/>
      <c r="EBU35"/>
      <c r="EBV35"/>
      <c r="EBW35"/>
      <c r="EBX35"/>
      <c r="EBY35"/>
      <c r="EBZ35"/>
      <c r="ECA35"/>
      <c r="ECB35"/>
      <c r="ECC35"/>
      <c r="ECD35"/>
      <c r="ECE35"/>
      <c r="ECF35"/>
      <c r="ECG35"/>
      <c r="ECH35"/>
      <c r="ECI35"/>
      <c r="ECJ35"/>
      <c r="ECK35"/>
      <c r="ECL35"/>
      <c r="ECM35"/>
      <c r="ECN35"/>
      <c r="ECO35"/>
      <c r="ECP35"/>
      <c r="ECQ35"/>
      <c r="ECR35"/>
      <c r="ECS35"/>
      <c r="ECT35"/>
      <c r="ECU35"/>
      <c r="ECV35"/>
      <c r="ECW35"/>
      <c r="ECX35"/>
      <c r="ECY35"/>
      <c r="ECZ35"/>
      <c r="EDA35"/>
      <c r="EDB35"/>
      <c r="EDC35"/>
      <c r="EDD35"/>
      <c r="EDE35"/>
      <c r="EDF35"/>
      <c r="EDG35"/>
      <c r="EDH35"/>
      <c r="EDI35"/>
      <c r="EDJ35"/>
      <c r="EDK35"/>
      <c r="EDL35"/>
      <c r="EDM35"/>
      <c r="EDN35"/>
      <c r="EDO35"/>
      <c r="EDP35"/>
      <c r="EDQ35"/>
      <c r="EDR35"/>
      <c r="EDS35"/>
      <c r="EDT35"/>
      <c r="EDU35"/>
      <c r="EDV35"/>
      <c r="EDW35"/>
      <c r="EDX35"/>
      <c r="EDY35"/>
      <c r="EDZ35"/>
      <c r="EEA35"/>
      <c r="EEB35"/>
      <c r="EEC35"/>
      <c r="EED35"/>
      <c r="EEE35"/>
      <c r="EEF35"/>
      <c r="EEG35"/>
      <c r="EEH35"/>
      <c r="EEI35"/>
      <c r="EEJ35"/>
      <c r="EEK35"/>
      <c r="EEL35"/>
      <c r="EEM35"/>
      <c r="EEN35"/>
      <c r="EEO35"/>
      <c r="EEP35"/>
      <c r="EEQ35"/>
      <c r="EER35"/>
      <c r="EES35"/>
      <c r="EET35"/>
      <c r="EEU35"/>
      <c r="EEV35"/>
      <c r="EEW35"/>
      <c r="EEX35"/>
      <c r="EEY35"/>
      <c r="EEZ35"/>
      <c r="EFA35"/>
      <c r="EFB35"/>
      <c r="EFC35"/>
      <c r="EFD35"/>
      <c r="EFE35"/>
      <c r="EFF35"/>
      <c r="EFG35"/>
      <c r="EFH35"/>
      <c r="EFI35"/>
      <c r="EFJ35"/>
      <c r="EFK35"/>
      <c r="EFL35"/>
      <c r="EFM35"/>
      <c r="EFN35"/>
      <c r="EFO35"/>
      <c r="EFP35"/>
      <c r="EFQ35"/>
      <c r="EFR35"/>
      <c r="EFS35"/>
      <c r="EFT35"/>
      <c r="EFU35"/>
      <c r="EFV35"/>
      <c r="EFW35"/>
      <c r="EFX35"/>
      <c r="EFY35"/>
      <c r="EFZ35"/>
      <c r="EGA35"/>
      <c r="EGB35"/>
      <c r="EGC35"/>
      <c r="EGD35"/>
      <c r="EGE35"/>
      <c r="EGF35"/>
      <c r="EGG35"/>
      <c r="EGH35"/>
      <c r="EGI35"/>
      <c r="EGJ35"/>
      <c r="EGK35"/>
      <c r="EGL35"/>
      <c r="EGM35"/>
      <c r="EGN35"/>
      <c r="EGO35"/>
      <c r="EGP35"/>
      <c r="EGQ35"/>
      <c r="EGR35"/>
      <c r="EGS35"/>
      <c r="EGT35"/>
      <c r="EGU35"/>
      <c r="EGV35"/>
      <c r="EGW35"/>
      <c r="EGX35"/>
      <c r="EGY35"/>
      <c r="EGZ35"/>
      <c r="EHA35"/>
      <c r="EHB35"/>
      <c r="EHC35"/>
      <c r="EHD35"/>
      <c r="EHE35"/>
      <c r="EHF35"/>
      <c r="EHG35"/>
      <c r="EHH35"/>
      <c r="EHI35"/>
      <c r="EHJ35"/>
      <c r="EHK35"/>
      <c r="EHL35"/>
      <c r="EHM35"/>
      <c r="EHN35"/>
      <c r="EHO35"/>
      <c r="EHP35"/>
      <c r="EHQ35"/>
      <c r="EHR35"/>
      <c r="EHS35"/>
      <c r="EHT35"/>
      <c r="EHU35"/>
      <c r="EHV35"/>
      <c r="EHW35"/>
      <c r="EHX35"/>
      <c r="EHY35"/>
      <c r="EHZ35"/>
      <c r="EIA35"/>
      <c r="EIB35"/>
      <c r="EIC35"/>
      <c r="EID35"/>
      <c r="EIE35"/>
      <c r="EIF35"/>
      <c r="EIG35"/>
      <c r="EIH35"/>
      <c r="EII35"/>
      <c r="EIJ35"/>
      <c r="EIK35"/>
      <c r="EIL35"/>
      <c r="EIM35"/>
      <c r="EIN35"/>
      <c r="EIO35"/>
      <c r="EIP35"/>
      <c r="EIQ35"/>
      <c r="EIR35"/>
      <c r="EIS35"/>
      <c r="EIT35"/>
      <c r="EIU35"/>
      <c r="EIV35"/>
      <c r="EIW35"/>
      <c r="EIX35"/>
      <c r="EIY35"/>
      <c r="EIZ35"/>
      <c r="EJA35"/>
      <c r="EJB35"/>
      <c r="EJC35"/>
      <c r="EJD35"/>
      <c r="EJE35"/>
      <c r="EJF35"/>
      <c r="EJG35"/>
      <c r="EJH35"/>
      <c r="EJI35"/>
      <c r="EJJ35"/>
      <c r="EJK35"/>
      <c r="EJL35"/>
      <c r="EJM35"/>
      <c r="EJN35"/>
      <c r="EJO35"/>
      <c r="EJP35"/>
      <c r="EJQ35"/>
      <c r="EJR35"/>
      <c r="EJS35"/>
      <c r="EJT35"/>
      <c r="EJU35"/>
      <c r="EJV35"/>
      <c r="EJW35"/>
      <c r="EJX35"/>
      <c r="EJY35"/>
      <c r="EJZ35"/>
      <c r="EKA35"/>
      <c r="EKB35"/>
      <c r="EKC35"/>
      <c r="EKD35"/>
      <c r="EKE35"/>
      <c r="EKF35"/>
      <c r="EKG35"/>
      <c r="EKH35"/>
      <c r="EKI35"/>
      <c r="EKJ35"/>
      <c r="EKK35"/>
      <c r="EKL35"/>
      <c r="EKM35"/>
      <c r="EKN35"/>
      <c r="EKO35"/>
      <c r="EKP35"/>
      <c r="EKQ35"/>
      <c r="EKR35"/>
      <c r="EKS35"/>
      <c r="EKT35"/>
      <c r="EKU35"/>
      <c r="EKV35"/>
      <c r="EKW35"/>
      <c r="EKX35"/>
      <c r="EKY35"/>
      <c r="EKZ35"/>
      <c r="ELA35"/>
      <c r="ELB35"/>
      <c r="ELC35"/>
      <c r="ELD35"/>
      <c r="ELE35"/>
      <c r="ELF35"/>
      <c r="ELG35"/>
      <c r="ELH35"/>
      <c r="ELI35"/>
      <c r="ELJ35"/>
      <c r="ELK35"/>
      <c r="ELL35"/>
      <c r="ELM35"/>
      <c r="ELN35"/>
      <c r="ELO35"/>
      <c r="ELP35"/>
      <c r="ELQ35"/>
      <c r="ELR35"/>
      <c r="ELS35"/>
      <c r="ELT35"/>
      <c r="ELU35"/>
      <c r="ELV35"/>
      <c r="ELW35"/>
      <c r="ELX35"/>
      <c r="ELY35"/>
      <c r="ELZ35"/>
      <c r="EMA35"/>
      <c r="EMB35"/>
      <c r="EMC35"/>
      <c r="EMD35"/>
      <c r="EME35"/>
      <c r="EMF35"/>
      <c r="EMG35"/>
      <c r="EMH35"/>
      <c r="EMI35"/>
      <c r="EMJ35"/>
      <c r="EMK35"/>
      <c r="EML35"/>
      <c r="EMM35"/>
      <c r="EMN35"/>
      <c r="EMO35"/>
      <c r="EMP35"/>
      <c r="EMQ35"/>
      <c r="EMR35"/>
      <c r="EMS35"/>
      <c r="EMT35"/>
      <c r="EMU35"/>
      <c r="EMV35"/>
      <c r="EMW35"/>
      <c r="EMX35"/>
      <c r="EMY35"/>
      <c r="EMZ35"/>
      <c r="ENA35"/>
      <c r="ENB35"/>
      <c r="ENC35"/>
      <c r="END35"/>
      <c r="ENE35"/>
      <c r="ENF35"/>
      <c r="ENG35"/>
      <c r="ENH35"/>
      <c r="ENI35"/>
      <c r="ENJ35"/>
      <c r="ENK35"/>
      <c r="ENL35"/>
      <c r="ENM35"/>
      <c r="ENN35"/>
      <c r="ENO35"/>
      <c r="ENP35"/>
      <c r="ENQ35"/>
      <c r="ENR35"/>
      <c r="ENS35"/>
      <c r="ENT35"/>
      <c r="ENU35"/>
      <c r="ENV35"/>
      <c r="ENW35"/>
      <c r="ENX35"/>
      <c r="ENY35"/>
      <c r="ENZ35"/>
      <c r="EOA35"/>
      <c r="EOB35"/>
      <c r="EOC35"/>
      <c r="EOD35"/>
      <c r="EOE35"/>
      <c r="EOF35"/>
      <c r="EOG35"/>
      <c r="EOH35"/>
      <c r="EOI35"/>
      <c r="EOJ35"/>
      <c r="EOK35"/>
      <c r="EOL35"/>
      <c r="EOM35"/>
      <c r="EON35"/>
      <c r="EOO35"/>
      <c r="EOP35"/>
      <c r="EOQ35"/>
      <c r="EOR35"/>
      <c r="EOS35"/>
      <c r="EOT35"/>
      <c r="EOU35"/>
      <c r="EOV35"/>
      <c r="EOW35"/>
      <c r="EOX35"/>
      <c r="EOY35"/>
      <c r="EOZ35"/>
      <c r="EPA35"/>
      <c r="EPB35"/>
      <c r="EPC35"/>
      <c r="EPD35"/>
      <c r="EPE35"/>
      <c r="EPF35"/>
      <c r="EPG35"/>
      <c r="EPH35"/>
      <c r="EPI35"/>
      <c r="EPJ35"/>
      <c r="EPK35"/>
      <c r="EPL35"/>
      <c r="EPM35"/>
      <c r="EPN35"/>
      <c r="EPO35"/>
      <c r="EPP35"/>
      <c r="EPQ35"/>
      <c r="EPR35"/>
      <c r="EPS35"/>
      <c r="EPT35"/>
      <c r="EPU35"/>
      <c r="EPV35"/>
      <c r="EPW35"/>
      <c r="EPX35"/>
      <c r="EPY35"/>
      <c r="EPZ35"/>
      <c r="EQA35"/>
      <c r="EQB35"/>
      <c r="EQC35"/>
      <c r="EQD35"/>
      <c r="EQE35"/>
      <c r="EQF35"/>
      <c r="EQG35"/>
      <c r="EQH35"/>
      <c r="EQI35"/>
      <c r="EQJ35"/>
      <c r="EQK35"/>
      <c r="EQL35"/>
      <c r="EQM35"/>
      <c r="EQN35"/>
      <c r="EQO35"/>
      <c r="EQP35"/>
      <c r="EQQ35"/>
      <c r="EQR35"/>
      <c r="EQS35"/>
      <c r="EQT35"/>
      <c r="EQU35"/>
      <c r="EQV35"/>
      <c r="EQW35"/>
      <c r="EQX35"/>
      <c r="EQY35"/>
      <c r="EQZ35"/>
      <c r="ERA35"/>
      <c r="ERB35"/>
      <c r="ERC35"/>
      <c r="ERD35"/>
      <c r="ERE35"/>
      <c r="ERF35"/>
      <c r="ERG35"/>
      <c r="ERH35"/>
      <c r="ERI35"/>
      <c r="ERJ35"/>
      <c r="ERK35"/>
      <c r="ERL35"/>
      <c r="ERM35"/>
      <c r="ERN35"/>
      <c r="ERO35"/>
      <c r="ERP35"/>
      <c r="ERQ35"/>
      <c r="ERR35"/>
      <c r="ERS35"/>
      <c r="ERT35"/>
      <c r="ERU35"/>
      <c r="ERV35"/>
      <c r="ERW35"/>
      <c r="ERX35"/>
      <c r="ERY35"/>
      <c r="ERZ35"/>
      <c r="ESA35"/>
      <c r="ESB35"/>
      <c r="ESC35"/>
      <c r="ESD35"/>
      <c r="ESE35"/>
      <c r="ESF35"/>
      <c r="ESG35"/>
      <c r="ESH35"/>
      <c r="ESI35"/>
      <c r="ESJ35"/>
      <c r="ESK35"/>
      <c r="ESL35"/>
      <c r="ESM35"/>
      <c r="ESN35"/>
      <c r="ESO35"/>
      <c r="ESP35"/>
      <c r="ESQ35"/>
      <c r="ESR35"/>
      <c r="ESS35"/>
      <c r="EST35"/>
      <c r="ESU35"/>
      <c r="ESV35"/>
      <c r="ESW35"/>
      <c r="ESX35"/>
      <c r="ESY35"/>
      <c r="ESZ35"/>
      <c r="ETA35"/>
      <c r="ETB35"/>
      <c r="ETC35"/>
      <c r="ETD35"/>
      <c r="ETE35"/>
      <c r="ETF35"/>
      <c r="ETG35"/>
      <c r="ETH35"/>
      <c r="ETI35"/>
      <c r="ETJ35"/>
      <c r="ETK35"/>
      <c r="ETL35"/>
      <c r="ETM35"/>
      <c r="ETN35"/>
      <c r="ETO35"/>
      <c r="ETP35"/>
      <c r="ETQ35"/>
      <c r="ETR35"/>
      <c r="ETS35"/>
      <c r="ETT35"/>
      <c r="ETU35"/>
      <c r="ETV35"/>
      <c r="ETW35"/>
      <c r="ETX35"/>
      <c r="ETY35"/>
      <c r="ETZ35"/>
      <c r="EUA35"/>
      <c r="EUB35"/>
      <c r="EUC35"/>
      <c r="EUD35"/>
      <c r="EUE35"/>
      <c r="EUF35"/>
      <c r="EUG35"/>
      <c r="EUH35"/>
      <c r="EUI35"/>
      <c r="EUJ35"/>
      <c r="EUK35"/>
      <c r="EUL35"/>
      <c r="EUM35"/>
      <c r="EUN35"/>
      <c r="EUO35"/>
      <c r="EUP35"/>
      <c r="EUQ35"/>
      <c r="EUR35"/>
      <c r="EUS35"/>
      <c r="EUT35"/>
      <c r="EUU35"/>
      <c r="EUV35"/>
      <c r="EUW35"/>
      <c r="EUX35"/>
      <c r="EUY35"/>
      <c r="EUZ35"/>
      <c r="EVA35"/>
      <c r="EVB35"/>
      <c r="EVC35"/>
      <c r="EVD35"/>
      <c r="EVE35"/>
      <c r="EVF35"/>
      <c r="EVG35"/>
      <c r="EVH35"/>
      <c r="EVI35"/>
      <c r="EVJ35"/>
      <c r="EVK35"/>
      <c r="EVL35"/>
      <c r="EVM35"/>
      <c r="EVN35"/>
      <c r="EVO35"/>
      <c r="EVP35"/>
      <c r="EVQ35"/>
      <c r="EVR35"/>
      <c r="EVS35"/>
      <c r="EVT35"/>
      <c r="EVU35"/>
      <c r="EVV35"/>
      <c r="EVW35"/>
      <c r="EVX35"/>
      <c r="EVY35"/>
      <c r="EVZ35"/>
      <c r="EWA35"/>
      <c r="EWB35"/>
      <c r="EWC35"/>
      <c r="EWD35"/>
      <c r="EWE35"/>
      <c r="EWF35"/>
      <c r="EWG35"/>
      <c r="EWH35"/>
      <c r="EWI35"/>
      <c r="EWJ35"/>
      <c r="EWK35"/>
      <c r="EWL35"/>
      <c r="EWM35"/>
      <c r="EWN35"/>
      <c r="EWO35"/>
      <c r="EWP35"/>
      <c r="EWQ35"/>
      <c r="EWR35"/>
      <c r="EWS35"/>
      <c r="EWT35"/>
      <c r="EWU35"/>
      <c r="EWV35"/>
      <c r="EWW35"/>
      <c r="EWX35"/>
      <c r="EWY35"/>
      <c r="EWZ35"/>
      <c r="EXA35"/>
      <c r="EXB35"/>
      <c r="EXC35"/>
      <c r="EXD35"/>
      <c r="EXE35"/>
      <c r="EXF35"/>
      <c r="EXG35"/>
      <c r="EXH35"/>
      <c r="EXI35"/>
      <c r="EXJ35"/>
      <c r="EXK35"/>
      <c r="EXL35"/>
      <c r="EXM35"/>
      <c r="EXN35"/>
      <c r="EXO35"/>
      <c r="EXP35"/>
      <c r="EXQ35"/>
      <c r="EXR35"/>
      <c r="EXS35"/>
      <c r="EXT35"/>
      <c r="EXU35"/>
      <c r="EXV35"/>
      <c r="EXW35"/>
      <c r="EXX35"/>
      <c r="EXY35"/>
      <c r="EXZ35"/>
      <c r="EYA35"/>
      <c r="EYB35"/>
      <c r="EYC35"/>
      <c r="EYD35"/>
      <c r="EYE35"/>
      <c r="EYF35"/>
      <c r="EYG35"/>
      <c r="EYH35"/>
      <c r="EYI35"/>
      <c r="EYJ35"/>
      <c r="EYK35"/>
      <c r="EYL35"/>
      <c r="EYM35"/>
      <c r="EYN35"/>
      <c r="EYO35"/>
      <c r="EYP35"/>
      <c r="EYQ35"/>
      <c r="EYR35"/>
      <c r="EYS35"/>
      <c r="EYT35"/>
      <c r="EYU35"/>
      <c r="EYV35"/>
      <c r="EYW35"/>
      <c r="EYX35"/>
      <c r="EYY35"/>
      <c r="EYZ35"/>
      <c r="EZA35"/>
      <c r="EZB35"/>
      <c r="EZC35"/>
      <c r="EZD35"/>
      <c r="EZE35"/>
      <c r="EZF35"/>
      <c r="EZG35"/>
      <c r="EZH35"/>
      <c r="EZI35"/>
      <c r="EZJ35"/>
      <c r="EZK35"/>
      <c r="EZL35"/>
      <c r="EZM35"/>
      <c r="EZN35"/>
      <c r="EZO35"/>
      <c r="EZP35"/>
      <c r="EZQ35"/>
      <c r="EZR35"/>
      <c r="EZS35"/>
      <c r="EZT35"/>
      <c r="EZU35"/>
      <c r="EZV35"/>
      <c r="EZW35"/>
      <c r="EZX35"/>
      <c r="EZY35"/>
      <c r="EZZ35"/>
      <c r="FAA35"/>
      <c r="FAB35"/>
      <c r="FAC35"/>
      <c r="FAD35"/>
      <c r="FAE35"/>
      <c r="FAF35"/>
      <c r="FAG35"/>
      <c r="FAH35"/>
      <c r="FAI35"/>
      <c r="FAJ35"/>
      <c r="FAK35"/>
      <c r="FAL35"/>
      <c r="FAM35"/>
      <c r="FAN35"/>
      <c r="FAO35"/>
      <c r="FAP35"/>
      <c r="FAQ35"/>
      <c r="FAR35"/>
      <c r="FAS35"/>
      <c r="FAT35"/>
      <c r="FAU35"/>
      <c r="FAV35"/>
      <c r="FAW35"/>
      <c r="FAX35"/>
      <c r="FAY35"/>
      <c r="FAZ35"/>
      <c r="FBA35"/>
      <c r="FBB35"/>
      <c r="FBC35"/>
      <c r="FBD35"/>
      <c r="FBE35"/>
      <c r="FBF35"/>
      <c r="FBG35"/>
      <c r="FBH35"/>
      <c r="FBI35"/>
      <c r="FBJ35"/>
      <c r="FBK35"/>
      <c r="FBL35"/>
      <c r="FBM35"/>
      <c r="FBN35"/>
      <c r="FBO35"/>
      <c r="FBP35"/>
      <c r="FBQ35"/>
      <c r="FBR35"/>
      <c r="FBS35"/>
      <c r="FBT35"/>
      <c r="FBU35"/>
      <c r="FBV35"/>
      <c r="FBW35"/>
      <c r="FBX35"/>
      <c r="FBY35"/>
      <c r="FBZ35"/>
      <c r="FCA35"/>
      <c r="FCB35"/>
      <c r="FCC35"/>
      <c r="FCD35"/>
      <c r="FCE35"/>
      <c r="FCF35"/>
      <c r="FCG35"/>
      <c r="FCH35"/>
      <c r="FCI35"/>
      <c r="FCJ35"/>
      <c r="FCK35"/>
      <c r="FCL35"/>
      <c r="FCM35"/>
      <c r="FCN35"/>
      <c r="FCO35"/>
      <c r="FCP35"/>
      <c r="FCQ35"/>
      <c r="FCR35"/>
      <c r="FCS35"/>
      <c r="FCT35"/>
      <c r="FCU35"/>
      <c r="FCV35"/>
      <c r="FCW35"/>
      <c r="FCX35"/>
      <c r="FCY35"/>
      <c r="FCZ35"/>
      <c r="FDA35"/>
      <c r="FDB35"/>
      <c r="FDC35"/>
      <c r="FDD35"/>
      <c r="FDE35"/>
      <c r="FDF35"/>
      <c r="FDG35"/>
      <c r="FDH35"/>
      <c r="FDI35"/>
      <c r="FDJ35"/>
      <c r="FDK35"/>
      <c r="FDL35"/>
      <c r="FDM35"/>
      <c r="FDN35"/>
      <c r="FDO35"/>
      <c r="FDP35"/>
      <c r="FDQ35"/>
      <c r="FDR35"/>
      <c r="FDS35"/>
      <c r="FDT35"/>
      <c r="FDU35"/>
      <c r="FDV35"/>
      <c r="FDW35"/>
      <c r="FDX35"/>
      <c r="FDY35"/>
      <c r="FDZ35"/>
      <c r="FEA35"/>
      <c r="FEB35"/>
      <c r="FEC35"/>
      <c r="FED35"/>
      <c r="FEE35"/>
      <c r="FEF35"/>
      <c r="FEG35"/>
      <c r="FEH35"/>
      <c r="FEI35"/>
      <c r="FEJ35"/>
      <c r="FEK35"/>
      <c r="FEL35"/>
      <c r="FEM35"/>
      <c r="FEN35"/>
      <c r="FEO35"/>
      <c r="FEP35"/>
      <c r="FEQ35"/>
      <c r="FER35"/>
      <c r="FES35"/>
      <c r="FET35"/>
      <c r="FEU35"/>
      <c r="FEV35"/>
      <c r="FEW35"/>
      <c r="FEX35"/>
      <c r="FEY35"/>
      <c r="FEZ35"/>
      <c r="FFA35"/>
      <c r="FFB35"/>
      <c r="FFC35"/>
      <c r="FFD35"/>
      <c r="FFE35"/>
      <c r="FFF35"/>
      <c r="FFG35"/>
      <c r="FFH35"/>
      <c r="FFI35"/>
      <c r="FFJ35"/>
      <c r="FFK35"/>
      <c r="FFL35"/>
      <c r="FFM35"/>
      <c r="FFN35"/>
      <c r="FFO35"/>
      <c r="FFP35"/>
      <c r="FFQ35"/>
      <c r="FFR35"/>
      <c r="FFS35"/>
      <c r="FFT35"/>
      <c r="FFU35"/>
      <c r="FFV35"/>
      <c r="FFW35"/>
      <c r="FFX35"/>
      <c r="FFY35"/>
      <c r="FFZ35"/>
      <c r="FGA35"/>
      <c r="FGB35"/>
      <c r="FGC35"/>
      <c r="FGD35"/>
      <c r="FGE35"/>
      <c r="FGF35"/>
      <c r="FGG35"/>
      <c r="FGH35"/>
      <c r="FGI35"/>
      <c r="FGJ35"/>
      <c r="FGK35"/>
      <c r="FGL35"/>
      <c r="FGM35"/>
      <c r="FGN35"/>
      <c r="FGO35"/>
      <c r="FGP35"/>
      <c r="FGQ35"/>
      <c r="FGR35"/>
      <c r="FGS35"/>
      <c r="FGT35"/>
      <c r="FGU35"/>
      <c r="FGV35"/>
      <c r="FGW35"/>
      <c r="FGX35"/>
      <c r="FGY35"/>
      <c r="FGZ35"/>
      <c r="FHA35"/>
      <c r="FHB35"/>
      <c r="FHC35"/>
      <c r="FHD35"/>
      <c r="FHE35"/>
      <c r="FHF35"/>
      <c r="FHG35"/>
      <c r="FHH35"/>
      <c r="FHI35"/>
      <c r="FHJ35"/>
      <c r="FHK35"/>
      <c r="FHL35"/>
      <c r="FHM35"/>
      <c r="FHN35"/>
      <c r="FHO35"/>
      <c r="FHP35"/>
      <c r="FHQ35"/>
      <c r="FHR35"/>
      <c r="FHS35"/>
      <c r="FHT35"/>
      <c r="FHU35"/>
      <c r="FHV35"/>
      <c r="FHW35"/>
      <c r="FHX35"/>
      <c r="FHY35"/>
      <c r="FHZ35"/>
      <c r="FIA35"/>
      <c r="FIB35"/>
      <c r="FIC35"/>
      <c r="FID35"/>
      <c r="FIE35"/>
      <c r="FIF35"/>
      <c r="FIG35"/>
      <c r="FIH35"/>
      <c r="FII35"/>
      <c r="FIJ35"/>
      <c r="FIK35"/>
      <c r="FIL35"/>
      <c r="FIM35"/>
      <c r="FIN35"/>
      <c r="FIO35"/>
      <c r="FIP35"/>
      <c r="FIQ35"/>
      <c r="FIR35"/>
      <c r="FIS35"/>
      <c r="FIT35"/>
      <c r="FIU35"/>
      <c r="FIV35"/>
      <c r="FIW35"/>
      <c r="FIX35"/>
      <c r="FIY35"/>
      <c r="FIZ35"/>
      <c r="FJA35"/>
      <c r="FJB35"/>
      <c r="FJC35"/>
      <c r="FJD35"/>
      <c r="FJE35"/>
      <c r="FJF35"/>
      <c r="FJG35"/>
      <c r="FJH35"/>
      <c r="FJI35"/>
      <c r="FJJ35"/>
      <c r="FJK35"/>
      <c r="FJL35"/>
      <c r="FJM35"/>
      <c r="FJN35"/>
      <c r="FJO35"/>
      <c r="FJP35"/>
      <c r="FJQ35"/>
      <c r="FJR35"/>
      <c r="FJS35"/>
      <c r="FJT35"/>
      <c r="FJU35"/>
      <c r="FJV35"/>
      <c r="FJW35"/>
      <c r="FJX35"/>
      <c r="FJY35"/>
      <c r="FJZ35"/>
      <c r="FKA35"/>
      <c r="FKB35"/>
      <c r="FKC35"/>
      <c r="FKD35"/>
      <c r="FKE35"/>
      <c r="FKF35"/>
      <c r="FKG35"/>
      <c r="FKH35"/>
      <c r="FKI35"/>
      <c r="FKJ35"/>
      <c r="FKK35"/>
      <c r="FKL35"/>
      <c r="FKM35"/>
      <c r="FKN35"/>
      <c r="FKO35"/>
      <c r="FKP35"/>
      <c r="FKQ35"/>
      <c r="FKR35"/>
      <c r="FKS35"/>
      <c r="FKT35"/>
      <c r="FKU35"/>
      <c r="FKV35"/>
      <c r="FKW35"/>
      <c r="FKX35"/>
      <c r="FKY35"/>
      <c r="FKZ35"/>
      <c r="FLA35"/>
      <c r="FLB35"/>
      <c r="FLC35"/>
      <c r="FLD35"/>
      <c r="FLE35"/>
      <c r="FLF35"/>
      <c r="FLG35"/>
      <c r="FLH35"/>
      <c r="FLI35"/>
      <c r="FLJ35"/>
      <c r="FLK35"/>
      <c r="FLL35"/>
      <c r="FLM35"/>
      <c r="FLN35"/>
      <c r="FLO35"/>
      <c r="FLP35"/>
      <c r="FLQ35"/>
      <c r="FLR35"/>
      <c r="FLS35"/>
      <c r="FLT35"/>
      <c r="FLU35"/>
      <c r="FLV35"/>
      <c r="FLW35"/>
      <c r="FLX35"/>
      <c r="FLY35"/>
      <c r="FLZ35"/>
      <c r="FMA35"/>
      <c r="FMB35"/>
      <c r="FMC35"/>
      <c r="FMD35"/>
      <c r="FME35"/>
      <c r="FMF35"/>
      <c r="FMG35"/>
      <c r="FMH35"/>
      <c r="FMI35"/>
      <c r="FMJ35"/>
      <c r="FMK35"/>
      <c r="FML35"/>
      <c r="FMM35"/>
      <c r="FMN35"/>
      <c r="FMO35"/>
      <c r="FMP35"/>
      <c r="FMQ35"/>
      <c r="FMR35"/>
      <c r="FMS35"/>
      <c r="FMT35"/>
      <c r="FMU35"/>
      <c r="FMV35"/>
      <c r="FMW35"/>
      <c r="FMX35"/>
      <c r="FMY35"/>
      <c r="FMZ35"/>
      <c r="FNA35"/>
      <c r="FNB35"/>
      <c r="FNC35"/>
      <c r="FND35"/>
      <c r="FNE35"/>
      <c r="FNF35"/>
      <c r="FNG35"/>
      <c r="FNH35"/>
      <c r="FNI35"/>
      <c r="FNJ35"/>
      <c r="FNK35"/>
      <c r="FNL35"/>
      <c r="FNM35"/>
      <c r="FNN35"/>
      <c r="FNO35"/>
      <c r="FNP35"/>
      <c r="FNQ35"/>
      <c r="FNR35"/>
      <c r="FNS35"/>
      <c r="FNT35"/>
      <c r="FNU35"/>
      <c r="FNV35"/>
      <c r="FNW35"/>
      <c r="FNX35"/>
      <c r="FNY35"/>
      <c r="FNZ35"/>
      <c r="FOA35"/>
      <c r="FOB35"/>
      <c r="FOC35"/>
      <c r="FOD35"/>
      <c r="FOE35"/>
      <c r="FOF35"/>
      <c r="FOG35"/>
      <c r="FOH35"/>
      <c r="FOI35"/>
      <c r="FOJ35"/>
      <c r="FOK35"/>
      <c r="FOL35"/>
      <c r="FOM35"/>
      <c r="FON35"/>
      <c r="FOO35"/>
      <c r="FOP35"/>
      <c r="FOQ35"/>
      <c r="FOR35"/>
      <c r="FOS35"/>
      <c r="FOT35"/>
      <c r="FOU35"/>
      <c r="FOV35"/>
      <c r="FOW35"/>
      <c r="FOX35"/>
      <c r="FOY35"/>
      <c r="FOZ35"/>
      <c r="FPA35"/>
      <c r="FPB35"/>
      <c r="FPC35"/>
      <c r="FPD35"/>
      <c r="FPE35"/>
      <c r="FPF35"/>
      <c r="FPG35"/>
      <c r="FPH35"/>
      <c r="FPI35"/>
      <c r="FPJ35"/>
      <c r="FPK35"/>
      <c r="FPL35"/>
      <c r="FPM35"/>
      <c r="FPN35"/>
      <c r="FPO35"/>
      <c r="FPP35"/>
      <c r="FPQ35"/>
      <c r="FPR35"/>
      <c r="FPS35"/>
      <c r="FPT35"/>
      <c r="FPU35"/>
      <c r="FPV35"/>
      <c r="FPW35"/>
      <c r="FPX35"/>
      <c r="FPY35"/>
      <c r="FPZ35"/>
      <c r="FQA35"/>
      <c r="FQB35"/>
      <c r="FQC35"/>
      <c r="FQD35"/>
      <c r="FQE35"/>
      <c r="FQF35"/>
      <c r="FQG35"/>
      <c r="FQH35"/>
      <c r="FQI35"/>
      <c r="FQJ35"/>
      <c r="FQK35"/>
      <c r="FQL35"/>
      <c r="FQM35"/>
      <c r="FQN35"/>
      <c r="FQO35"/>
      <c r="FQP35"/>
      <c r="FQQ35"/>
      <c r="FQR35"/>
      <c r="FQS35"/>
      <c r="FQT35"/>
      <c r="FQU35"/>
      <c r="FQV35"/>
      <c r="FQW35"/>
      <c r="FQX35"/>
      <c r="FQY35"/>
      <c r="FQZ35"/>
      <c r="FRA35"/>
      <c r="FRB35"/>
      <c r="FRC35"/>
      <c r="FRD35"/>
      <c r="FRE35"/>
      <c r="FRF35"/>
      <c r="FRG35"/>
      <c r="FRH35"/>
      <c r="FRI35"/>
      <c r="FRJ35"/>
      <c r="FRK35"/>
      <c r="FRL35"/>
      <c r="FRM35"/>
      <c r="FRN35"/>
      <c r="FRO35"/>
      <c r="FRP35"/>
      <c r="FRQ35"/>
      <c r="FRR35"/>
      <c r="FRS35"/>
      <c r="FRT35"/>
      <c r="FRU35"/>
      <c r="FRV35"/>
      <c r="FRW35"/>
      <c r="FRX35"/>
      <c r="FRY35"/>
      <c r="FRZ35"/>
      <c r="FSA35"/>
      <c r="FSB35"/>
      <c r="FSC35"/>
      <c r="FSD35"/>
      <c r="FSE35"/>
      <c r="FSF35"/>
      <c r="FSG35"/>
      <c r="FSH35"/>
      <c r="FSI35"/>
      <c r="FSJ35"/>
      <c r="FSK35"/>
      <c r="FSL35"/>
      <c r="FSM35"/>
      <c r="FSN35"/>
      <c r="FSO35"/>
      <c r="FSP35"/>
      <c r="FSQ35"/>
      <c r="FSR35"/>
      <c r="FSS35"/>
      <c r="FST35"/>
      <c r="FSU35"/>
      <c r="FSV35"/>
      <c r="FSW35"/>
      <c r="FSX35"/>
      <c r="FSY35"/>
      <c r="FSZ35"/>
      <c r="FTA35"/>
      <c r="FTB35"/>
      <c r="FTC35"/>
      <c r="FTD35"/>
      <c r="FTE35"/>
      <c r="FTF35"/>
      <c r="FTG35"/>
      <c r="FTH35"/>
      <c r="FTI35"/>
      <c r="FTJ35"/>
      <c r="FTK35"/>
      <c r="FTL35"/>
      <c r="FTM35"/>
      <c r="FTN35"/>
      <c r="FTO35"/>
      <c r="FTP35"/>
      <c r="FTQ35"/>
      <c r="FTR35"/>
      <c r="FTS35"/>
      <c r="FTT35"/>
      <c r="FTU35"/>
      <c r="FTV35"/>
      <c r="FTW35"/>
      <c r="FTX35"/>
      <c r="FTY35"/>
      <c r="FTZ35"/>
      <c r="FUA35"/>
      <c r="FUB35"/>
      <c r="FUC35"/>
      <c r="FUD35"/>
      <c r="FUE35"/>
      <c r="FUF35"/>
      <c r="FUG35"/>
      <c r="FUH35"/>
      <c r="FUI35"/>
      <c r="FUJ35"/>
      <c r="FUK35"/>
      <c r="FUL35"/>
      <c r="FUM35"/>
      <c r="FUN35"/>
      <c r="FUO35"/>
      <c r="FUP35"/>
      <c r="FUQ35"/>
      <c r="FUR35"/>
      <c r="FUS35"/>
      <c r="FUT35"/>
      <c r="FUU35"/>
      <c r="FUV35"/>
      <c r="FUW35"/>
      <c r="FUX35"/>
      <c r="FUY35"/>
      <c r="FUZ35"/>
      <c r="FVA35"/>
      <c r="FVB35"/>
      <c r="FVC35"/>
      <c r="FVD35"/>
      <c r="FVE35"/>
      <c r="FVF35"/>
      <c r="FVG35"/>
      <c r="FVH35"/>
      <c r="FVI35"/>
      <c r="FVJ35"/>
      <c r="FVK35"/>
      <c r="FVL35"/>
      <c r="FVM35"/>
      <c r="FVN35"/>
      <c r="FVO35"/>
      <c r="FVP35"/>
      <c r="FVQ35"/>
      <c r="FVR35"/>
      <c r="FVS35"/>
      <c r="FVT35"/>
      <c r="FVU35"/>
      <c r="FVV35"/>
      <c r="FVW35"/>
      <c r="FVX35"/>
      <c r="FVY35"/>
      <c r="FVZ35"/>
      <c r="FWA35"/>
      <c r="FWB35"/>
      <c r="FWC35"/>
      <c r="FWD35"/>
      <c r="FWE35"/>
      <c r="FWF35"/>
      <c r="FWG35"/>
      <c r="FWH35"/>
      <c r="FWI35"/>
      <c r="FWJ35"/>
      <c r="FWK35"/>
      <c r="FWL35"/>
      <c r="FWM35"/>
      <c r="FWN35"/>
      <c r="FWO35"/>
      <c r="FWP35"/>
      <c r="FWQ35"/>
      <c r="FWR35"/>
      <c r="FWS35"/>
      <c r="FWT35"/>
      <c r="FWU35"/>
      <c r="FWV35"/>
      <c r="FWW35"/>
      <c r="FWX35"/>
      <c r="FWY35"/>
      <c r="FWZ35"/>
      <c r="FXA35"/>
      <c r="FXB35"/>
      <c r="FXC35"/>
      <c r="FXD35"/>
      <c r="FXE35"/>
      <c r="FXF35"/>
      <c r="FXG35"/>
      <c r="FXH35"/>
      <c r="FXI35"/>
      <c r="FXJ35"/>
      <c r="FXK35"/>
      <c r="FXL35"/>
      <c r="FXM35"/>
      <c r="FXN35"/>
      <c r="FXO35"/>
      <c r="FXP35"/>
      <c r="FXQ35"/>
      <c r="FXR35"/>
      <c r="FXS35"/>
      <c r="FXT35"/>
      <c r="FXU35"/>
      <c r="FXV35"/>
      <c r="FXW35"/>
      <c r="FXX35"/>
      <c r="FXY35"/>
      <c r="FXZ35"/>
      <c r="FYA35"/>
      <c r="FYB35"/>
      <c r="FYC35"/>
      <c r="FYD35"/>
      <c r="FYE35"/>
      <c r="FYF35"/>
      <c r="FYG35"/>
      <c r="FYH35"/>
      <c r="FYI35"/>
      <c r="FYJ35"/>
      <c r="FYK35"/>
      <c r="FYL35"/>
      <c r="FYM35"/>
      <c r="FYN35"/>
      <c r="FYO35"/>
      <c r="FYP35"/>
      <c r="FYQ35"/>
      <c r="FYR35"/>
      <c r="FYS35"/>
      <c r="FYT35"/>
      <c r="FYU35"/>
      <c r="FYV35"/>
      <c r="FYW35"/>
      <c r="FYX35"/>
      <c r="FYY35"/>
      <c r="FYZ35"/>
      <c r="FZA35"/>
      <c r="FZB35"/>
      <c r="FZC35"/>
      <c r="FZD35"/>
      <c r="FZE35"/>
      <c r="FZF35"/>
      <c r="FZG35"/>
      <c r="FZH35"/>
      <c r="FZI35"/>
      <c r="FZJ35"/>
      <c r="FZK35"/>
      <c r="FZL35"/>
      <c r="FZM35"/>
      <c r="FZN35"/>
      <c r="FZO35"/>
      <c r="FZP35"/>
      <c r="FZQ35"/>
      <c r="FZR35"/>
      <c r="FZS35"/>
      <c r="FZT35"/>
      <c r="FZU35"/>
      <c r="FZV35"/>
      <c r="FZW35"/>
      <c r="FZX35"/>
      <c r="FZY35"/>
      <c r="FZZ35"/>
      <c r="GAA35"/>
      <c r="GAB35"/>
      <c r="GAC35"/>
      <c r="GAD35"/>
      <c r="GAE35"/>
      <c r="GAF35"/>
      <c r="GAG35"/>
      <c r="GAH35"/>
      <c r="GAI35"/>
      <c r="GAJ35"/>
      <c r="GAK35"/>
      <c r="GAL35"/>
      <c r="GAM35"/>
      <c r="GAN35"/>
      <c r="GAO35"/>
      <c r="GAP35"/>
      <c r="GAQ35"/>
      <c r="GAR35"/>
      <c r="GAS35"/>
      <c r="GAT35"/>
      <c r="GAU35"/>
      <c r="GAV35"/>
      <c r="GAW35"/>
      <c r="GAX35"/>
      <c r="GAY35"/>
      <c r="GAZ35"/>
      <c r="GBA35"/>
      <c r="GBB35"/>
      <c r="GBC35"/>
      <c r="GBD35"/>
      <c r="GBE35"/>
      <c r="GBF35"/>
      <c r="GBG35"/>
    </row>
    <row r="36" spans="1:4791" x14ac:dyDescent="0.25">
      <c r="A36" s="1" t="s">
        <v>2407</v>
      </c>
      <c r="B36" s="1">
        <v>195612.60999999996</v>
      </c>
      <c r="E36"/>
      <c r="F36"/>
      <c r="G36" s="1" t="s">
        <v>4284</v>
      </c>
      <c r="H36" s="1">
        <v>1200</v>
      </c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/>
      <c r="ARL36"/>
      <c r="ARM36"/>
      <c r="ARN36"/>
      <c r="ARO36"/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/>
      <c r="ASD36"/>
      <c r="ASE36"/>
      <c r="ASF36"/>
      <c r="ASG36"/>
      <c r="ASH36"/>
      <c r="ASI36"/>
      <c r="ASJ36"/>
      <c r="ASK36"/>
      <c r="ASL36"/>
      <c r="ASM36"/>
      <c r="ASN36"/>
      <c r="ASO36"/>
      <c r="ASP36"/>
      <c r="ASQ36"/>
      <c r="ASR36"/>
      <c r="ASS36"/>
      <c r="AST36"/>
      <c r="ASU36"/>
      <c r="ASV36"/>
      <c r="ASW36"/>
      <c r="ASX36"/>
      <c r="ASY36"/>
      <c r="ASZ36"/>
      <c r="ATA36"/>
      <c r="ATB36"/>
      <c r="ATC36"/>
      <c r="ATD36"/>
      <c r="ATE36"/>
      <c r="ATF36"/>
      <c r="ATG36"/>
      <c r="ATH36"/>
      <c r="ATI36"/>
      <c r="ATJ36"/>
      <c r="ATK36"/>
      <c r="ATL36"/>
      <c r="ATM36"/>
      <c r="ATN36"/>
      <c r="ATO36"/>
      <c r="ATP36"/>
      <c r="ATQ36"/>
      <c r="ATR36"/>
      <c r="ATS36"/>
      <c r="ATT36"/>
      <c r="ATU36"/>
      <c r="ATV36"/>
      <c r="ATW36"/>
      <c r="ATX36"/>
      <c r="ATY36"/>
      <c r="ATZ36"/>
      <c r="AUA36"/>
      <c r="AUB36"/>
      <c r="AUC36"/>
      <c r="AUD36"/>
      <c r="AUE36"/>
      <c r="AUF36"/>
      <c r="AUG36"/>
      <c r="AUH36"/>
      <c r="AUI36"/>
      <c r="AUJ36"/>
      <c r="AUK36"/>
      <c r="AUL36"/>
      <c r="AUM36"/>
      <c r="AUN36"/>
      <c r="AUO36"/>
      <c r="AUP36"/>
      <c r="AUQ36"/>
      <c r="AUR36"/>
      <c r="AUS36"/>
      <c r="AUT36"/>
      <c r="AUU36"/>
      <c r="AUV36"/>
      <c r="AUW36"/>
      <c r="AUX36"/>
      <c r="AUY36"/>
      <c r="AUZ36"/>
      <c r="AVA36"/>
      <c r="AVB36"/>
      <c r="AVC36"/>
      <c r="AVD36"/>
      <c r="AVE36"/>
      <c r="AVF36"/>
      <c r="AVG36"/>
      <c r="AVH36"/>
      <c r="AVI36"/>
      <c r="AVJ36"/>
      <c r="AVK36"/>
      <c r="AVL36"/>
      <c r="AVM36"/>
      <c r="AVN36"/>
      <c r="AVO36"/>
      <c r="AVP36"/>
      <c r="AVQ36"/>
      <c r="AVR36"/>
      <c r="AVS36"/>
      <c r="AVT36"/>
      <c r="AVU36"/>
      <c r="AVV36"/>
      <c r="AVW36"/>
      <c r="AVX36"/>
      <c r="AVY36"/>
      <c r="AVZ36"/>
      <c r="AWA36"/>
      <c r="AWB36"/>
      <c r="AWC36"/>
      <c r="AWD36"/>
      <c r="AWE36"/>
      <c r="AWF36"/>
      <c r="AWG36"/>
      <c r="AWH36"/>
      <c r="AWI36"/>
      <c r="AWJ36"/>
      <c r="AWK36"/>
      <c r="AWL36"/>
      <c r="AWM36"/>
      <c r="AWN36"/>
      <c r="AWO36"/>
      <c r="AWP36"/>
      <c r="AWQ36"/>
      <c r="AWR36"/>
      <c r="AWS36"/>
      <c r="AWT36"/>
      <c r="AWU36"/>
      <c r="AWV36"/>
      <c r="AWW36"/>
      <c r="AWX36"/>
      <c r="AWY36"/>
      <c r="AWZ36"/>
      <c r="AXA36"/>
      <c r="AXB36"/>
      <c r="AXC36"/>
      <c r="AXD36"/>
      <c r="AXE36"/>
      <c r="AXF36"/>
      <c r="AXG36"/>
      <c r="AXH36"/>
      <c r="AXI36"/>
      <c r="AXJ36"/>
      <c r="AXK36"/>
      <c r="AXL36"/>
      <c r="AXM36"/>
      <c r="AXN36"/>
      <c r="AXO36"/>
      <c r="AXP36"/>
      <c r="AXQ36"/>
      <c r="AXR36"/>
      <c r="AXS36"/>
      <c r="AXT36"/>
      <c r="AXU36"/>
      <c r="AXV36"/>
      <c r="AXW36"/>
      <c r="AXX36"/>
      <c r="AXY36"/>
      <c r="AXZ36"/>
      <c r="AYA36"/>
      <c r="AYB36"/>
      <c r="AYC36"/>
      <c r="AYD36"/>
      <c r="AYE36"/>
      <c r="AYF36"/>
      <c r="AYG36"/>
      <c r="AYH36"/>
      <c r="AYI36"/>
      <c r="AYJ36"/>
      <c r="AYK36"/>
      <c r="AYL36"/>
      <c r="AYM36"/>
      <c r="AYN36"/>
      <c r="AYO36"/>
      <c r="AYP36"/>
      <c r="AYQ36"/>
      <c r="AYR36"/>
      <c r="AYS36"/>
      <c r="AYT36"/>
      <c r="AYU36"/>
      <c r="AYV36"/>
      <c r="AYW36"/>
      <c r="AYX36"/>
      <c r="AYY36"/>
      <c r="AYZ36"/>
      <c r="AZA36"/>
      <c r="AZB36"/>
      <c r="AZC36"/>
      <c r="AZD36"/>
      <c r="AZE36"/>
      <c r="AZF36"/>
      <c r="AZG36"/>
      <c r="AZH36"/>
      <c r="AZI36"/>
      <c r="AZJ36"/>
      <c r="AZK36"/>
      <c r="AZL36"/>
      <c r="AZM36"/>
      <c r="AZN36"/>
      <c r="AZO36"/>
      <c r="AZP36"/>
      <c r="AZQ36"/>
      <c r="AZR36"/>
      <c r="AZS36"/>
      <c r="AZT36"/>
      <c r="AZU36"/>
      <c r="AZV36"/>
      <c r="AZW36"/>
      <c r="AZX36"/>
      <c r="AZY36"/>
      <c r="AZZ36"/>
      <c r="BAA36"/>
      <c r="BAB36"/>
      <c r="BAC36"/>
      <c r="BAD36"/>
      <c r="BAE36"/>
      <c r="BAF36"/>
      <c r="BAG36"/>
      <c r="BAH36"/>
      <c r="BAI36"/>
      <c r="BAJ36"/>
      <c r="BAK36"/>
      <c r="BAL36"/>
      <c r="BAM36"/>
      <c r="BAN36"/>
      <c r="BAO36"/>
      <c r="BAP36"/>
      <c r="BAQ36"/>
      <c r="BAR36"/>
      <c r="BAS36"/>
      <c r="BAT36"/>
      <c r="BAU36"/>
      <c r="BAV36"/>
      <c r="BAW36"/>
      <c r="BAX36"/>
      <c r="BAY36"/>
      <c r="BAZ36"/>
      <c r="BBA36"/>
      <c r="BBB36"/>
      <c r="BBC36"/>
      <c r="BBD36"/>
      <c r="BBE36"/>
      <c r="BBF36"/>
      <c r="BBG36"/>
      <c r="BBH36"/>
      <c r="BBI36"/>
      <c r="BBJ36"/>
      <c r="BBK36"/>
      <c r="BBL36"/>
      <c r="BBM36"/>
      <c r="BBN36"/>
      <c r="BBO36"/>
      <c r="BBP36"/>
      <c r="BBQ36"/>
      <c r="BBR36"/>
      <c r="BBS36"/>
      <c r="BBT36"/>
      <c r="BBU36"/>
      <c r="BBV36"/>
      <c r="BBW36"/>
      <c r="BBX36"/>
      <c r="BBY36"/>
      <c r="BBZ36"/>
      <c r="BCA36"/>
      <c r="BCB36"/>
      <c r="BCC36"/>
      <c r="BCD36"/>
      <c r="BCE36"/>
      <c r="BCF36"/>
      <c r="BCG36"/>
      <c r="BCH36"/>
      <c r="BCI36"/>
      <c r="BCJ36"/>
      <c r="BCK36"/>
      <c r="BCL36"/>
      <c r="BCM36"/>
      <c r="BCN36"/>
      <c r="BCO36"/>
      <c r="BCP36"/>
      <c r="BCQ36"/>
      <c r="BCR36"/>
      <c r="BCS36"/>
      <c r="BCT36"/>
      <c r="BCU36"/>
      <c r="BCV36"/>
      <c r="BCW36"/>
      <c r="BCX36"/>
      <c r="BCY36"/>
      <c r="BCZ36"/>
      <c r="BDA36"/>
      <c r="BDB36"/>
      <c r="BDC36"/>
      <c r="BDD36"/>
      <c r="BDE36"/>
      <c r="BDF36"/>
      <c r="BDG36"/>
      <c r="BDH36"/>
      <c r="BDI36"/>
      <c r="BDJ36"/>
      <c r="BDK36"/>
      <c r="BDL36"/>
      <c r="BDM36"/>
      <c r="BDN36"/>
      <c r="BDO36"/>
      <c r="BDP36"/>
      <c r="BDQ36"/>
      <c r="BDR36"/>
      <c r="BDS36"/>
      <c r="BDT36"/>
      <c r="BDU36"/>
      <c r="BDV36"/>
      <c r="BDW36"/>
      <c r="BDX36"/>
      <c r="BDY36"/>
      <c r="BDZ36"/>
      <c r="BEA36"/>
      <c r="BEB36"/>
      <c r="BEC36"/>
      <c r="BED36"/>
      <c r="BEE36"/>
      <c r="BEF36"/>
      <c r="BEG36"/>
      <c r="BEH36"/>
      <c r="BEI36"/>
      <c r="BEJ36"/>
      <c r="BEK36"/>
      <c r="BEL36"/>
      <c r="BEM36"/>
      <c r="BEN36"/>
      <c r="BEO36"/>
      <c r="BEP36"/>
      <c r="BEQ36"/>
      <c r="BER36"/>
      <c r="BES36"/>
      <c r="BET36"/>
      <c r="BEU36"/>
      <c r="BEV36"/>
      <c r="BEW36"/>
      <c r="BEX36"/>
      <c r="BEY36"/>
      <c r="BEZ36"/>
      <c r="BFA36"/>
      <c r="BFB36"/>
      <c r="BFC36"/>
      <c r="BFD36"/>
      <c r="BFE36"/>
      <c r="BFF36"/>
      <c r="BFG36"/>
      <c r="BFH36"/>
      <c r="BFI36"/>
      <c r="BFJ36"/>
      <c r="BFK36"/>
      <c r="BFL36"/>
      <c r="BFM36"/>
      <c r="BFN36"/>
      <c r="BFO36"/>
      <c r="BFP36"/>
      <c r="BFQ36"/>
      <c r="BFR36"/>
      <c r="BFS36"/>
      <c r="BFT36"/>
      <c r="BFU36"/>
      <c r="BFV36"/>
      <c r="BFW36"/>
      <c r="BFX36"/>
      <c r="BFY36"/>
      <c r="BFZ36"/>
      <c r="BGA36"/>
      <c r="BGB36"/>
      <c r="BGC36"/>
      <c r="BGD36"/>
      <c r="BGE36"/>
      <c r="BGF36"/>
      <c r="BGG36"/>
      <c r="BGH36"/>
      <c r="BGI36"/>
      <c r="BGJ36"/>
      <c r="BGK36"/>
      <c r="BGL36"/>
      <c r="BGM36"/>
      <c r="BGN36"/>
      <c r="BGO36"/>
      <c r="BGP36"/>
      <c r="BGQ36"/>
      <c r="BGR36"/>
      <c r="BGS36"/>
      <c r="BGT36"/>
      <c r="BGU36"/>
      <c r="BGV36"/>
      <c r="BGW36"/>
      <c r="BGX36"/>
      <c r="BGY36"/>
      <c r="BGZ36"/>
      <c r="BHA36"/>
      <c r="BHB36"/>
      <c r="BHC36"/>
      <c r="BHD36"/>
      <c r="BHE36"/>
      <c r="BHF36"/>
      <c r="BHG36"/>
      <c r="BHH36"/>
      <c r="BHI36"/>
      <c r="BHJ36"/>
      <c r="BHK36"/>
      <c r="BHL36"/>
      <c r="BHM36"/>
      <c r="BHN36"/>
      <c r="BHO36"/>
      <c r="BHP36"/>
      <c r="BHQ36"/>
      <c r="BHR36"/>
      <c r="BHS36"/>
      <c r="BHT36"/>
      <c r="BHU36"/>
      <c r="BHV36"/>
      <c r="BHW36"/>
      <c r="BHX36"/>
      <c r="BHY36"/>
      <c r="BHZ36"/>
      <c r="BIA36"/>
      <c r="BIB36"/>
      <c r="BIC36"/>
      <c r="BID36"/>
      <c r="BIE36"/>
      <c r="BIF36"/>
      <c r="BIG36"/>
      <c r="BIH36"/>
      <c r="BII36"/>
      <c r="BIJ36"/>
      <c r="BIK36"/>
      <c r="BIL36"/>
      <c r="BIM36"/>
      <c r="BIN36"/>
      <c r="BIO36"/>
      <c r="BIP36"/>
      <c r="BIQ36"/>
      <c r="BIR36"/>
      <c r="BIS36"/>
      <c r="BIT36"/>
      <c r="BIU36"/>
      <c r="BIV36"/>
      <c r="BIW36"/>
      <c r="BIX36"/>
      <c r="BIY36"/>
      <c r="BIZ36"/>
      <c r="BJA36"/>
      <c r="BJB36"/>
      <c r="BJC36"/>
      <c r="BJD36"/>
      <c r="BJE36"/>
      <c r="BJF36"/>
      <c r="BJG36"/>
      <c r="BJH36"/>
      <c r="BJI36"/>
      <c r="BJJ36"/>
      <c r="BJK36"/>
      <c r="BJL36"/>
      <c r="BJM36"/>
      <c r="BJN36"/>
      <c r="BJO36"/>
      <c r="BJP36"/>
      <c r="BJQ36"/>
      <c r="BJR36"/>
      <c r="BJS36"/>
      <c r="BJT36"/>
      <c r="BJU36"/>
      <c r="BJV36"/>
      <c r="BJW36"/>
      <c r="BJX36"/>
      <c r="BJY36"/>
      <c r="BJZ36"/>
      <c r="BKA36"/>
      <c r="BKB36"/>
      <c r="BKC36"/>
      <c r="BKD36"/>
      <c r="BKE36"/>
      <c r="BKF36"/>
      <c r="BKG36"/>
      <c r="BKH36"/>
      <c r="BKI36"/>
      <c r="BKJ36"/>
      <c r="BKK36"/>
      <c r="BKL36"/>
      <c r="BKM36"/>
      <c r="BKN36"/>
      <c r="BKO36"/>
      <c r="BKP36"/>
      <c r="BKQ36"/>
      <c r="BKR36"/>
      <c r="BKS36"/>
      <c r="BKT36"/>
      <c r="BKU36"/>
      <c r="BKV36"/>
      <c r="BKW36"/>
      <c r="BKX36"/>
      <c r="BKY36"/>
      <c r="BKZ36"/>
      <c r="BLA36"/>
      <c r="BLB36"/>
      <c r="BLC36"/>
      <c r="BLD36"/>
      <c r="BLE36"/>
      <c r="BLF36"/>
      <c r="BLG36"/>
      <c r="BLH36"/>
      <c r="BLI36"/>
      <c r="BLJ36"/>
      <c r="BLK36"/>
      <c r="BLL36"/>
      <c r="BLM36"/>
      <c r="BLN36"/>
      <c r="BLO36"/>
      <c r="BLP36"/>
      <c r="BLQ36"/>
      <c r="BLR36"/>
      <c r="BLS36"/>
      <c r="BLT36"/>
      <c r="BLU36"/>
      <c r="BLV36"/>
      <c r="BLW36"/>
      <c r="BLX36"/>
      <c r="BLY36"/>
      <c r="BLZ36"/>
      <c r="BMA36"/>
      <c r="BMB36"/>
      <c r="BMC36"/>
      <c r="BMD36"/>
      <c r="BME36"/>
      <c r="BMF36"/>
      <c r="BMG36"/>
      <c r="BMH36"/>
      <c r="BMI36"/>
      <c r="BMJ36"/>
      <c r="BMK36"/>
      <c r="BML36"/>
      <c r="BMM36"/>
      <c r="BMN36"/>
      <c r="BMO36"/>
      <c r="BMP36"/>
      <c r="BMQ36"/>
      <c r="BMR36"/>
      <c r="BMS36"/>
      <c r="BMT36"/>
      <c r="BMU36"/>
      <c r="BMV36"/>
      <c r="BMW36"/>
      <c r="BMX36"/>
      <c r="BMY36"/>
      <c r="BMZ36"/>
      <c r="BNA36"/>
      <c r="BNB36"/>
      <c r="BNC36"/>
      <c r="BND36"/>
      <c r="BNE36"/>
      <c r="BNF36"/>
      <c r="BNG36"/>
      <c r="BNH36"/>
      <c r="BNI36"/>
      <c r="BNJ36"/>
      <c r="BNK36"/>
      <c r="BNL36"/>
      <c r="BNM36"/>
      <c r="BNN36"/>
      <c r="BNO36"/>
      <c r="BNP36"/>
      <c r="BNQ36"/>
      <c r="BNR36"/>
      <c r="BNS36"/>
      <c r="BNT36"/>
      <c r="BNU36"/>
      <c r="BNV36"/>
      <c r="BNW36"/>
      <c r="BNX36"/>
      <c r="BNY36"/>
      <c r="BNZ36"/>
      <c r="BOA36"/>
      <c r="BOB36"/>
      <c r="BOC36"/>
      <c r="BOD36"/>
      <c r="BOE36"/>
      <c r="BOF36"/>
      <c r="BOG36"/>
      <c r="BOH36"/>
      <c r="BOI36"/>
      <c r="BOJ36"/>
      <c r="BOK36"/>
      <c r="BOL36"/>
      <c r="BOM36"/>
      <c r="BON36"/>
      <c r="BOO36"/>
      <c r="BOP36"/>
      <c r="BOQ36"/>
      <c r="BOR36"/>
      <c r="BOS36"/>
      <c r="BOT36"/>
      <c r="BOU36"/>
      <c r="BOV36"/>
      <c r="BOW36"/>
      <c r="BOX36"/>
      <c r="BOY36"/>
      <c r="BOZ36"/>
      <c r="BPA36"/>
      <c r="BPB36"/>
      <c r="BPC36"/>
      <c r="BPD36"/>
      <c r="BPE36"/>
      <c r="BPF36"/>
      <c r="BPG36"/>
      <c r="BPH36"/>
      <c r="BPI36"/>
      <c r="BPJ36"/>
      <c r="BPK36"/>
      <c r="BPL36"/>
      <c r="BPM36"/>
      <c r="BPN36"/>
      <c r="BPO36"/>
      <c r="BPP36"/>
      <c r="BPQ36"/>
      <c r="BPR36"/>
      <c r="BPS36"/>
      <c r="BPT36"/>
      <c r="BPU36"/>
      <c r="BPV36"/>
      <c r="BPW36"/>
      <c r="BPX36"/>
      <c r="BPY36"/>
      <c r="BPZ36"/>
      <c r="BQA36"/>
      <c r="BQB36"/>
      <c r="BQC36"/>
      <c r="BQD36"/>
      <c r="BQE36"/>
      <c r="BQF36"/>
      <c r="BQG36"/>
      <c r="BQH36"/>
      <c r="BQI36"/>
      <c r="BQJ36"/>
      <c r="BQK36"/>
      <c r="BQL36"/>
      <c r="BQM36"/>
      <c r="BQN36"/>
      <c r="BQO36"/>
      <c r="BQP36"/>
      <c r="BQQ36"/>
      <c r="BQR36"/>
      <c r="BQS36"/>
      <c r="BQT36"/>
      <c r="BQU36"/>
      <c r="BQV36"/>
      <c r="BQW36"/>
      <c r="BQX36"/>
      <c r="BQY36"/>
      <c r="BQZ36"/>
      <c r="BRA36"/>
      <c r="BRB36"/>
      <c r="BRC36"/>
      <c r="BRD36"/>
      <c r="BRE36"/>
      <c r="BRF36"/>
      <c r="BRG36"/>
      <c r="BRH36"/>
      <c r="BRI36"/>
      <c r="BRJ36"/>
      <c r="BRK36"/>
      <c r="BRL36"/>
      <c r="BRM36"/>
      <c r="BRN36"/>
      <c r="BRO36"/>
      <c r="BRP36"/>
      <c r="BRQ36"/>
      <c r="BRR36"/>
      <c r="BRS36"/>
      <c r="BRT36"/>
      <c r="BRU36"/>
      <c r="BRV36"/>
      <c r="BRW36"/>
      <c r="BRX36"/>
      <c r="BRY36"/>
      <c r="BRZ36"/>
      <c r="BSA36"/>
      <c r="BSB36"/>
      <c r="BSC36"/>
      <c r="BSD36"/>
      <c r="BSE36"/>
      <c r="BSF36"/>
      <c r="BSG36"/>
      <c r="BSH36"/>
      <c r="BSI36"/>
      <c r="BSJ36"/>
      <c r="BSK36"/>
      <c r="BSL36"/>
      <c r="BSM36"/>
      <c r="BSN36"/>
      <c r="BSO36"/>
      <c r="BSP36"/>
      <c r="BSQ36"/>
      <c r="BSR36"/>
      <c r="BSS36"/>
      <c r="BST36"/>
      <c r="BSU36"/>
      <c r="BSV36"/>
      <c r="BSW36"/>
      <c r="BSX36"/>
      <c r="BSY36"/>
      <c r="BSZ36"/>
      <c r="BTA36"/>
      <c r="BTB36"/>
      <c r="BTC36"/>
      <c r="BTD36"/>
      <c r="BTE36"/>
      <c r="BTF36"/>
      <c r="BTG36"/>
      <c r="BTH36"/>
      <c r="BTI36"/>
      <c r="BTJ36"/>
      <c r="BTK36"/>
      <c r="BTL36"/>
      <c r="BTM36"/>
      <c r="BTN36"/>
      <c r="BTO36"/>
      <c r="BTP36"/>
      <c r="BTQ36"/>
      <c r="BTR36"/>
      <c r="BTS36"/>
      <c r="BTT36"/>
      <c r="BTU36"/>
      <c r="BTV36"/>
      <c r="BTW36"/>
      <c r="BTX36"/>
      <c r="BTY36"/>
      <c r="BTZ36"/>
      <c r="BUA36"/>
      <c r="BUB36"/>
      <c r="BUC36"/>
      <c r="BUD36"/>
      <c r="BUE36"/>
      <c r="BUF36"/>
      <c r="BUG36"/>
      <c r="BUH36"/>
      <c r="BUI36"/>
      <c r="BUJ36"/>
      <c r="BUK36"/>
      <c r="BUL36"/>
      <c r="BUM36"/>
      <c r="BUN36"/>
      <c r="BUO36"/>
      <c r="BUP36"/>
      <c r="BUQ36"/>
      <c r="BUR36"/>
      <c r="BUS36"/>
      <c r="BUT36"/>
      <c r="BUU36"/>
      <c r="BUV36"/>
      <c r="BUW36"/>
      <c r="BUX36"/>
      <c r="BUY36"/>
      <c r="BUZ36"/>
      <c r="BVA36"/>
      <c r="BVB36"/>
      <c r="BVC36"/>
      <c r="BVD36"/>
      <c r="BVE36"/>
      <c r="BVF36"/>
      <c r="BVG36"/>
      <c r="BVH36"/>
      <c r="BVI36"/>
      <c r="BVJ36"/>
      <c r="BVK36"/>
      <c r="BVL36"/>
      <c r="BVM36"/>
      <c r="BVN36"/>
      <c r="BVO36"/>
      <c r="BVP36"/>
      <c r="BVQ36"/>
      <c r="BVR36"/>
      <c r="BVS36"/>
      <c r="BVT36"/>
      <c r="BVU36"/>
      <c r="BVV36"/>
      <c r="BVW36"/>
      <c r="BVX36"/>
      <c r="BVY36"/>
      <c r="BVZ36"/>
      <c r="BWA36"/>
      <c r="BWB36"/>
      <c r="BWC36"/>
      <c r="BWD36"/>
      <c r="BWE36"/>
      <c r="BWF36"/>
      <c r="BWG36"/>
      <c r="BWH36"/>
      <c r="BWI36"/>
      <c r="BWJ36"/>
      <c r="BWK36"/>
      <c r="BWL36"/>
      <c r="BWM36"/>
      <c r="BWN36"/>
      <c r="BWO36"/>
      <c r="BWP36"/>
      <c r="BWQ36"/>
      <c r="BWR36"/>
      <c r="BWS36"/>
      <c r="BWT36"/>
      <c r="BWU36"/>
      <c r="BWV36"/>
      <c r="BWW36"/>
      <c r="BWX36"/>
      <c r="BWY36"/>
      <c r="BWZ36"/>
      <c r="BXA36"/>
      <c r="BXB36"/>
      <c r="BXC36"/>
      <c r="BXD36"/>
      <c r="BXE36"/>
      <c r="BXF36"/>
      <c r="BXG36"/>
      <c r="BXH36"/>
      <c r="BXI36"/>
      <c r="BXJ36"/>
      <c r="BXK36"/>
      <c r="BXL36"/>
      <c r="BXM36"/>
      <c r="BXN36"/>
      <c r="BXO36"/>
      <c r="BXP36"/>
      <c r="BXQ36"/>
      <c r="BXR36"/>
      <c r="BXS36"/>
      <c r="BXT36"/>
      <c r="BXU36"/>
      <c r="BXV36"/>
      <c r="BXW36"/>
      <c r="BXX36"/>
      <c r="BXY36"/>
      <c r="BXZ36"/>
      <c r="BYA36"/>
      <c r="BYB36"/>
      <c r="BYC36"/>
      <c r="BYD36"/>
      <c r="BYE36"/>
      <c r="BYF36"/>
      <c r="BYG36"/>
      <c r="BYH36"/>
      <c r="BYI36"/>
      <c r="BYJ36"/>
      <c r="BYK36"/>
      <c r="BYL36"/>
      <c r="BYM36"/>
      <c r="BYN36"/>
      <c r="BYO36"/>
      <c r="BYP36"/>
      <c r="BYQ36"/>
      <c r="BYR36"/>
      <c r="BYS36"/>
      <c r="BYT36"/>
      <c r="BYU36"/>
      <c r="BYV36"/>
      <c r="BYW36"/>
      <c r="BYX36"/>
      <c r="BYY36"/>
      <c r="BYZ36"/>
      <c r="BZA36"/>
      <c r="BZB36"/>
      <c r="BZC36"/>
      <c r="BZD36"/>
      <c r="BZE36"/>
      <c r="BZF36"/>
      <c r="BZG36"/>
      <c r="BZH36"/>
      <c r="BZI36"/>
      <c r="BZJ36"/>
      <c r="BZK36"/>
      <c r="BZL36"/>
      <c r="BZM36"/>
      <c r="BZN36"/>
      <c r="BZO36"/>
      <c r="BZP36"/>
      <c r="BZQ36"/>
      <c r="BZR36"/>
      <c r="BZS36"/>
      <c r="BZT36"/>
      <c r="BZU36"/>
      <c r="BZV36"/>
      <c r="BZW36"/>
      <c r="BZX36"/>
      <c r="BZY36"/>
      <c r="BZZ36"/>
      <c r="CAA36"/>
      <c r="CAB36"/>
      <c r="CAC36"/>
      <c r="CAD36"/>
      <c r="CAE36"/>
      <c r="CAF36"/>
      <c r="CAG36"/>
      <c r="CAH36"/>
      <c r="CAI36"/>
      <c r="CAJ36"/>
      <c r="CAK36"/>
      <c r="CAL36"/>
      <c r="CAM36"/>
      <c r="CAN36"/>
      <c r="CAO36"/>
      <c r="CAP36"/>
      <c r="CAQ36"/>
      <c r="CAR36"/>
      <c r="CAS36"/>
      <c r="CAT36"/>
      <c r="CAU36"/>
      <c r="CAV36"/>
      <c r="CAW36"/>
      <c r="CAX36"/>
      <c r="CAY36"/>
      <c r="CAZ36"/>
      <c r="CBA36"/>
      <c r="CBB36"/>
      <c r="CBC36"/>
      <c r="CBD36"/>
      <c r="CBE36"/>
      <c r="CBF36"/>
      <c r="CBG36"/>
      <c r="CBH36"/>
      <c r="CBI36"/>
      <c r="CBJ36"/>
      <c r="CBK36"/>
      <c r="CBL36"/>
      <c r="CBM36"/>
      <c r="CBN36"/>
      <c r="CBO36"/>
      <c r="CBP36"/>
      <c r="CBQ36"/>
      <c r="CBR36"/>
      <c r="CBS36"/>
      <c r="CBT36"/>
      <c r="CBU36"/>
      <c r="CBV36"/>
      <c r="CBW36"/>
      <c r="CBX36"/>
      <c r="CBY36"/>
      <c r="CBZ36"/>
      <c r="CCA36"/>
      <c r="CCB36"/>
      <c r="CCC36"/>
      <c r="CCD36"/>
      <c r="CCE36"/>
      <c r="CCF36"/>
      <c r="CCG36"/>
      <c r="CCH36"/>
      <c r="CCI36"/>
      <c r="CCJ36"/>
      <c r="CCK36"/>
      <c r="CCL36"/>
      <c r="CCM36"/>
      <c r="CCN36"/>
      <c r="CCO36"/>
      <c r="CCP36"/>
      <c r="CCQ36"/>
      <c r="CCR36"/>
      <c r="CCS36"/>
      <c r="CCT36"/>
      <c r="CCU36"/>
      <c r="CCV36"/>
      <c r="CCW36"/>
      <c r="CCX36"/>
      <c r="CCY36"/>
      <c r="CCZ36"/>
      <c r="CDA36"/>
      <c r="CDB36"/>
      <c r="CDC36"/>
      <c r="CDD36"/>
      <c r="CDE36"/>
      <c r="CDF36"/>
      <c r="CDG36"/>
      <c r="CDH36"/>
      <c r="CDI36"/>
      <c r="CDJ36"/>
      <c r="CDK36"/>
      <c r="CDL36"/>
      <c r="CDM36"/>
      <c r="CDN36"/>
      <c r="CDO36"/>
      <c r="CDP36"/>
      <c r="CDQ36"/>
      <c r="CDR36"/>
      <c r="CDS36"/>
      <c r="CDT36"/>
      <c r="CDU36"/>
      <c r="CDV36"/>
      <c r="CDW36"/>
      <c r="CDX36"/>
      <c r="CDY36"/>
      <c r="CDZ36"/>
      <c r="CEA36"/>
      <c r="CEB36"/>
      <c r="CEC36"/>
      <c r="CED36"/>
      <c r="CEE36"/>
      <c r="CEF36"/>
      <c r="CEG36"/>
      <c r="CEH36"/>
      <c r="CEI36"/>
      <c r="CEJ36"/>
      <c r="CEK36"/>
      <c r="CEL36"/>
      <c r="CEM36"/>
      <c r="CEN36"/>
      <c r="CEO36"/>
      <c r="CEP36"/>
      <c r="CEQ36"/>
      <c r="CER36"/>
      <c r="CES36"/>
      <c r="CET36"/>
      <c r="CEU36"/>
      <c r="CEV36"/>
      <c r="CEW36"/>
      <c r="CEX36"/>
      <c r="CEY36"/>
      <c r="CEZ36"/>
      <c r="CFA36"/>
      <c r="CFB36"/>
      <c r="CFC36"/>
      <c r="CFD36"/>
      <c r="CFE36"/>
      <c r="CFF36"/>
      <c r="CFG36"/>
      <c r="CFH36"/>
      <c r="CFI36"/>
      <c r="CFJ36"/>
      <c r="CFK36"/>
      <c r="CFL36"/>
      <c r="CFM36"/>
      <c r="CFN36"/>
      <c r="CFO36"/>
      <c r="CFP36"/>
      <c r="CFQ36"/>
      <c r="CFR36"/>
      <c r="CFS36"/>
      <c r="CFT36"/>
      <c r="CFU36"/>
      <c r="CFV36"/>
      <c r="CFW36"/>
      <c r="CFX36"/>
      <c r="CFY36"/>
      <c r="CFZ36"/>
      <c r="CGA36"/>
      <c r="CGB36"/>
      <c r="CGC36"/>
      <c r="CGD36"/>
      <c r="CGE36"/>
      <c r="CGF36"/>
      <c r="CGG36"/>
      <c r="CGH36"/>
      <c r="CGI36"/>
      <c r="CGJ36"/>
      <c r="CGK36"/>
      <c r="CGL36"/>
      <c r="CGM36"/>
      <c r="CGN36"/>
      <c r="CGO36"/>
      <c r="CGP36"/>
      <c r="CGQ36"/>
      <c r="CGR36"/>
      <c r="CGS36"/>
      <c r="CGT36"/>
      <c r="CGU36"/>
      <c r="CGV36"/>
      <c r="CGW36"/>
      <c r="CGX36"/>
      <c r="CGY36"/>
      <c r="CGZ36"/>
      <c r="CHA36"/>
      <c r="CHB36"/>
      <c r="CHC36"/>
      <c r="CHD36"/>
      <c r="CHE36"/>
      <c r="CHF36"/>
      <c r="CHG36"/>
      <c r="CHH36"/>
      <c r="CHI36"/>
      <c r="CHJ36"/>
      <c r="CHK36"/>
      <c r="CHL36"/>
      <c r="CHM36"/>
      <c r="CHN36"/>
      <c r="CHO36"/>
      <c r="CHP36"/>
      <c r="CHQ36"/>
      <c r="CHR36"/>
      <c r="CHS36"/>
      <c r="CHT36"/>
      <c r="CHU36"/>
      <c r="CHV36"/>
      <c r="CHW36"/>
      <c r="CHX36"/>
      <c r="CHY36"/>
      <c r="CHZ36"/>
      <c r="CIA36"/>
      <c r="CIB36"/>
      <c r="CIC36"/>
      <c r="CID36"/>
      <c r="CIE36"/>
      <c r="CIF36"/>
      <c r="CIG36"/>
      <c r="CIH36"/>
      <c r="CII36"/>
      <c r="CIJ36"/>
      <c r="CIK36"/>
      <c r="CIL36"/>
      <c r="CIM36"/>
      <c r="CIN36"/>
      <c r="CIO36"/>
      <c r="CIP36"/>
      <c r="CIQ36"/>
      <c r="CIR36"/>
      <c r="CIS36"/>
      <c r="CIT36"/>
      <c r="CIU36"/>
      <c r="CIV36"/>
      <c r="CIW36"/>
      <c r="CIX36"/>
      <c r="CIY36"/>
      <c r="CIZ36"/>
      <c r="CJA36"/>
      <c r="CJB36"/>
      <c r="CJC36"/>
      <c r="CJD36"/>
      <c r="CJE36"/>
      <c r="CJF36"/>
      <c r="CJG36"/>
      <c r="CJH36"/>
      <c r="CJI36"/>
      <c r="CJJ36"/>
      <c r="CJK36"/>
      <c r="CJL36"/>
      <c r="CJM36"/>
      <c r="CJN36"/>
      <c r="CJO36"/>
      <c r="CJP36"/>
      <c r="CJQ36"/>
      <c r="CJR36"/>
      <c r="CJS36"/>
      <c r="CJT36"/>
      <c r="CJU36"/>
      <c r="CJV36"/>
      <c r="CJW36"/>
      <c r="CJX36"/>
      <c r="CJY36"/>
      <c r="CJZ36"/>
      <c r="CKA36"/>
      <c r="CKB36"/>
      <c r="CKC36"/>
      <c r="CKD36"/>
      <c r="CKE36"/>
      <c r="CKF36"/>
      <c r="CKG36"/>
      <c r="CKH36"/>
      <c r="CKI36"/>
      <c r="CKJ36"/>
      <c r="CKK36"/>
      <c r="CKL36"/>
      <c r="CKM36"/>
      <c r="CKN36"/>
      <c r="CKO36"/>
      <c r="CKP36"/>
      <c r="CKQ36"/>
      <c r="CKR36"/>
      <c r="CKS36"/>
      <c r="CKT36"/>
      <c r="CKU36"/>
      <c r="CKV36"/>
      <c r="CKW36"/>
      <c r="CKX36"/>
      <c r="CKY36"/>
      <c r="CKZ36"/>
      <c r="CLA36"/>
      <c r="CLB36"/>
      <c r="CLC36"/>
      <c r="CLD36"/>
      <c r="CLE36"/>
      <c r="CLF36"/>
      <c r="CLG36"/>
      <c r="CLH36"/>
      <c r="CLI36"/>
      <c r="CLJ36"/>
      <c r="CLK36"/>
      <c r="CLL36"/>
      <c r="CLM36"/>
      <c r="CLN36"/>
      <c r="CLO36"/>
      <c r="CLP36"/>
      <c r="CLQ36"/>
      <c r="CLR36"/>
      <c r="CLS36"/>
      <c r="CLT36"/>
      <c r="CLU36"/>
      <c r="CLV36"/>
      <c r="CLW36"/>
      <c r="CLX36"/>
      <c r="CLY36"/>
      <c r="CLZ36"/>
      <c r="CMA36"/>
      <c r="CMB36"/>
      <c r="CMC36"/>
      <c r="CMD36"/>
      <c r="CME36"/>
      <c r="CMF36"/>
      <c r="CMG36"/>
      <c r="CMH36"/>
      <c r="CMI36"/>
      <c r="CMJ36"/>
      <c r="CMK36"/>
      <c r="CML36"/>
      <c r="CMM36"/>
      <c r="CMN36"/>
      <c r="CMO36"/>
      <c r="CMP36"/>
      <c r="CMQ36"/>
      <c r="CMR36"/>
      <c r="CMS36"/>
      <c r="CMT36"/>
      <c r="CMU36"/>
      <c r="CMV36"/>
      <c r="CMW36"/>
      <c r="CMX36"/>
      <c r="CMY36"/>
      <c r="CMZ36"/>
      <c r="CNA36"/>
      <c r="CNB36"/>
      <c r="CNC36"/>
      <c r="CND36"/>
      <c r="CNE36"/>
      <c r="CNF36"/>
      <c r="CNG36"/>
      <c r="CNH36"/>
      <c r="CNI36"/>
      <c r="CNJ36"/>
      <c r="CNK36"/>
      <c r="CNL36"/>
      <c r="CNM36"/>
      <c r="CNN36"/>
      <c r="CNO36"/>
      <c r="CNP36"/>
      <c r="CNQ36"/>
      <c r="CNR36"/>
      <c r="CNS36"/>
      <c r="CNT36"/>
      <c r="CNU36"/>
      <c r="CNV36"/>
      <c r="CNW36"/>
      <c r="CNX36"/>
      <c r="CNY36"/>
      <c r="CNZ36"/>
      <c r="COA36"/>
      <c r="COB36"/>
      <c r="COC36"/>
      <c r="COD36"/>
      <c r="COE36"/>
      <c r="COF36"/>
      <c r="COG36"/>
      <c r="COH36"/>
      <c r="COI36"/>
      <c r="COJ36"/>
      <c r="COK36"/>
      <c r="COL36"/>
      <c r="COM36"/>
      <c r="CON36"/>
      <c r="COO36"/>
      <c r="COP36"/>
      <c r="COQ36"/>
      <c r="COR36"/>
      <c r="COS36"/>
      <c r="COT36"/>
      <c r="COU36"/>
      <c r="COV36"/>
      <c r="COW36"/>
      <c r="COX36"/>
      <c r="COY36"/>
      <c r="COZ36"/>
      <c r="CPA36"/>
      <c r="CPB36"/>
      <c r="CPC36"/>
      <c r="CPD36"/>
      <c r="CPE36"/>
      <c r="CPF36"/>
      <c r="CPG36"/>
      <c r="CPH36"/>
      <c r="CPI36"/>
      <c r="CPJ36"/>
      <c r="CPK36"/>
      <c r="CPL36"/>
      <c r="CPM36"/>
      <c r="CPN36"/>
      <c r="CPO36"/>
      <c r="CPP36"/>
      <c r="CPQ36"/>
      <c r="CPR36"/>
      <c r="CPS36"/>
      <c r="CPT36"/>
      <c r="CPU36"/>
      <c r="CPV36"/>
      <c r="CPW36"/>
      <c r="CPX36"/>
      <c r="CPY36"/>
      <c r="CPZ36"/>
      <c r="CQA36"/>
      <c r="CQB36"/>
      <c r="CQC36"/>
      <c r="CQD36"/>
      <c r="CQE36"/>
      <c r="CQF36"/>
      <c r="CQG36"/>
      <c r="CQH36"/>
      <c r="CQI36"/>
      <c r="CQJ36"/>
      <c r="CQK36"/>
      <c r="CQL36"/>
      <c r="CQM36"/>
      <c r="CQN36"/>
      <c r="CQO36"/>
      <c r="CQP36"/>
      <c r="CQQ36"/>
      <c r="CQR36"/>
      <c r="CQS36"/>
      <c r="CQT36"/>
      <c r="CQU36"/>
      <c r="CQV36"/>
      <c r="CQW36"/>
      <c r="CQX36"/>
      <c r="CQY36"/>
      <c r="CQZ36"/>
      <c r="CRA36"/>
      <c r="CRB36"/>
      <c r="CRC36"/>
      <c r="CRD36"/>
      <c r="CRE36"/>
      <c r="CRF36"/>
      <c r="CRG36"/>
      <c r="CRH36"/>
      <c r="CRI36"/>
      <c r="CRJ36"/>
      <c r="CRK36"/>
      <c r="CRL36"/>
      <c r="CRM36"/>
      <c r="CRN36"/>
      <c r="CRO36"/>
      <c r="CRP36"/>
      <c r="CRQ36"/>
      <c r="CRR36"/>
      <c r="CRS36"/>
      <c r="CRT36"/>
      <c r="CRU36"/>
      <c r="CRV36"/>
      <c r="CRW36"/>
      <c r="CRX36"/>
      <c r="CRY36"/>
      <c r="CRZ36"/>
      <c r="CSA36"/>
      <c r="CSB36"/>
      <c r="CSC36"/>
      <c r="CSD36"/>
      <c r="CSE36"/>
      <c r="CSF36"/>
      <c r="CSG36"/>
      <c r="CSH36"/>
      <c r="CSI36"/>
      <c r="CSJ36"/>
      <c r="CSK36"/>
      <c r="CSL36"/>
      <c r="CSM36"/>
      <c r="CSN36"/>
      <c r="CSO36"/>
      <c r="CSP36"/>
      <c r="CSQ36"/>
      <c r="CSR36"/>
      <c r="CSS36"/>
      <c r="CST36"/>
      <c r="CSU36"/>
      <c r="CSV36"/>
      <c r="CSW36"/>
      <c r="CSX36"/>
      <c r="CSY36"/>
      <c r="CSZ36"/>
      <c r="CTA36"/>
      <c r="CTB36"/>
      <c r="CTC36"/>
      <c r="CTD36"/>
      <c r="CTE36"/>
      <c r="CTF36"/>
      <c r="CTG36"/>
      <c r="CTH36"/>
      <c r="CTI36"/>
      <c r="CTJ36"/>
      <c r="CTK36"/>
      <c r="CTL36"/>
      <c r="CTM36"/>
      <c r="CTN36"/>
      <c r="CTO36"/>
      <c r="CTP36"/>
      <c r="CTQ36"/>
      <c r="CTR36"/>
      <c r="CTS36"/>
      <c r="CTT36"/>
      <c r="CTU36"/>
      <c r="CTV36"/>
      <c r="CTW36"/>
      <c r="CTX36"/>
      <c r="CTY36"/>
      <c r="CTZ36"/>
      <c r="CUA36"/>
      <c r="CUB36"/>
      <c r="CUC36"/>
      <c r="CUD36"/>
      <c r="CUE36"/>
      <c r="CUF36"/>
      <c r="CUG36"/>
      <c r="CUH36"/>
      <c r="CUI36"/>
      <c r="CUJ36"/>
      <c r="CUK36"/>
      <c r="CUL36"/>
      <c r="CUM36"/>
      <c r="CUN36"/>
      <c r="CUO36"/>
      <c r="CUP36"/>
      <c r="CUQ36"/>
      <c r="CUR36"/>
      <c r="CUS36"/>
      <c r="CUT36"/>
      <c r="CUU36"/>
      <c r="CUV36"/>
      <c r="CUW36"/>
      <c r="CUX36"/>
      <c r="CUY36"/>
      <c r="CUZ36"/>
      <c r="CVA36"/>
      <c r="CVB36"/>
      <c r="CVC36"/>
      <c r="CVD36"/>
      <c r="CVE36"/>
      <c r="CVF36"/>
      <c r="CVG36"/>
      <c r="CVH36"/>
      <c r="CVI36"/>
      <c r="CVJ36"/>
      <c r="CVK36"/>
      <c r="CVL36"/>
      <c r="CVM36"/>
      <c r="CVN36"/>
      <c r="CVO36"/>
      <c r="CVP36"/>
      <c r="CVQ36"/>
      <c r="CVR36"/>
      <c r="CVS36"/>
      <c r="CVT36"/>
      <c r="CVU36"/>
      <c r="CVV36"/>
      <c r="CVW36"/>
      <c r="CVX36"/>
      <c r="CVY36"/>
      <c r="CVZ36"/>
      <c r="CWA36"/>
      <c r="CWB36"/>
      <c r="CWC36"/>
      <c r="CWD36"/>
      <c r="CWE36"/>
      <c r="CWF36"/>
      <c r="CWG36"/>
      <c r="CWH36"/>
      <c r="CWI36"/>
      <c r="CWJ36"/>
      <c r="CWK36"/>
      <c r="CWL36"/>
      <c r="CWM36"/>
      <c r="CWN36"/>
      <c r="CWO36"/>
      <c r="CWP36"/>
      <c r="CWQ36"/>
      <c r="CWR36"/>
      <c r="CWS36"/>
      <c r="CWT36"/>
      <c r="CWU36"/>
      <c r="CWV36"/>
      <c r="CWW36"/>
      <c r="CWX36"/>
      <c r="CWY36"/>
      <c r="CWZ36"/>
      <c r="CXA36"/>
      <c r="CXB36"/>
      <c r="CXC36"/>
      <c r="CXD36"/>
      <c r="CXE36"/>
      <c r="CXF36"/>
      <c r="CXG36"/>
      <c r="CXH36"/>
      <c r="CXI36"/>
      <c r="CXJ36"/>
      <c r="CXK36"/>
      <c r="CXL36"/>
      <c r="CXM36"/>
      <c r="CXN36"/>
      <c r="CXO36"/>
      <c r="CXP36"/>
      <c r="CXQ36"/>
      <c r="CXR36"/>
      <c r="CXS36"/>
      <c r="CXT36"/>
      <c r="CXU36"/>
      <c r="CXV36"/>
      <c r="CXW36"/>
      <c r="CXX36"/>
      <c r="CXY36"/>
      <c r="CXZ36"/>
      <c r="CYA36"/>
      <c r="CYB36"/>
      <c r="CYC36"/>
      <c r="CYD36"/>
      <c r="CYE36"/>
      <c r="CYF36"/>
      <c r="CYG36"/>
      <c r="CYH36"/>
      <c r="CYI36"/>
      <c r="CYJ36"/>
      <c r="CYK36"/>
      <c r="CYL36"/>
      <c r="CYM36"/>
      <c r="CYN36"/>
      <c r="CYO36"/>
      <c r="CYP36"/>
      <c r="CYQ36"/>
      <c r="CYR36"/>
      <c r="CYS36"/>
      <c r="CYT36"/>
      <c r="CYU36"/>
      <c r="CYV36"/>
      <c r="CYW36"/>
      <c r="CYX36"/>
      <c r="CYY36"/>
      <c r="CYZ36"/>
      <c r="CZA36"/>
      <c r="CZB36"/>
      <c r="CZC36"/>
      <c r="CZD36"/>
      <c r="CZE36"/>
      <c r="CZF36"/>
      <c r="CZG36"/>
      <c r="CZH36"/>
      <c r="CZI36"/>
      <c r="CZJ36"/>
      <c r="CZK36"/>
      <c r="CZL36"/>
      <c r="CZM36"/>
      <c r="CZN36"/>
      <c r="CZO36"/>
      <c r="CZP36"/>
      <c r="CZQ36"/>
      <c r="CZR36"/>
      <c r="CZS36"/>
      <c r="CZT36"/>
      <c r="CZU36"/>
      <c r="CZV36"/>
      <c r="CZW36"/>
      <c r="CZX36"/>
      <c r="CZY36"/>
      <c r="CZZ36"/>
      <c r="DAA36"/>
      <c r="DAB36"/>
      <c r="DAC36"/>
      <c r="DAD36"/>
      <c r="DAE36"/>
      <c r="DAF36"/>
      <c r="DAG36"/>
      <c r="DAH36"/>
      <c r="DAI36"/>
      <c r="DAJ36"/>
      <c r="DAK36"/>
      <c r="DAL36"/>
      <c r="DAM36"/>
      <c r="DAN36"/>
      <c r="DAO36"/>
      <c r="DAP36"/>
      <c r="DAQ36"/>
      <c r="DAR36"/>
      <c r="DAS36"/>
      <c r="DAT36"/>
      <c r="DAU36"/>
      <c r="DAV36"/>
      <c r="DAW36"/>
      <c r="DAX36"/>
      <c r="DAY36"/>
      <c r="DAZ36"/>
      <c r="DBA36"/>
      <c r="DBB36"/>
      <c r="DBC36"/>
      <c r="DBD36"/>
      <c r="DBE36"/>
      <c r="DBF36"/>
      <c r="DBG36"/>
      <c r="DBH36"/>
      <c r="DBI36"/>
      <c r="DBJ36"/>
      <c r="DBK36"/>
      <c r="DBL36"/>
      <c r="DBM36"/>
      <c r="DBN36"/>
      <c r="DBO36"/>
      <c r="DBP36"/>
      <c r="DBQ36"/>
      <c r="DBR36"/>
      <c r="DBS36"/>
      <c r="DBT36"/>
      <c r="DBU36"/>
      <c r="DBV36"/>
      <c r="DBW36"/>
      <c r="DBX36"/>
      <c r="DBY36"/>
      <c r="DBZ36"/>
      <c r="DCA36"/>
      <c r="DCB36"/>
      <c r="DCC36"/>
      <c r="DCD36"/>
      <c r="DCE36"/>
      <c r="DCF36"/>
      <c r="DCG36"/>
      <c r="DCH36"/>
      <c r="DCI36"/>
      <c r="DCJ36"/>
      <c r="DCK36"/>
      <c r="DCL36"/>
      <c r="DCM36"/>
      <c r="DCN36"/>
      <c r="DCO36"/>
      <c r="DCP36"/>
      <c r="DCQ36"/>
      <c r="DCR36"/>
      <c r="DCS36"/>
      <c r="DCT36"/>
      <c r="DCU36"/>
      <c r="DCV36"/>
      <c r="DCW36"/>
      <c r="DCX36"/>
      <c r="DCY36"/>
      <c r="DCZ36"/>
      <c r="DDA36"/>
      <c r="DDB36"/>
      <c r="DDC36"/>
      <c r="DDD36"/>
      <c r="DDE36"/>
      <c r="DDF36"/>
      <c r="DDG36"/>
      <c r="DDH36"/>
      <c r="DDI36"/>
      <c r="DDJ36"/>
      <c r="DDK36"/>
      <c r="DDL36"/>
      <c r="DDM36"/>
      <c r="DDN36"/>
      <c r="DDO36"/>
      <c r="DDP36"/>
      <c r="DDQ36"/>
      <c r="DDR36"/>
      <c r="DDS36"/>
      <c r="DDT36"/>
      <c r="DDU36"/>
      <c r="DDV36"/>
      <c r="DDW36"/>
      <c r="DDX36"/>
      <c r="DDY36"/>
      <c r="DDZ36"/>
      <c r="DEA36"/>
      <c r="DEB36"/>
      <c r="DEC36"/>
      <c r="DED36"/>
      <c r="DEE36"/>
      <c r="DEF36"/>
      <c r="DEG36"/>
      <c r="DEH36"/>
      <c r="DEI36"/>
      <c r="DEJ36"/>
      <c r="DEK36"/>
      <c r="DEL36"/>
      <c r="DEM36"/>
      <c r="DEN36"/>
      <c r="DEO36"/>
      <c r="DEP36"/>
      <c r="DEQ36"/>
      <c r="DER36"/>
      <c r="DES36"/>
      <c r="DET36"/>
      <c r="DEU36"/>
      <c r="DEV36"/>
      <c r="DEW36"/>
      <c r="DEX36"/>
      <c r="DEY36"/>
      <c r="DEZ36"/>
      <c r="DFA36"/>
      <c r="DFB36"/>
      <c r="DFC36"/>
      <c r="DFD36"/>
      <c r="DFE36"/>
      <c r="DFF36"/>
      <c r="DFG36"/>
      <c r="DFH36"/>
      <c r="DFI36"/>
      <c r="DFJ36"/>
      <c r="DFK36"/>
      <c r="DFL36"/>
      <c r="DFM36"/>
      <c r="DFN36"/>
      <c r="DFO36"/>
      <c r="DFP36"/>
      <c r="DFQ36"/>
      <c r="DFR36"/>
      <c r="DFS36"/>
      <c r="DFT36"/>
      <c r="DFU36"/>
      <c r="DFV36"/>
      <c r="DFW36"/>
      <c r="DFX36"/>
      <c r="DFY36"/>
      <c r="DFZ36"/>
      <c r="DGA36"/>
      <c r="DGB36"/>
      <c r="DGC36"/>
      <c r="DGD36"/>
      <c r="DGE36"/>
      <c r="DGF36"/>
      <c r="DGG36"/>
      <c r="DGH36"/>
      <c r="DGI36"/>
      <c r="DGJ36"/>
      <c r="DGK36"/>
      <c r="DGL36"/>
      <c r="DGM36"/>
      <c r="DGN36"/>
      <c r="DGO36"/>
      <c r="DGP36"/>
      <c r="DGQ36"/>
      <c r="DGR36"/>
      <c r="DGS36"/>
      <c r="DGT36"/>
      <c r="DGU36"/>
      <c r="DGV36"/>
      <c r="DGW36"/>
      <c r="DGX36"/>
      <c r="DGY36"/>
      <c r="DGZ36"/>
      <c r="DHA36"/>
      <c r="DHB36"/>
      <c r="DHC36"/>
      <c r="DHD36"/>
      <c r="DHE36"/>
      <c r="DHF36"/>
      <c r="DHG36"/>
      <c r="DHH36"/>
      <c r="DHI36"/>
      <c r="DHJ36"/>
      <c r="DHK36"/>
      <c r="DHL36"/>
      <c r="DHM36"/>
      <c r="DHN36"/>
      <c r="DHO36"/>
      <c r="DHP36"/>
      <c r="DHQ36"/>
      <c r="DHR36"/>
      <c r="DHS36"/>
      <c r="DHT36"/>
      <c r="DHU36"/>
      <c r="DHV36"/>
      <c r="DHW36"/>
      <c r="DHX36"/>
      <c r="DHY36"/>
      <c r="DHZ36"/>
      <c r="DIA36"/>
      <c r="DIB36"/>
      <c r="DIC36"/>
      <c r="DID36"/>
      <c r="DIE36"/>
      <c r="DIF36"/>
      <c r="DIG36"/>
      <c r="DIH36"/>
      <c r="DII36"/>
      <c r="DIJ36"/>
      <c r="DIK36"/>
      <c r="DIL36"/>
      <c r="DIM36"/>
      <c r="DIN36"/>
      <c r="DIO36"/>
      <c r="DIP36"/>
      <c r="DIQ36"/>
      <c r="DIR36"/>
      <c r="DIS36"/>
      <c r="DIT36"/>
      <c r="DIU36"/>
      <c r="DIV36"/>
      <c r="DIW36"/>
      <c r="DIX36"/>
      <c r="DIY36"/>
      <c r="DIZ36"/>
      <c r="DJA36"/>
      <c r="DJB36"/>
      <c r="DJC36"/>
      <c r="DJD36"/>
      <c r="DJE36"/>
      <c r="DJF36"/>
      <c r="DJG36"/>
      <c r="DJH36"/>
      <c r="DJI36"/>
      <c r="DJJ36"/>
      <c r="DJK36"/>
      <c r="DJL36"/>
      <c r="DJM36"/>
      <c r="DJN36"/>
      <c r="DJO36"/>
      <c r="DJP36"/>
      <c r="DJQ36"/>
      <c r="DJR36"/>
      <c r="DJS36"/>
      <c r="DJT36"/>
      <c r="DJU36"/>
      <c r="DJV36"/>
      <c r="DJW36"/>
      <c r="DJX36"/>
      <c r="DJY36"/>
      <c r="DJZ36"/>
      <c r="DKA36"/>
      <c r="DKB36"/>
      <c r="DKC36"/>
      <c r="DKD36"/>
      <c r="DKE36"/>
      <c r="DKF36"/>
      <c r="DKG36"/>
      <c r="DKH36"/>
      <c r="DKI36"/>
      <c r="DKJ36"/>
      <c r="DKK36"/>
      <c r="DKL36"/>
      <c r="DKM36"/>
      <c r="DKN36"/>
      <c r="DKO36"/>
      <c r="DKP36"/>
      <c r="DKQ36"/>
      <c r="DKR36"/>
      <c r="DKS36"/>
      <c r="DKT36"/>
      <c r="DKU36"/>
      <c r="DKV36"/>
      <c r="DKW36"/>
      <c r="DKX36"/>
      <c r="DKY36"/>
      <c r="DKZ36"/>
      <c r="DLA36"/>
      <c r="DLB36"/>
      <c r="DLC36"/>
      <c r="DLD36"/>
      <c r="DLE36"/>
      <c r="DLF36"/>
      <c r="DLG36"/>
      <c r="DLH36"/>
      <c r="DLI36"/>
      <c r="DLJ36"/>
      <c r="DLK36"/>
      <c r="DLL36"/>
      <c r="DLM36"/>
      <c r="DLN36"/>
      <c r="DLO36"/>
      <c r="DLP36"/>
      <c r="DLQ36"/>
      <c r="DLR36"/>
      <c r="DLS36"/>
      <c r="DLT36"/>
      <c r="DLU36"/>
      <c r="DLV36"/>
      <c r="DLW36"/>
      <c r="DLX36"/>
      <c r="DLY36"/>
      <c r="DLZ36"/>
      <c r="DMA36"/>
      <c r="DMB36"/>
      <c r="DMC36"/>
      <c r="DMD36"/>
      <c r="DME36"/>
      <c r="DMF36"/>
      <c r="DMG36"/>
      <c r="DMH36"/>
      <c r="DMI36"/>
      <c r="DMJ36"/>
      <c r="DMK36"/>
      <c r="DML36"/>
      <c r="DMM36"/>
      <c r="DMN36"/>
      <c r="DMO36"/>
      <c r="DMP36"/>
      <c r="DMQ36"/>
      <c r="DMR36"/>
      <c r="DMS36"/>
      <c r="DMT36"/>
      <c r="DMU36"/>
      <c r="DMV36"/>
      <c r="DMW36"/>
      <c r="DMX36"/>
      <c r="DMY36"/>
      <c r="DMZ36"/>
      <c r="DNA36"/>
      <c r="DNB36"/>
      <c r="DNC36"/>
      <c r="DND36"/>
      <c r="DNE36"/>
      <c r="DNF36"/>
      <c r="DNG36"/>
      <c r="DNH36"/>
      <c r="DNI36"/>
      <c r="DNJ36"/>
      <c r="DNK36"/>
      <c r="DNL36"/>
      <c r="DNM36"/>
      <c r="DNN36"/>
      <c r="DNO36"/>
      <c r="DNP36"/>
      <c r="DNQ36"/>
      <c r="DNR36"/>
      <c r="DNS36"/>
      <c r="DNT36"/>
      <c r="DNU36"/>
      <c r="DNV36"/>
      <c r="DNW36"/>
      <c r="DNX36"/>
      <c r="DNY36"/>
      <c r="DNZ36"/>
      <c r="DOA36"/>
      <c r="DOB36"/>
      <c r="DOC36"/>
      <c r="DOD36"/>
      <c r="DOE36"/>
      <c r="DOF36"/>
      <c r="DOG36"/>
      <c r="DOH36"/>
      <c r="DOI36"/>
      <c r="DOJ36"/>
      <c r="DOK36"/>
      <c r="DOL36"/>
      <c r="DOM36"/>
      <c r="DON36"/>
      <c r="DOO36"/>
      <c r="DOP36"/>
      <c r="DOQ36"/>
      <c r="DOR36"/>
      <c r="DOS36"/>
      <c r="DOT36"/>
      <c r="DOU36"/>
      <c r="DOV36"/>
      <c r="DOW36"/>
      <c r="DOX36"/>
      <c r="DOY36"/>
      <c r="DOZ36"/>
      <c r="DPA36"/>
      <c r="DPB36"/>
      <c r="DPC36"/>
      <c r="DPD36"/>
      <c r="DPE36"/>
      <c r="DPF36"/>
      <c r="DPG36"/>
      <c r="DPH36"/>
      <c r="DPI36"/>
      <c r="DPJ36"/>
      <c r="DPK36"/>
      <c r="DPL36"/>
      <c r="DPM36"/>
      <c r="DPN36"/>
      <c r="DPO36"/>
      <c r="DPP36"/>
      <c r="DPQ36"/>
      <c r="DPR36"/>
      <c r="DPS36"/>
      <c r="DPT36"/>
      <c r="DPU36"/>
      <c r="DPV36"/>
      <c r="DPW36"/>
      <c r="DPX36"/>
      <c r="DPY36"/>
      <c r="DPZ36"/>
      <c r="DQA36"/>
      <c r="DQB36"/>
      <c r="DQC36"/>
      <c r="DQD36"/>
      <c r="DQE36"/>
      <c r="DQF36"/>
      <c r="DQG36"/>
      <c r="DQH36"/>
      <c r="DQI36"/>
      <c r="DQJ36"/>
      <c r="DQK36"/>
      <c r="DQL36"/>
      <c r="DQM36"/>
      <c r="DQN36"/>
      <c r="DQO36"/>
      <c r="DQP36"/>
      <c r="DQQ36"/>
      <c r="DQR36"/>
      <c r="DQS36"/>
      <c r="DQT36"/>
      <c r="DQU36"/>
      <c r="DQV36"/>
      <c r="DQW36"/>
      <c r="DQX36"/>
      <c r="DQY36"/>
      <c r="DQZ36"/>
      <c r="DRA36"/>
      <c r="DRB36"/>
      <c r="DRC36"/>
      <c r="DRD36"/>
      <c r="DRE36"/>
      <c r="DRF36"/>
      <c r="DRG36"/>
      <c r="DRH36"/>
      <c r="DRI36"/>
      <c r="DRJ36"/>
      <c r="DRK36"/>
      <c r="DRL36"/>
      <c r="DRM36"/>
      <c r="DRN36"/>
      <c r="DRO36"/>
      <c r="DRP36"/>
      <c r="DRQ36"/>
      <c r="DRR36"/>
      <c r="DRS36"/>
      <c r="DRT36"/>
      <c r="DRU36"/>
      <c r="DRV36"/>
      <c r="DRW36"/>
      <c r="DRX36"/>
      <c r="DRY36"/>
      <c r="DRZ36"/>
      <c r="DSA36"/>
      <c r="DSB36"/>
      <c r="DSC36"/>
      <c r="DSD36"/>
      <c r="DSE36"/>
      <c r="DSF36"/>
      <c r="DSG36"/>
      <c r="DSH36"/>
      <c r="DSI36"/>
      <c r="DSJ36"/>
      <c r="DSK36"/>
      <c r="DSL36"/>
      <c r="DSM36"/>
      <c r="DSN36"/>
      <c r="DSO36"/>
      <c r="DSP36"/>
      <c r="DSQ36"/>
      <c r="DSR36"/>
      <c r="DSS36"/>
      <c r="DST36"/>
      <c r="DSU36"/>
      <c r="DSV36"/>
      <c r="DSW36"/>
      <c r="DSX36"/>
      <c r="DSY36"/>
      <c r="DSZ36"/>
      <c r="DTA36"/>
      <c r="DTB36"/>
      <c r="DTC36"/>
      <c r="DTD36"/>
      <c r="DTE36"/>
      <c r="DTF36"/>
      <c r="DTG36"/>
      <c r="DTH36"/>
      <c r="DTI36"/>
      <c r="DTJ36"/>
      <c r="DTK36"/>
      <c r="DTL36"/>
      <c r="DTM36"/>
      <c r="DTN36"/>
      <c r="DTO36"/>
      <c r="DTP36"/>
      <c r="DTQ36"/>
      <c r="DTR36"/>
      <c r="DTS36"/>
      <c r="DTT36"/>
      <c r="DTU36"/>
      <c r="DTV36"/>
      <c r="DTW36"/>
      <c r="DTX36"/>
      <c r="DTY36"/>
      <c r="DTZ36"/>
      <c r="DUA36"/>
      <c r="DUB36"/>
      <c r="DUC36"/>
      <c r="DUD36"/>
      <c r="DUE36"/>
      <c r="DUF36"/>
      <c r="DUG36"/>
      <c r="DUH36"/>
      <c r="DUI36"/>
      <c r="DUJ36"/>
      <c r="DUK36"/>
      <c r="DUL36"/>
      <c r="DUM36"/>
      <c r="DUN36"/>
      <c r="DUO36"/>
      <c r="DUP36"/>
      <c r="DUQ36"/>
      <c r="DUR36"/>
      <c r="DUS36"/>
      <c r="DUT36"/>
      <c r="DUU36"/>
      <c r="DUV36"/>
      <c r="DUW36"/>
      <c r="DUX36"/>
      <c r="DUY36"/>
      <c r="DUZ36"/>
      <c r="DVA36"/>
      <c r="DVB36"/>
      <c r="DVC36"/>
      <c r="DVD36"/>
      <c r="DVE36"/>
      <c r="DVF36"/>
      <c r="DVG36"/>
      <c r="DVH36"/>
      <c r="DVI36"/>
      <c r="DVJ36"/>
      <c r="DVK36"/>
      <c r="DVL36"/>
      <c r="DVM36"/>
      <c r="DVN36"/>
      <c r="DVO36"/>
      <c r="DVP36"/>
      <c r="DVQ36"/>
      <c r="DVR36"/>
      <c r="DVS36"/>
      <c r="DVT36"/>
      <c r="DVU36"/>
      <c r="DVV36"/>
      <c r="DVW36"/>
      <c r="DVX36"/>
      <c r="DVY36"/>
      <c r="DVZ36"/>
      <c r="DWA36"/>
      <c r="DWB36"/>
      <c r="DWC36"/>
      <c r="DWD36"/>
      <c r="DWE36"/>
      <c r="DWF36"/>
      <c r="DWG36"/>
      <c r="DWH36"/>
      <c r="DWI36"/>
      <c r="DWJ36"/>
      <c r="DWK36"/>
      <c r="DWL36"/>
      <c r="DWM36"/>
      <c r="DWN36"/>
      <c r="DWO36"/>
      <c r="DWP36"/>
      <c r="DWQ36"/>
      <c r="DWR36"/>
      <c r="DWS36"/>
      <c r="DWT36"/>
      <c r="DWU36"/>
      <c r="DWV36"/>
      <c r="DWW36"/>
      <c r="DWX36"/>
      <c r="DWY36"/>
      <c r="DWZ36"/>
      <c r="DXA36"/>
      <c r="DXB36"/>
      <c r="DXC36"/>
      <c r="DXD36"/>
      <c r="DXE36"/>
      <c r="DXF36"/>
      <c r="DXG36"/>
      <c r="DXH36"/>
      <c r="DXI36"/>
      <c r="DXJ36"/>
      <c r="DXK36"/>
      <c r="DXL36"/>
      <c r="DXM36"/>
      <c r="DXN36"/>
      <c r="DXO36"/>
      <c r="DXP36"/>
      <c r="DXQ36"/>
      <c r="DXR36"/>
      <c r="DXS36"/>
      <c r="DXT36"/>
      <c r="DXU36"/>
      <c r="DXV36"/>
      <c r="DXW36"/>
      <c r="DXX36"/>
      <c r="DXY36"/>
      <c r="DXZ36"/>
      <c r="DYA36"/>
      <c r="DYB36"/>
      <c r="DYC36"/>
      <c r="DYD36"/>
      <c r="DYE36"/>
      <c r="DYF36"/>
      <c r="DYG36"/>
      <c r="DYH36"/>
      <c r="DYI36"/>
      <c r="DYJ36"/>
      <c r="DYK36"/>
      <c r="DYL36"/>
      <c r="DYM36"/>
      <c r="DYN36"/>
      <c r="DYO36"/>
      <c r="DYP36"/>
      <c r="DYQ36"/>
      <c r="DYR36"/>
      <c r="DYS36"/>
      <c r="DYT36"/>
      <c r="DYU36"/>
      <c r="DYV36"/>
      <c r="DYW36"/>
      <c r="DYX36"/>
      <c r="DYY36"/>
      <c r="DYZ36"/>
      <c r="DZA36"/>
      <c r="DZB36"/>
      <c r="DZC36"/>
      <c r="DZD36"/>
      <c r="DZE36"/>
      <c r="DZF36"/>
      <c r="DZG36"/>
      <c r="DZH36"/>
      <c r="DZI36"/>
      <c r="DZJ36"/>
      <c r="DZK36"/>
      <c r="DZL36"/>
      <c r="DZM36"/>
      <c r="DZN36"/>
      <c r="DZO36"/>
      <c r="DZP36"/>
      <c r="DZQ36"/>
      <c r="DZR36"/>
      <c r="DZS36"/>
      <c r="DZT36"/>
      <c r="DZU36"/>
      <c r="DZV36"/>
      <c r="DZW36"/>
      <c r="DZX36"/>
      <c r="DZY36"/>
      <c r="DZZ36"/>
      <c r="EAA36"/>
      <c r="EAB36"/>
      <c r="EAC36"/>
      <c r="EAD36"/>
      <c r="EAE36"/>
      <c r="EAF36"/>
      <c r="EAG36"/>
      <c r="EAH36"/>
      <c r="EAI36"/>
      <c r="EAJ36"/>
      <c r="EAK36"/>
      <c r="EAL36"/>
      <c r="EAM36"/>
      <c r="EAN36"/>
      <c r="EAO36"/>
      <c r="EAP36"/>
      <c r="EAQ36"/>
      <c r="EAR36"/>
      <c r="EAS36"/>
      <c r="EAT36"/>
      <c r="EAU36"/>
      <c r="EAV36"/>
      <c r="EAW36"/>
      <c r="EAX36"/>
      <c r="EAY36"/>
      <c r="EAZ36"/>
      <c r="EBA36"/>
      <c r="EBB36"/>
      <c r="EBC36"/>
      <c r="EBD36"/>
      <c r="EBE36"/>
      <c r="EBF36"/>
      <c r="EBG36"/>
      <c r="EBH36"/>
      <c r="EBI36"/>
      <c r="EBJ36"/>
      <c r="EBK36"/>
      <c r="EBL36"/>
      <c r="EBM36"/>
      <c r="EBN36"/>
      <c r="EBO36"/>
      <c r="EBP36"/>
      <c r="EBQ36"/>
      <c r="EBR36"/>
      <c r="EBS36"/>
      <c r="EBT36"/>
      <c r="EBU36"/>
      <c r="EBV36"/>
      <c r="EBW36"/>
      <c r="EBX36"/>
      <c r="EBY36"/>
      <c r="EBZ36"/>
      <c r="ECA36"/>
      <c r="ECB36"/>
      <c r="ECC36"/>
      <c r="ECD36"/>
      <c r="ECE36"/>
      <c r="ECF36"/>
      <c r="ECG36"/>
      <c r="ECH36"/>
      <c r="ECI36"/>
      <c r="ECJ36"/>
      <c r="ECK36"/>
      <c r="ECL36"/>
      <c r="ECM36"/>
      <c r="ECN36"/>
      <c r="ECO36"/>
      <c r="ECP36"/>
      <c r="ECQ36"/>
      <c r="ECR36"/>
      <c r="ECS36"/>
      <c r="ECT36"/>
      <c r="ECU36"/>
      <c r="ECV36"/>
      <c r="ECW36"/>
      <c r="ECX36"/>
      <c r="ECY36"/>
      <c r="ECZ36"/>
      <c r="EDA36"/>
      <c r="EDB36"/>
      <c r="EDC36"/>
      <c r="EDD36"/>
      <c r="EDE36"/>
      <c r="EDF36"/>
      <c r="EDG36"/>
      <c r="EDH36"/>
      <c r="EDI36"/>
      <c r="EDJ36"/>
      <c r="EDK36"/>
      <c r="EDL36"/>
      <c r="EDM36"/>
      <c r="EDN36"/>
      <c r="EDO36"/>
      <c r="EDP36"/>
      <c r="EDQ36"/>
      <c r="EDR36"/>
      <c r="EDS36"/>
      <c r="EDT36"/>
      <c r="EDU36"/>
      <c r="EDV36"/>
      <c r="EDW36"/>
      <c r="EDX36"/>
      <c r="EDY36"/>
      <c r="EDZ36"/>
      <c r="EEA36"/>
      <c r="EEB36"/>
      <c r="EEC36"/>
      <c r="EED36"/>
      <c r="EEE36"/>
      <c r="EEF36"/>
      <c r="EEG36"/>
      <c r="EEH36"/>
      <c r="EEI36"/>
      <c r="EEJ36"/>
      <c r="EEK36"/>
      <c r="EEL36"/>
      <c r="EEM36"/>
      <c r="EEN36"/>
      <c r="EEO36"/>
      <c r="EEP36"/>
      <c r="EEQ36"/>
      <c r="EER36"/>
      <c r="EES36"/>
      <c r="EET36"/>
      <c r="EEU36"/>
      <c r="EEV36"/>
      <c r="EEW36"/>
      <c r="EEX36"/>
      <c r="EEY36"/>
      <c r="EEZ36"/>
      <c r="EFA36"/>
      <c r="EFB36"/>
      <c r="EFC36"/>
      <c r="EFD36"/>
      <c r="EFE36"/>
      <c r="EFF36"/>
      <c r="EFG36"/>
      <c r="EFH36"/>
      <c r="EFI36"/>
      <c r="EFJ36"/>
      <c r="EFK36"/>
      <c r="EFL36"/>
      <c r="EFM36"/>
      <c r="EFN36"/>
      <c r="EFO36"/>
      <c r="EFP36"/>
      <c r="EFQ36"/>
      <c r="EFR36"/>
      <c r="EFS36"/>
      <c r="EFT36"/>
      <c r="EFU36"/>
      <c r="EFV36"/>
      <c r="EFW36"/>
      <c r="EFX36"/>
      <c r="EFY36"/>
      <c r="EFZ36"/>
      <c r="EGA36"/>
      <c r="EGB36"/>
      <c r="EGC36"/>
      <c r="EGD36"/>
      <c r="EGE36"/>
      <c r="EGF36"/>
      <c r="EGG36"/>
      <c r="EGH36"/>
      <c r="EGI36"/>
      <c r="EGJ36"/>
      <c r="EGK36"/>
      <c r="EGL36"/>
      <c r="EGM36"/>
      <c r="EGN36"/>
      <c r="EGO36"/>
      <c r="EGP36"/>
      <c r="EGQ36"/>
      <c r="EGR36"/>
      <c r="EGS36"/>
      <c r="EGT36"/>
      <c r="EGU36"/>
      <c r="EGV36"/>
      <c r="EGW36"/>
      <c r="EGX36"/>
      <c r="EGY36"/>
      <c r="EGZ36"/>
      <c r="EHA36"/>
      <c r="EHB36"/>
      <c r="EHC36"/>
      <c r="EHD36"/>
      <c r="EHE36"/>
      <c r="EHF36"/>
      <c r="EHG36"/>
      <c r="EHH36"/>
      <c r="EHI36"/>
      <c r="EHJ36"/>
      <c r="EHK36"/>
      <c r="EHL36"/>
      <c r="EHM36"/>
      <c r="EHN36"/>
      <c r="EHO36"/>
      <c r="EHP36"/>
      <c r="EHQ36"/>
      <c r="EHR36"/>
      <c r="EHS36"/>
      <c r="EHT36"/>
      <c r="EHU36"/>
      <c r="EHV36"/>
      <c r="EHW36"/>
      <c r="EHX36"/>
      <c r="EHY36"/>
      <c r="EHZ36"/>
      <c r="EIA36"/>
      <c r="EIB36"/>
      <c r="EIC36"/>
      <c r="EID36"/>
      <c r="EIE36"/>
      <c r="EIF36"/>
      <c r="EIG36"/>
      <c r="EIH36"/>
      <c r="EII36"/>
      <c r="EIJ36"/>
      <c r="EIK36"/>
      <c r="EIL36"/>
      <c r="EIM36"/>
      <c r="EIN36"/>
      <c r="EIO36"/>
      <c r="EIP36"/>
      <c r="EIQ36"/>
      <c r="EIR36"/>
      <c r="EIS36"/>
      <c r="EIT36"/>
      <c r="EIU36"/>
      <c r="EIV36"/>
      <c r="EIW36"/>
      <c r="EIX36"/>
      <c r="EIY36"/>
      <c r="EIZ36"/>
      <c r="EJA36"/>
      <c r="EJB36"/>
      <c r="EJC36"/>
      <c r="EJD36"/>
      <c r="EJE36"/>
      <c r="EJF36"/>
      <c r="EJG36"/>
      <c r="EJH36"/>
      <c r="EJI36"/>
      <c r="EJJ36"/>
      <c r="EJK36"/>
      <c r="EJL36"/>
      <c r="EJM36"/>
      <c r="EJN36"/>
      <c r="EJO36"/>
      <c r="EJP36"/>
      <c r="EJQ36"/>
      <c r="EJR36"/>
      <c r="EJS36"/>
      <c r="EJT36"/>
      <c r="EJU36"/>
      <c r="EJV36"/>
      <c r="EJW36"/>
      <c r="EJX36"/>
      <c r="EJY36"/>
      <c r="EJZ36"/>
      <c r="EKA36"/>
      <c r="EKB36"/>
      <c r="EKC36"/>
      <c r="EKD36"/>
      <c r="EKE36"/>
      <c r="EKF36"/>
      <c r="EKG36"/>
      <c r="EKH36"/>
      <c r="EKI36"/>
      <c r="EKJ36"/>
      <c r="EKK36"/>
      <c r="EKL36"/>
      <c r="EKM36"/>
      <c r="EKN36"/>
      <c r="EKO36"/>
      <c r="EKP36"/>
      <c r="EKQ36"/>
      <c r="EKR36"/>
      <c r="EKS36"/>
      <c r="EKT36"/>
      <c r="EKU36"/>
      <c r="EKV36"/>
      <c r="EKW36"/>
      <c r="EKX36"/>
      <c r="EKY36"/>
      <c r="EKZ36"/>
      <c r="ELA36"/>
      <c r="ELB36"/>
      <c r="ELC36"/>
      <c r="ELD36"/>
      <c r="ELE36"/>
      <c r="ELF36"/>
      <c r="ELG36"/>
      <c r="ELH36"/>
      <c r="ELI36"/>
      <c r="ELJ36"/>
      <c r="ELK36"/>
      <c r="ELL36"/>
      <c r="ELM36"/>
      <c r="ELN36"/>
      <c r="ELO36"/>
      <c r="ELP36"/>
      <c r="ELQ36"/>
      <c r="ELR36"/>
      <c r="ELS36"/>
      <c r="ELT36"/>
      <c r="ELU36"/>
      <c r="ELV36"/>
      <c r="ELW36"/>
      <c r="ELX36"/>
      <c r="ELY36"/>
      <c r="ELZ36"/>
      <c r="EMA36"/>
      <c r="EMB36"/>
      <c r="EMC36"/>
      <c r="EMD36"/>
      <c r="EME36"/>
      <c r="EMF36"/>
      <c r="EMG36"/>
      <c r="EMH36"/>
      <c r="EMI36"/>
      <c r="EMJ36"/>
      <c r="EMK36"/>
      <c r="EML36"/>
      <c r="EMM36"/>
      <c r="EMN36"/>
      <c r="EMO36"/>
      <c r="EMP36"/>
      <c r="EMQ36"/>
      <c r="EMR36"/>
      <c r="EMS36"/>
      <c r="EMT36"/>
      <c r="EMU36"/>
      <c r="EMV36"/>
      <c r="EMW36"/>
      <c r="EMX36"/>
      <c r="EMY36"/>
      <c r="EMZ36"/>
      <c r="ENA36"/>
      <c r="ENB36"/>
      <c r="ENC36"/>
      <c r="END36"/>
      <c r="ENE36"/>
      <c r="ENF36"/>
      <c r="ENG36"/>
      <c r="ENH36"/>
      <c r="ENI36"/>
      <c r="ENJ36"/>
      <c r="ENK36"/>
      <c r="ENL36"/>
      <c r="ENM36"/>
      <c r="ENN36"/>
      <c r="ENO36"/>
      <c r="ENP36"/>
      <c r="ENQ36"/>
      <c r="ENR36"/>
      <c r="ENS36"/>
      <c r="ENT36"/>
      <c r="ENU36"/>
      <c r="ENV36"/>
      <c r="ENW36"/>
      <c r="ENX36"/>
      <c r="ENY36"/>
      <c r="ENZ36"/>
      <c r="EOA36"/>
      <c r="EOB36"/>
      <c r="EOC36"/>
      <c r="EOD36"/>
      <c r="EOE36"/>
      <c r="EOF36"/>
      <c r="EOG36"/>
      <c r="EOH36"/>
      <c r="EOI36"/>
      <c r="EOJ36"/>
      <c r="EOK36"/>
      <c r="EOL36"/>
      <c r="EOM36"/>
      <c r="EON36"/>
      <c r="EOO36"/>
      <c r="EOP36"/>
      <c r="EOQ36"/>
      <c r="EOR36"/>
      <c r="EOS36"/>
      <c r="EOT36"/>
      <c r="EOU36"/>
      <c r="EOV36"/>
      <c r="EOW36"/>
      <c r="EOX36"/>
      <c r="EOY36"/>
      <c r="EOZ36"/>
      <c r="EPA36"/>
      <c r="EPB36"/>
      <c r="EPC36"/>
      <c r="EPD36"/>
      <c r="EPE36"/>
      <c r="EPF36"/>
      <c r="EPG36"/>
      <c r="EPH36"/>
      <c r="EPI36"/>
      <c r="EPJ36"/>
      <c r="EPK36"/>
      <c r="EPL36"/>
      <c r="EPM36"/>
      <c r="EPN36"/>
      <c r="EPO36"/>
      <c r="EPP36"/>
      <c r="EPQ36"/>
      <c r="EPR36"/>
      <c r="EPS36"/>
      <c r="EPT36"/>
      <c r="EPU36"/>
      <c r="EPV36"/>
      <c r="EPW36"/>
      <c r="EPX36"/>
      <c r="EPY36"/>
      <c r="EPZ36"/>
      <c r="EQA36"/>
      <c r="EQB36"/>
      <c r="EQC36"/>
      <c r="EQD36"/>
      <c r="EQE36"/>
      <c r="EQF36"/>
      <c r="EQG36"/>
      <c r="EQH36"/>
      <c r="EQI36"/>
      <c r="EQJ36"/>
      <c r="EQK36"/>
      <c r="EQL36"/>
      <c r="EQM36"/>
      <c r="EQN36"/>
      <c r="EQO36"/>
      <c r="EQP36"/>
      <c r="EQQ36"/>
      <c r="EQR36"/>
      <c r="EQS36"/>
      <c r="EQT36"/>
      <c r="EQU36"/>
      <c r="EQV36"/>
      <c r="EQW36"/>
      <c r="EQX36"/>
      <c r="EQY36"/>
      <c r="EQZ36"/>
      <c r="ERA36"/>
      <c r="ERB36"/>
      <c r="ERC36"/>
      <c r="ERD36"/>
      <c r="ERE36"/>
      <c r="ERF36"/>
      <c r="ERG36"/>
      <c r="ERH36"/>
      <c r="ERI36"/>
      <c r="ERJ36"/>
      <c r="ERK36"/>
      <c r="ERL36"/>
      <c r="ERM36"/>
      <c r="ERN36"/>
      <c r="ERO36"/>
      <c r="ERP36"/>
      <c r="ERQ36"/>
      <c r="ERR36"/>
      <c r="ERS36"/>
      <c r="ERT36"/>
      <c r="ERU36"/>
      <c r="ERV36"/>
      <c r="ERW36"/>
      <c r="ERX36"/>
      <c r="ERY36"/>
      <c r="ERZ36"/>
      <c r="ESA36"/>
      <c r="ESB36"/>
      <c r="ESC36"/>
      <c r="ESD36"/>
      <c r="ESE36"/>
      <c r="ESF36"/>
      <c r="ESG36"/>
      <c r="ESH36"/>
      <c r="ESI36"/>
      <c r="ESJ36"/>
      <c r="ESK36"/>
      <c r="ESL36"/>
      <c r="ESM36"/>
      <c r="ESN36"/>
      <c r="ESO36"/>
      <c r="ESP36"/>
      <c r="ESQ36"/>
      <c r="ESR36"/>
      <c r="ESS36"/>
      <c r="EST36"/>
      <c r="ESU36"/>
      <c r="ESV36"/>
      <c r="ESW36"/>
      <c r="ESX36"/>
      <c r="ESY36"/>
      <c r="ESZ36"/>
      <c r="ETA36"/>
      <c r="ETB36"/>
      <c r="ETC36"/>
      <c r="ETD36"/>
      <c r="ETE36"/>
      <c r="ETF36"/>
      <c r="ETG36"/>
      <c r="ETH36"/>
      <c r="ETI36"/>
      <c r="ETJ36"/>
      <c r="ETK36"/>
      <c r="ETL36"/>
      <c r="ETM36"/>
      <c r="ETN36"/>
      <c r="ETO36"/>
      <c r="ETP36"/>
      <c r="ETQ36"/>
      <c r="ETR36"/>
      <c r="ETS36"/>
      <c r="ETT36"/>
      <c r="ETU36"/>
      <c r="ETV36"/>
      <c r="ETW36"/>
      <c r="ETX36"/>
      <c r="ETY36"/>
      <c r="ETZ36"/>
      <c r="EUA36"/>
      <c r="EUB36"/>
      <c r="EUC36"/>
      <c r="EUD36"/>
      <c r="EUE36"/>
      <c r="EUF36"/>
      <c r="EUG36"/>
      <c r="EUH36"/>
      <c r="EUI36"/>
      <c r="EUJ36"/>
      <c r="EUK36"/>
      <c r="EUL36"/>
      <c r="EUM36"/>
      <c r="EUN36"/>
      <c r="EUO36"/>
      <c r="EUP36"/>
      <c r="EUQ36"/>
      <c r="EUR36"/>
      <c r="EUS36"/>
      <c r="EUT36"/>
      <c r="EUU36"/>
      <c r="EUV36"/>
      <c r="EUW36"/>
      <c r="EUX36"/>
      <c r="EUY36"/>
      <c r="EUZ36"/>
      <c r="EVA36"/>
      <c r="EVB36"/>
      <c r="EVC36"/>
      <c r="EVD36"/>
      <c r="EVE36"/>
      <c r="EVF36"/>
      <c r="EVG36"/>
      <c r="EVH36"/>
      <c r="EVI36"/>
      <c r="EVJ36"/>
      <c r="EVK36"/>
      <c r="EVL36"/>
      <c r="EVM36"/>
      <c r="EVN36"/>
      <c r="EVO36"/>
      <c r="EVP36"/>
      <c r="EVQ36"/>
      <c r="EVR36"/>
      <c r="EVS36"/>
      <c r="EVT36"/>
      <c r="EVU36"/>
      <c r="EVV36"/>
      <c r="EVW36"/>
      <c r="EVX36"/>
      <c r="EVY36"/>
      <c r="EVZ36"/>
      <c r="EWA36"/>
      <c r="EWB36"/>
      <c r="EWC36"/>
      <c r="EWD36"/>
      <c r="EWE36"/>
      <c r="EWF36"/>
      <c r="EWG36"/>
      <c r="EWH36"/>
      <c r="EWI36"/>
      <c r="EWJ36"/>
      <c r="EWK36"/>
      <c r="EWL36"/>
      <c r="EWM36"/>
      <c r="EWN36"/>
      <c r="EWO36"/>
      <c r="EWP36"/>
      <c r="EWQ36"/>
      <c r="EWR36"/>
      <c r="EWS36"/>
      <c r="EWT36"/>
      <c r="EWU36"/>
      <c r="EWV36"/>
      <c r="EWW36"/>
      <c r="EWX36"/>
      <c r="EWY36"/>
      <c r="EWZ36"/>
      <c r="EXA36"/>
      <c r="EXB36"/>
      <c r="EXC36"/>
      <c r="EXD36"/>
      <c r="EXE36"/>
      <c r="EXF36"/>
      <c r="EXG36"/>
      <c r="EXH36"/>
      <c r="EXI36"/>
      <c r="EXJ36"/>
      <c r="EXK36"/>
      <c r="EXL36"/>
      <c r="EXM36"/>
      <c r="EXN36"/>
      <c r="EXO36"/>
      <c r="EXP36"/>
      <c r="EXQ36"/>
      <c r="EXR36"/>
      <c r="EXS36"/>
      <c r="EXT36"/>
      <c r="EXU36"/>
      <c r="EXV36"/>
      <c r="EXW36"/>
      <c r="EXX36"/>
      <c r="EXY36"/>
      <c r="EXZ36"/>
      <c r="EYA36"/>
      <c r="EYB36"/>
      <c r="EYC36"/>
      <c r="EYD36"/>
      <c r="EYE36"/>
      <c r="EYF36"/>
      <c r="EYG36"/>
      <c r="EYH36"/>
      <c r="EYI36"/>
      <c r="EYJ36"/>
      <c r="EYK36"/>
      <c r="EYL36"/>
      <c r="EYM36"/>
      <c r="EYN36"/>
      <c r="EYO36"/>
      <c r="EYP36"/>
      <c r="EYQ36"/>
      <c r="EYR36"/>
      <c r="EYS36"/>
      <c r="EYT36"/>
      <c r="EYU36"/>
      <c r="EYV36"/>
      <c r="EYW36"/>
      <c r="EYX36"/>
      <c r="EYY36"/>
      <c r="EYZ36"/>
      <c r="EZA36"/>
      <c r="EZB36"/>
      <c r="EZC36"/>
      <c r="EZD36"/>
      <c r="EZE36"/>
      <c r="EZF36"/>
      <c r="EZG36"/>
      <c r="EZH36"/>
      <c r="EZI36"/>
      <c r="EZJ36"/>
      <c r="EZK36"/>
      <c r="EZL36"/>
      <c r="EZM36"/>
      <c r="EZN36"/>
      <c r="EZO36"/>
      <c r="EZP36"/>
      <c r="EZQ36"/>
      <c r="EZR36"/>
      <c r="EZS36"/>
      <c r="EZT36"/>
      <c r="EZU36"/>
      <c r="EZV36"/>
      <c r="EZW36"/>
      <c r="EZX36"/>
      <c r="EZY36"/>
      <c r="EZZ36"/>
      <c r="FAA36"/>
      <c r="FAB36"/>
      <c r="FAC36"/>
      <c r="FAD36"/>
      <c r="FAE36"/>
      <c r="FAF36"/>
      <c r="FAG36"/>
      <c r="FAH36"/>
      <c r="FAI36"/>
      <c r="FAJ36"/>
      <c r="FAK36"/>
      <c r="FAL36"/>
      <c r="FAM36"/>
      <c r="FAN36"/>
      <c r="FAO36"/>
      <c r="FAP36"/>
      <c r="FAQ36"/>
      <c r="FAR36"/>
      <c r="FAS36"/>
      <c r="FAT36"/>
      <c r="FAU36"/>
      <c r="FAV36"/>
      <c r="FAW36"/>
      <c r="FAX36"/>
      <c r="FAY36"/>
      <c r="FAZ36"/>
      <c r="FBA36"/>
      <c r="FBB36"/>
      <c r="FBC36"/>
      <c r="FBD36"/>
      <c r="FBE36"/>
      <c r="FBF36"/>
      <c r="FBG36"/>
      <c r="FBH36"/>
      <c r="FBI36"/>
      <c r="FBJ36"/>
      <c r="FBK36"/>
      <c r="FBL36"/>
      <c r="FBM36"/>
      <c r="FBN36"/>
      <c r="FBO36"/>
      <c r="FBP36"/>
      <c r="FBQ36"/>
      <c r="FBR36"/>
      <c r="FBS36"/>
      <c r="FBT36"/>
      <c r="FBU36"/>
      <c r="FBV36"/>
      <c r="FBW36"/>
      <c r="FBX36"/>
      <c r="FBY36"/>
      <c r="FBZ36"/>
      <c r="FCA36"/>
      <c r="FCB36"/>
      <c r="FCC36"/>
      <c r="FCD36"/>
      <c r="FCE36"/>
      <c r="FCF36"/>
      <c r="FCG36"/>
      <c r="FCH36"/>
      <c r="FCI36"/>
      <c r="FCJ36"/>
      <c r="FCK36"/>
      <c r="FCL36"/>
      <c r="FCM36"/>
      <c r="FCN36"/>
      <c r="FCO36"/>
      <c r="FCP36"/>
      <c r="FCQ36"/>
      <c r="FCR36"/>
      <c r="FCS36"/>
      <c r="FCT36"/>
      <c r="FCU36"/>
      <c r="FCV36"/>
      <c r="FCW36"/>
      <c r="FCX36"/>
      <c r="FCY36"/>
      <c r="FCZ36"/>
      <c r="FDA36"/>
      <c r="FDB36"/>
      <c r="FDC36"/>
      <c r="FDD36"/>
      <c r="FDE36"/>
      <c r="FDF36"/>
      <c r="FDG36"/>
      <c r="FDH36"/>
      <c r="FDI36"/>
      <c r="FDJ36"/>
      <c r="FDK36"/>
      <c r="FDL36"/>
      <c r="FDM36"/>
      <c r="FDN36"/>
      <c r="FDO36"/>
      <c r="FDP36"/>
      <c r="FDQ36"/>
      <c r="FDR36"/>
      <c r="FDS36"/>
      <c r="FDT36"/>
      <c r="FDU36"/>
      <c r="FDV36"/>
      <c r="FDW36"/>
      <c r="FDX36"/>
      <c r="FDY36"/>
      <c r="FDZ36"/>
      <c r="FEA36"/>
      <c r="FEB36"/>
      <c r="FEC36"/>
      <c r="FED36"/>
      <c r="FEE36"/>
      <c r="FEF36"/>
      <c r="FEG36"/>
      <c r="FEH36"/>
      <c r="FEI36"/>
      <c r="FEJ36"/>
      <c r="FEK36"/>
      <c r="FEL36"/>
      <c r="FEM36"/>
      <c r="FEN36"/>
      <c r="FEO36"/>
      <c r="FEP36"/>
      <c r="FEQ36"/>
      <c r="FER36"/>
      <c r="FES36"/>
      <c r="FET36"/>
      <c r="FEU36"/>
      <c r="FEV36"/>
      <c r="FEW36"/>
      <c r="FEX36"/>
      <c r="FEY36"/>
      <c r="FEZ36"/>
      <c r="FFA36"/>
      <c r="FFB36"/>
      <c r="FFC36"/>
      <c r="FFD36"/>
      <c r="FFE36"/>
      <c r="FFF36"/>
      <c r="FFG36"/>
      <c r="FFH36"/>
      <c r="FFI36"/>
      <c r="FFJ36"/>
      <c r="FFK36"/>
      <c r="FFL36"/>
      <c r="FFM36"/>
      <c r="FFN36"/>
      <c r="FFO36"/>
      <c r="FFP36"/>
      <c r="FFQ36"/>
      <c r="FFR36"/>
      <c r="FFS36"/>
      <c r="FFT36"/>
      <c r="FFU36"/>
      <c r="FFV36"/>
      <c r="FFW36"/>
      <c r="FFX36"/>
      <c r="FFY36"/>
      <c r="FFZ36"/>
      <c r="FGA36"/>
      <c r="FGB36"/>
      <c r="FGC36"/>
      <c r="FGD36"/>
      <c r="FGE36"/>
      <c r="FGF36"/>
      <c r="FGG36"/>
      <c r="FGH36"/>
      <c r="FGI36"/>
      <c r="FGJ36"/>
      <c r="FGK36"/>
      <c r="FGL36"/>
      <c r="FGM36"/>
      <c r="FGN36"/>
      <c r="FGO36"/>
      <c r="FGP36"/>
      <c r="FGQ36"/>
      <c r="FGR36"/>
      <c r="FGS36"/>
      <c r="FGT36"/>
      <c r="FGU36"/>
      <c r="FGV36"/>
      <c r="FGW36"/>
      <c r="FGX36"/>
      <c r="FGY36"/>
      <c r="FGZ36"/>
      <c r="FHA36"/>
      <c r="FHB36"/>
      <c r="FHC36"/>
      <c r="FHD36"/>
      <c r="FHE36"/>
      <c r="FHF36"/>
      <c r="FHG36"/>
      <c r="FHH36"/>
      <c r="FHI36"/>
      <c r="FHJ36"/>
      <c r="FHK36"/>
      <c r="FHL36"/>
      <c r="FHM36"/>
      <c r="FHN36"/>
      <c r="FHO36"/>
      <c r="FHP36"/>
      <c r="FHQ36"/>
      <c r="FHR36"/>
      <c r="FHS36"/>
      <c r="FHT36"/>
      <c r="FHU36"/>
      <c r="FHV36"/>
      <c r="FHW36"/>
      <c r="FHX36"/>
      <c r="FHY36"/>
      <c r="FHZ36"/>
      <c r="FIA36"/>
      <c r="FIB36"/>
      <c r="FIC36"/>
      <c r="FID36"/>
      <c r="FIE36"/>
      <c r="FIF36"/>
      <c r="FIG36"/>
      <c r="FIH36"/>
      <c r="FII36"/>
      <c r="FIJ36"/>
      <c r="FIK36"/>
      <c r="FIL36"/>
      <c r="FIM36"/>
      <c r="FIN36"/>
      <c r="FIO36"/>
      <c r="FIP36"/>
      <c r="FIQ36"/>
      <c r="FIR36"/>
      <c r="FIS36"/>
      <c r="FIT36"/>
      <c r="FIU36"/>
      <c r="FIV36"/>
      <c r="FIW36"/>
      <c r="FIX36"/>
      <c r="FIY36"/>
      <c r="FIZ36"/>
      <c r="FJA36"/>
      <c r="FJB36"/>
      <c r="FJC36"/>
      <c r="FJD36"/>
      <c r="FJE36"/>
      <c r="FJF36"/>
      <c r="FJG36"/>
      <c r="FJH36"/>
      <c r="FJI36"/>
      <c r="FJJ36"/>
      <c r="FJK36"/>
      <c r="FJL36"/>
      <c r="FJM36"/>
      <c r="FJN36"/>
      <c r="FJO36"/>
      <c r="FJP36"/>
      <c r="FJQ36"/>
      <c r="FJR36"/>
      <c r="FJS36"/>
      <c r="FJT36"/>
      <c r="FJU36"/>
      <c r="FJV36"/>
      <c r="FJW36"/>
      <c r="FJX36"/>
      <c r="FJY36"/>
      <c r="FJZ36"/>
      <c r="FKA36"/>
      <c r="FKB36"/>
      <c r="FKC36"/>
      <c r="FKD36"/>
      <c r="FKE36"/>
      <c r="FKF36"/>
      <c r="FKG36"/>
      <c r="FKH36"/>
      <c r="FKI36"/>
      <c r="FKJ36"/>
      <c r="FKK36"/>
      <c r="FKL36"/>
      <c r="FKM36"/>
      <c r="FKN36"/>
      <c r="FKO36"/>
      <c r="FKP36"/>
      <c r="FKQ36"/>
      <c r="FKR36"/>
      <c r="FKS36"/>
      <c r="FKT36"/>
      <c r="FKU36"/>
      <c r="FKV36"/>
      <c r="FKW36"/>
      <c r="FKX36"/>
      <c r="FKY36"/>
      <c r="FKZ36"/>
      <c r="FLA36"/>
      <c r="FLB36"/>
      <c r="FLC36"/>
      <c r="FLD36"/>
      <c r="FLE36"/>
      <c r="FLF36"/>
      <c r="FLG36"/>
      <c r="FLH36"/>
      <c r="FLI36"/>
      <c r="FLJ36"/>
      <c r="FLK36"/>
      <c r="FLL36"/>
      <c r="FLM36"/>
      <c r="FLN36"/>
      <c r="FLO36"/>
      <c r="FLP36"/>
      <c r="FLQ36"/>
      <c r="FLR36"/>
      <c r="FLS36"/>
      <c r="FLT36"/>
      <c r="FLU36"/>
      <c r="FLV36"/>
      <c r="FLW36"/>
      <c r="FLX36"/>
      <c r="FLY36"/>
      <c r="FLZ36"/>
      <c r="FMA36"/>
      <c r="FMB36"/>
      <c r="FMC36"/>
      <c r="FMD36"/>
      <c r="FME36"/>
      <c r="FMF36"/>
      <c r="FMG36"/>
      <c r="FMH36"/>
      <c r="FMI36"/>
      <c r="FMJ36"/>
      <c r="FMK36"/>
      <c r="FML36"/>
      <c r="FMM36"/>
      <c r="FMN36"/>
      <c r="FMO36"/>
      <c r="FMP36"/>
      <c r="FMQ36"/>
      <c r="FMR36"/>
      <c r="FMS36"/>
      <c r="FMT36"/>
      <c r="FMU36"/>
      <c r="FMV36"/>
      <c r="FMW36"/>
      <c r="FMX36"/>
      <c r="FMY36"/>
      <c r="FMZ36"/>
      <c r="FNA36"/>
      <c r="FNB36"/>
      <c r="FNC36"/>
      <c r="FND36"/>
      <c r="FNE36"/>
      <c r="FNF36"/>
      <c r="FNG36"/>
      <c r="FNH36"/>
      <c r="FNI36"/>
      <c r="FNJ36"/>
      <c r="FNK36"/>
      <c r="FNL36"/>
      <c r="FNM36"/>
      <c r="FNN36"/>
      <c r="FNO36"/>
      <c r="FNP36"/>
      <c r="FNQ36"/>
      <c r="FNR36"/>
      <c r="FNS36"/>
      <c r="FNT36"/>
      <c r="FNU36"/>
      <c r="FNV36"/>
      <c r="FNW36"/>
      <c r="FNX36"/>
      <c r="FNY36"/>
      <c r="FNZ36"/>
      <c r="FOA36"/>
      <c r="FOB36"/>
      <c r="FOC36"/>
      <c r="FOD36"/>
      <c r="FOE36"/>
      <c r="FOF36"/>
      <c r="FOG36"/>
      <c r="FOH36"/>
      <c r="FOI36"/>
      <c r="FOJ36"/>
      <c r="FOK36"/>
      <c r="FOL36"/>
      <c r="FOM36"/>
      <c r="FON36"/>
      <c r="FOO36"/>
      <c r="FOP36"/>
      <c r="FOQ36"/>
      <c r="FOR36"/>
      <c r="FOS36"/>
      <c r="FOT36"/>
      <c r="FOU36"/>
      <c r="FOV36"/>
      <c r="FOW36"/>
      <c r="FOX36"/>
      <c r="FOY36"/>
      <c r="FOZ36"/>
      <c r="FPA36"/>
      <c r="FPB36"/>
      <c r="FPC36"/>
      <c r="FPD36"/>
      <c r="FPE36"/>
      <c r="FPF36"/>
      <c r="FPG36"/>
      <c r="FPH36"/>
      <c r="FPI36"/>
      <c r="FPJ36"/>
      <c r="FPK36"/>
      <c r="FPL36"/>
      <c r="FPM36"/>
      <c r="FPN36"/>
      <c r="FPO36"/>
      <c r="FPP36"/>
      <c r="FPQ36"/>
      <c r="FPR36"/>
      <c r="FPS36"/>
      <c r="FPT36"/>
      <c r="FPU36"/>
      <c r="FPV36"/>
      <c r="FPW36"/>
      <c r="FPX36"/>
      <c r="FPY36"/>
      <c r="FPZ36"/>
      <c r="FQA36"/>
      <c r="FQB36"/>
      <c r="FQC36"/>
      <c r="FQD36"/>
      <c r="FQE36"/>
      <c r="FQF36"/>
      <c r="FQG36"/>
      <c r="FQH36"/>
      <c r="FQI36"/>
      <c r="FQJ36"/>
      <c r="FQK36"/>
      <c r="FQL36"/>
      <c r="FQM36"/>
      <c r="FQN36"/>
      <c r="FQO36"/>
      <c r="FQP36"/>
      <c r="FQQ36"/>
      <c r="FQR36"/>
      <c r="FQS36"/>
      <c r="FQT36"/>
      <c r="FQU36"/>
      <c r="FQV36"/>
      <c r="FQW36"/>
      <c r="FQX36"/>
      <c r="FQY36"/>
      <c r="FQZ36"/>
      <c r="FRA36"/>
      <c r="FRB36"/>
      <c r="FRC36"/>
      <c r="FRD36"/>
      <c r="FRE36"/>
      <c r="FRF36"/>
      <c r="FRG36"/>
      <c r="FRH36"/>
      <c r="FRI36"/>
      <c r="FRJ36"/>
      <c r="FRK36"/>
      <c r="FRL36"/>
      <c r="FRM36"/>
      <c r="FRN36"/>
      <c r="FRO36"/>
      <c r="FRP36"/>
      <c r="FRQ36"/>
      <c r="FRR36"/>
      <c r="FRS36"/>
      <c r="FRT36"/>
      <c r="FRU36"/>
      <c r="FRV36"/>
      <c r="FRW36"/>
      <c r="FRX36"/>
      <c r="FRY36"/>
      <c r="FRZ36"/>
      <c r="FSA36"/>
      <c r="FSB36"/>
      <c r="FSC36"/>
      <c r="FSD36"/>
      <c r="FSE36"/>
      <c r="FSF36"/>
      <c r="FSG36"/>
      <c r="FSH36"/>
      <c r="FSI36"/>
      <c r="FSJ36"/>
      <c r="FSK36"/>
      <c r="FSL36"/>
      <c r="FSM36"/>
      <c r="FSN36"/>
      <c r="FSO36"/>
      <c r="FSP36"/>
      <c r="FSQ36"/>
      <c r="FSR36"/>
      <c r="FSS36"/>
      <c r="FST36"/>
      <c r="FSU36"/>
      <c r="FSV36"/>
      <c r="FSW36"/>
      <c r="FSX36"/>
      <c r="FSY36"/>
      <c r="FSZ36"/>
      <c r="FTA36"/>
      <c r="FTB36"/>
      <c r="FTC36"/>
      <c r="FTD36"/>
      <c r="FTE36"/>
      <c r="FTF36"/>
      <c r="FTG36"/>
      <c r="FTH36"/>
      <c r="FTI36"/>
      <c r="FTJ36"/>
      <c r="FTK36"/>
      <c r="FTL36"/>
      <c r="FTM36"/>
      <c r="FTN36"/>
      <c r="FTO36"/>
      <c r="FTP36"/>
      <c r="FTQ36"/>
      <c r="FTR36"/>
      <c r="FTS36"/>
      <c r="FTT36"/>
      <c r="FTU36"/>
      <c r="FTV36"/>
      <c r="FTW36"/>
      <c r="FTX36"/>
      <c r="FTY36"/>
      <c r="FTZ36"/>
      <c r="FUA36"/>
      <c r="FUB36"/>
      <c r="FUC36"/>
      <c r="FUD36"/>
      <c r="FUE36"/>
      <c r="FUF36"/>
      <c r="FUG36"/>
      <c r="FUH36"/>
      <c r="FUI36"/>
      <c r="FUJ36"/>
      <c r="FUK36"/>
      <c r="FUL36"/>
      <c r="FUM36"/>
      <c r="FUN36"/>
      <c r="FUO36"/>
      <c r="FUP36"/>
      <c r="FUQ36"/>
      <c r="FUR36"/>
      <c r="FUS36"/>
      <c r="FUT36"/>
      <c r="FUU36"/>
      <c r="FUV36"/>
      <c r="FUW36"/>
      <c r="FUX36"/>
      <c r="FUY36"/>
      <c r="FUZ36"/>
      <c r="FVA36"/>
      <c r="FVB36"/>
      <c r="FVC36"/>
      <c r="FVD36"/>
      <c r="FVE36"/>
      <c r="FVF36"/>
      <c r="FVG36"/>
      <c r="FVH36"/>
      <c r="FVI36"/>
      <c r="FVJ36"/>
      <c r="FVK36"/>
      <c r="FVL36"/>
      <c r="FVM36"/>
      <c r="FVN36"/>
      <c r="FVO36"/>
      <c r="FVP36"/>
      <c r="FVQ36"/>
      <c r="FVR36"/>
      <c r="FVS36"/>
      <c r="FVT36"/>
      <c r="FVU36"/>
      <c r="FVV36"/>
      <c r="FVW36"/>
      <c r="FVX36"/>
      <c r="FVY36"/>
      <c r="FVZ36"/>
      <c r="FWA36"/>
      <c r="FWB36"/>
      <c r="FWC36"/>
      <c r="FWD36"/>
      <c r="FWE36"/>
      <c r="FWF36"/>
      <c r="FWG36"/>
      <c r="FWH36"/>
      <c r="FWI36"/>
      <c r="FWJ36"/>
      <c r="FWK36"/>
      <c r="FWL36"/>
      <c r="FWM36"/>
      <c r="FWN36"/>
      <c r="FWO36"/>
      <c r="FWP36"/>
      <c r="FWQ36"/>
      <c r="FWR36"/>
      <c r="FWS36"/>
      <c r="FWT36"/>
      <c r="FWU36"/>
      <c r="FWV36"/>
      <c r="FWW36"/>
      <c r="FWX36"/>
      <c r="FWY36"/>
      <c r="FWZ36"/>
      <c r="FXA36"/>
      <c r="FXB36"/>
      <c r="FXC36"/>
      <c r="FXD36"/>
      <c r="FXE36"/>
      <c r="FXF36"/>
      <c r="FXG36"/>
      <c r="FXH36"/>
      <c r="FXI36"/>
      <c r="FXJ36"/>
      <c r="FXK36"/>
      <c r="FXL36"/>
      <c r="FXM36"/>
      <c r="FXN36"/>
      <c r="FXO36"/>
      <c r="FXP36"/>
      <c r="FXQ36"/>
      <c r="FXR36"/>
      <c r="FXS36"/>
      <c r="FXT36"/>
      <c r="FXU36"/>
      <c r="FXV36"/>
      <c r="FXW36"/>
      <c r="FXX36"/>
      <c r="FXY36"/>
      <c r="FXZ36"/>
      <c r="FYA36"/>
      <c r="FYB36"/>
      <c r="FYC36"/>
      <c r="FYD36"/>
      <c r="FYE36"/>
      <c r="FYF36"/>
      <c r="FYG36"/>
      <c r="FYH36"/>
      <c r="FYI36"/>
      <c r="FYJ36"/>
      <c r="FYK36"/>
      <c r="FYL36"/>
      <c r="FYM36"/>
      <c r="FYN36"/>
      <c r="FYO36"/>
      <c r="FYP36"/>
      <c r="FYQ36"/>
      <c r="FYR36"/>
      <c r="FYS36"/>
      <c r="FYT36"/>
      <c r="FYU36"/>
      <c r="FYV36"/>
      <c r="FYW36"/>
      <c r="FYX36"/>
      <c r="FYY36"/>
      <c r="FYZ36"/>
      <c r="FZA36"/>
      <c r="FZB36"/>
      <c r="FZC36"/>
      <c r="FZD36"/>
      <c r="FZE36"/>
      <c r="FZF36"/>
      <c r="FZG36"/>
      <c r="FZH36"/>
      <c r="FZI36"/>
      <c r="FZJ36"/>
      <c r="FZK36"/>
      <c r="FZL36"/>
      <c r="FZM36"/>
      <c r="FZN36"/>
      <c r="FZO36"/>
      <c r="FZP36"/>
      <c r="FZQ36"/>
      <c r="FZR36"/>
      <c r="FZS36"/>
      <c r="FZT36"/>
      <c r="FZU36"/>
      <c r="FZV36"/>
      <c r="FZW36"/>
      <c r="FZX36"/>
      <c r="FZY36"/>
      <c r="FZZ36"/>
      <c r="GAA36"/>
      <c r="GAB36"/>
      <c r="GAC36"/>
      <c r="GAD36"/>
      <c r="GAE36"/>
      <c r="GAF36"/>
      <c r="GAG36"/>
      <c r="GAH36"/>
      <c r="GAI36"/>
      <c r="GAJ36"/>
      <c r="GAK36"/>
      <c r="GAL36"/>
      <c r="GAM36"/>
      <c r="GAN36"/>
      <c r="GAO36"/>
      <c r="GAP36"/>
      <c r="GAQ36"/>
      <c r="GAR36"/>
      <c r="GAS36"/>
      <c r="GAT36"/>
      <c r="GAU36"/>
      <c r="GAV36"/>
      <c r="GAW36"/>
      <c r="GAX36"/>
      <c r="GAY36"/>
      <c r="GAZ36"/>
      <c r="GBA36"/>
      <c r="GBB36"/>
      <c r="GBC36"/>
      <c r="GBD36"/>
      <c r="GBE36"/>
      <c r="GBF36"/>
      <c r="GBG36"/>
    </row>
    <row r="37" spans="1:4791" x14ac:dyDescent="0.25">
      <c r="A37" s="1" t="s">
        <v>2405</v>
      </c>
      <c r="B37" s="1">
        <v>186568.95000000007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/>
      <c r="AND37"/>
      <c r="ANE37"/>
      <c r="ANF37"/>
      <c r="ANG37"/>
      <c r="ANH37"/>
      <c r="ANI37"/>
      <c r="ANJ37"/>
      <c r="ANK37"/>
      <c r="ANL37"/>
      <c r="ANM37"/>
      <c r="ANN37"/>
      <c r="ANO37"/>
      <c r="ANP37"/>
      <c r="ANQ37"/>
      <c r="ANR37"/>
      <c r="ANS37"/>
      <c r="ANT37"/>
      <c r="ANU37"/>
      <c r="ANV37"/>
      <c r="ANW37"/>
      <c r="ANX37"/>
      <c r="ANY37"/>
      <c r="ANZ37"/>
      <c r="AOA37"/>
      <c r="AOB37"/>
      <c r="AOC37"/>
      <c r="AOD37"/>
      <c r="AOE37"/>
      <c r="AOF37"/>
      <c r="AOG37"/>
      <c r="AOH37"/>
      <c r="AOI37"/>
      <c r="AOJ37"/>
      <c r="AOK37"/>
      <c r="AOL37"/>
      <c r="AOM37"/>
      <c r="AON37"/>
      <c r="AOO37"/>
      <c r="AOP37"/>
      <c r="AOQ37"/>
      <c r="AOR37"/>
      <c r="AOS37"/>
      <c r="AOT37"/>
      <c r="AOU37"/>
      <c r="AOV37"/>
      <c r="AOW37"/>
      <c r="AOX37"/>
      <c r="AOY37"/>
      <c r="AOZ37"/>
      <c r="APA37"/>
      <c r="APB37"/>
      <c r="APC37"/>
      <c r="APD37"/>
      <c r="APE37"/>
      <c r="APF37"/>
      <c r="APG37"/>
      <c r="APH37"/>
      <c r="API37"/>
      <c r="APJ37"/>
      <c r="APK37"/>
      <c r="APL37"/>
      <c r="APM37"/>
      <c r="APN37"/>
      <c r="APO37"/>
      <c r="APP37"/>
      <c r="APQ37"/>
      <c r="APR37"/>
      <c r="APS37"/>
      <c r="APT37"/>
      <c r="APU37"/>
      <c r="APV37"/>
      <c r="APW37"/>
      <c r="APX37"/>
      <c r="APY37"/>
      <c r="APZ37"/>
      <c r="AQA37"/>
      <c r="AQB37"/>
      <c r="AQC37"/>
      <c r="AQD37"/>
      <c r="AQE37"/>
      <c r="AQF37"/>
      <c r="AQG37"/>
      <c r="AQH37"/>
      <c r="AQI37"/>
      <c r="AQJ37"/>
      <c r="AQK37"/>
      <c r="AQL37"/>
      <c r="AQM37"/>
      <c r="AQN37"/>
      <c r="AQO37"/>
      <c r="AQP37"/>
      <c r="AQQ37"/>
      <c r="AQR37"/>
      <c r="AQS37"/>
      <c r="AQT37"/>
      <c r="AQU37"/>
      <c r="AQV37"/>
      <c r="AQW37"/>
      <c r="AQX37"/>
      <c r="AQY37"/>
      <c r="AQZ37"/>
      <c r="ARA37"/>
      <c r="ARB37"/>
      <c r="ARC37"/>
      <c r="ARD37"/>
      <c r="ARE37"/>
      <c r="ARF37"/>
      <c r="ARG37"/>
      <c r="ARH37"/>
      <c r="ARI37"/>
      <c r="ARJ37"/>
      <c r="ARK37"/>
      <c r="ARL37"/>
      <c r="ARM37"/>
      <c r="ARN37"/>
      <c r="ARO37"/>
      <c r="ARP37"/>
      <c r="ARQ37"/>
      <c r="ARR37"/>
      <c r="ARS37"/>
      <c r="ART37"/>
      <c r="ARU37"/>
      <c r="ARV37"/>
      <c r="ARW37"/>
      <c r="ARX37"/>
      <c r="ARY37"/>
      <c r="ARZ37"/>
      <c r="ASA37"/>
      <c r="ASB37"/>
      <c r="ASC37"/>
      <c r="ASD37"/>
      <c r="ASE37"/>
      <c r="ASF37"/>
      <c r="ASG37"/>
      <c r="ASH37"/>
      <c r="ASI37"/>
      <c r="ASJ37"/>
      <c r="ASK37"/>
      <c r="ASL37"/>
      <c r="ASM37"/>
      <c r="ASN37"/>
      <c r="ASO37"/>
      <c r="ASP37"/>
      <c r="ASQ37"/>
      <c r="ASR37"/>
      <c r="ASS37"/>
      <c r="AST37"/>
      <c r="ASU37"/>
      <c r="ASV37"/>
      <c r="ASW37"/>
      <c r="ASX37"/>
      <c r="ASY37"/>
      <c r="ASZ37"/>
      <c r="ATA37"/>
      <c r="ATB37"/>
      <c r="ATC37"/>
      <c r="ATD37"/>
      <c r="ATE37"/>
      <c r="ATF37"/>
      <c r="ATG37"/>
      <c r="ATH37"/>
      <c r="ATI37"/>
      <c r="ATJ37"/>
      <c r="ATK37"/>
      <c r="ATL37"/>
      <c r="ATM37"/>
      <c r="ATN37"/>
      <c r="ATO37"/>
      <c r="ATP37"/>
      <c r="ATQ37"/>
      <c r="ATR37"/>
      <c r="ATS37"/>
      <c r="ATT37"/>
      <c r="ATU37"/>
      <c r="ATV37"/>
      <c r="ATW37"/>
      <c r="ATX37"/>
      <c r="ATY37"/>
      <c r="ATZ37"/>
      <c r="AUA37"/>
      <c r="AUB37"/>
      <c r="AUC37"/>
      <c r="AUD37"/>
      <c r="AUE37"/>
      <c r="AUF37"/>
      <c r="AUG37"/>
      <c r="AUH37"/>
      <c r="AUI37"/>
      <c r="AUJ37"/>
      <c r="AUK37"/>
      <c r="AUL37"/>
      <c r="AUM37"/>
      <c r="AUN37"/>
      <c r="AUO37"/>
      <c r="AUP37"/>
      <c r="AUQ37"/>
      <c r="AUR37"/>
      <c r="AUS37"/>
      <c r="AUT37"/>
      <c r="AUU37"/>
      <c r="AUV37"/>
      <c r="AUW37"/>
      <c r="AUX37"/>
      <c r="AUY37"/>
      <c r="AUZ37"/>
      <c r="AVA37"/>
      <c r="AVB37"/>
      <c r="AVC37"/>
      <c r="AVD37"/>
      <c r="AVE37"/>
      <c r="AVF37"/>
      <c r="AVG37"/>
      <c r="AVH37"/>
      <c r="AVI37"/>
      <c r="AVJ37"/>
      <c r="AVK37"/>
      <c r="AVL37"/>
      <c r="AVM37"/>
      <c r="AVN37"/>
      <c r="AVO37"/>
      <c r="AVP37"/>
      <c r="AVQ37"/>
      <c r="AVR37"/>
      <c r="AVS37"/>
      <c r="AVT37"/>
      <c r="AVU37"/>
      <c r="AVV37"/>
      <c r="AVW37"/>
      <c r="AVX37"/>
      <c r="AVY37"/>
      <c r="AVZ37"/>
      <c r="AWA37"/>
      <c r="AWB37"/>
      <c r="AWC37"/>
      <c r="AWD37"/>
      <c r="AWE37"/>
      <c r="AWF37"/>
      <c r="AWG37"/>
      <c r="AWH37"/>
      <c r="AWI37"/>
      <c r="AWJ37"/>
      <c r="AWK37"/>
      <c r="AWL37"/>
      <c r="AWM37"/>
      <c r="AWN37"/>
      <c r="AWO37"/>
      <c r="AWP37"/>
      <c r="AWQ37"/>
      <c r="AWR37"/>
      <c r="AWS37"/>
      <c r="AWT37"/>
      <c r="AWU37"/>
      <c r="AWV37"/>
      <c r="AWW37"/>
      <c r="AWX37"/>
      <c r="AWY37"/>
      <c r="AWZ37"/>
      <c r="AXA37"/>
      <c r="AXB37"/>
      <c r="AXC37"/>
      <c r="AXD37"/>
      <c r="AXE37"/>
      <c r="AXF37"/>
      <c r="AXG37"/>
      <c r="AXH37"/>
      <c r="AXI37"/>
      <c r="AXJ37"/>
      <c r="AXK37"/>
      <c r="AXL37"/>
      <c r="AXM37"/>
      <c r="AXN37"/>
      <c r="AXO37"/>
      <c r="AXP37"/>
      <c r="AXQ37"/>
      <c r="AXR37"/>
      <c r="AXS37"/>
      <c r="AXT37"/>
      <c r="AXU37"/>
      <c r="AXV37"/>
      <c r="AXW37"/>
      <c r="AXX37"/>
      <c r="AXY37"/>
      <c r="AXZ37"/>
      <c r="AYA37"/>
      <c r="AYB37"/>
      <c r="AYC37"/>
      <c r="AYD37"/>
      <c r="AYE37"/>
      <c r="AYF37"/>
      <c r="AYG37"/>
      <c r="AYH37"/>
      <c r="AYI37"/>
      <c r="AYJ37"/>
      <c r="AYK37"/>
      <c r="AYL37"/>
      <c r="AYM37"/>
      <c r="AYN37"/>
      <c r="AYO37"/>
      <c r="AYP37"/>
      <c r="AYQ37"/>
      <c r="AYR37"/>
      <c r="AYS37"/>
      <c r="AYT37"/>
      <c r="AYU37"/>
      <c r="AYV37"/>
      <c r="AYW37"/>
      <c r="AYX37"/>
      <c r="AYY37"/>
      <c r="AYZ37"/>
      <c r="AZA37"/>
      <c r="AZB37"/>
      <c r="AZC37"/>
      <c r="AZD37"/>
      <c r="AZE37"/>
      <c r="AZF37"/>
      <c r="AZG37"/>
      <c r="AZH37"/>
      <c r="AZI37"/>
      <c r="AZJ37"/>
      <c r="AZK37"/>
      <c r="AZL37"/>
      <c r="AZM37"/>
      <c r="AZN37"/>
      <c r="AZO37"/>
      <c r="AZP37"/>
      <c r="AZQ37"/>
      <c r="AZR37"/>
      <c r="AZS37"/>
      <c r="AZT37"/>
      <c r="AZU37"/>
      <c r="AZV37"/>
      <c r="AZW37"/>
      <c r="AZX37"/>
      <c r="AZY37"/>
      <c r="AZZ37"/>
      <c r="BAA37"/>
      <c r="BAB37"/>
      <c r="BAC37"/>
      <c r="BAD37"/>
      <c r="BAE37"/>
      <c r="BAF37"/>
      <c r="BAG37"/>
      <c r="BAH37"/>
      <c r="BAI37"/>
      <c r="BAJ37"/>
      <c r="BAK37"/>
      <c r="BAL37"/>
      <c r="BAM37"/>
      <c r="BAN37"/>
      <c r="BAO37"/>
      <c r="BAP37"/>
      <c r="BAQ37"/>
      <c r="BAR37"/>
      <c r="BAS37"/>
      <c r="BAT37"/>
      <c r="BAU37"/>
      <c r="BAV37"/>
      <c r="BAW37"/>
      <c r="BAX37"/>
      <c r="BAY37"/>
      <c r="BAZ37"/>
      <c r="BBA37"/>
      <c r="BBB37"/>
      <c r="BBC37"/>
      <c r="BBD37"/>
      <c r="BBE37"/>
      <c r="BBF37"/>
      <c r="BBG37"/>
      <c r="BBH37"/>
      <c r="BBI37"/>
      <c r="BBJ37"/>
      <c r="BBK37"/>
      <c r="BBL37"/>
      <c r="BBM37"/>
      <c r="BBN37"/>
      <c r="BBO37"/>
      <c r="BBP37"/>
      <c r="BBQ37"/>
      <c r="BBR37"/>
      <c r="BBS37"/>
      <c r="BBT37"/>
      <c r="BBU37"/>
      <c r="BBV37"/>
      <c r="BBW37"/>
      <c r="BBX37"/>
      <c r="BBY37"/>
      <c r="BBZ37"/>
      <c r="BCA37"/>
      <c r="BCB37"/>
      <c r="BCC37"/>
      <c r="BCD37"/>
      <c r="BCE37"/>
      <c r="BCF37"/>
      <c r="BCG37"/>
      <c r="BCH37"/>
      <c r="BCI37"/>
      <c r="BCJ37"/>
      <c r="BCK37"/>
      <c r="BCL37"/>
      <c r="BCM37"/>
      <c r="BCN37"/>
      <c r="BCO37"/>
      <c r="BCP37"/>
      <c r="BCQ37"/>
      <c r="BCR37"/>
      <c r="BCS37"/>
      <c r="BCT37"/>
      <c r="BCU37"/>
      <c r="BCV37"/>
      <c r="BCW37"/>
      <c r="BCX37"/>
      <c r="BCY37"/>
      <c r="BCZ37"/>
      <c r="BDA37"/>
      <c r="BDB37"/>
      <c r="BDC37"/>
      <c r="BDD37"/>
      <c r="BDE37"/>
      <c r="BDF37"/>
      <c r="BDG37"/>
      <c r="BDH37"/>
      <c r="BDI37"/>
      <c r="BDJ37"/>
      <c r="BDK37"/>
      <c r="BDL37"/>
      <c r="BDM37"/>
      <c r="BDN37"/>
      <c r="BDO37"/>
      <c r="BDP37"/>
      <c r="BDQ37"/>
      <c r="BDR37"/>
      <c r="BDS37"/>
      <c r="BDT37"/>
      <c r="BDU37"/>
      <c r="BDV37"/>
      <c r="BDW37"/>
      <c r="BDX37"/>
      <c r="BDY37"/>
      <c r="BDZ37"/>
      <c r="BEA37"/>
      <c r="BEB37"/>
      <c r="BEC37"/>
      <c r="BED37"/>
      <c r="BEE37"/>
      <c r="BEF37"/>
      <c r="BEG37"/>
      <c r="BEH37"/>
      <c r="BEI37"/>
      <c r="BEJ37"/>
      <c r="BEK37"/>
      <c r="BEL37"/>
      <c r="BEM37"/>
      <c r="BEN37"/>
      <c r="BEO37"/>
      <c r="BEP37"/>
      <c r="BEQ37"/>
      <c r="BER37"/>
      <c r="BES37"/>
      <c r="BET37"/>
      <c r="BEU37"/>
      <c r="BEV37"/>
      <c r="BEW37"/>
      <c r="BEX37"/>
      <c r="BEY37"/>
      <c r="BEZ37"/>
      <c r="BFA37"/>
      <c r="BFB37"/>
      <c r="BFC37"/>
      <c r="BFD37"/>
      <c r="BFE37"/>
      <c r="BFF37"/>
      <c r="BFG37"/>
      <c r="BFH37"/>
      <c r="BFI37"/>
      <c r="BFJ37"/>
      <c r="BFK37"/>
      <c r="BFL37"/>
      <c r="BFM37"/>
      <c r="BFN37"/>
      <c r="BFO37"/>
      <c r="BFP37"/>
      <c r="BFQ37"/>
      <c r="BFR37"/>
      <c r="BFS37"/>
      <c r="BFT37"/>
      <c r="BFU37"/>
      <c r="BFV37"/>
      <c r="BFW37"/>
      <c r="BFX37"/>
      <c r="BFY37"/>
      <c r="BFZ37"/>
      <c r="BGA37"/>
      <c r="BGB37"/>
      <c r="BGC37"/>
      <c r="BGD37"/>
      <c r="BGE37"/>
      <c r="BGF37"/>
      <c r="BGG37"/>
      <c r="BGH37"/>
      <c r="BGI37"/>
      <c r="BGJ37"/>
      <c r="BGK37"/>
      <c r="BGL37"/>
      <c r="BGM37"/>
      <c r="BGN37"/>
      <c r="BGO37"/>
      <c r="BGP37"/>
      <c r="BGQ37"/>
      <c r="BGR37"/>
      <c r="BGS37"/>
      <c r="BGT37"/>
      <c r="BGU37"/>
      <c r="BGV37"/>
      <c r="BGW37"/>
      <c r="BGX37"/>
      <c r="BGY37"/>
      <c r="BGZ37"/>
      <c r="BHA37"/>
      <c r="BHB37"/>
      <c r="BHC37"/>
      <c r="BHD37"/>
      <c r="BHE37"/>
      <c r="BHF37"/>
      <c r="BHG37"/>
      <c r="BHH37"/>
      <c r="BHI37"/>
      <c r="BHJ37"/>
      <c r="BHK37"/>
      <c r="BHL37"/>
      <c r="BHM37"/>
      <c r="BHN37"/>
      <c r="BHO37"/>
      <c r="BHP37"/>
      <c r="BHQ37"/>
      <c r="BHR37"/>
      <c r="BHS37"/>
      <c r="BHT37"/>
      <c r="BHU37"/>
      <c r="BHV37"/>
      <c r="BHW37"/>
      <c r="BHX37"/>
      <c r="BHY37"/>
      <c r="BHZ37"/>
      <c r="BIA37"/>
      <c r="BIB37"/>
      <c r="BIC37"/>
      <c r="BID37"/>
      <c r="BIE37"/>
      <c r="BIF37"/>
      <c r="BIG37"/>
      <c r="BIH37"/>
      <c r="BII37"/>
      <c r="BIJ37"/>
      <c r="BIK37"/>
      <c r="BIL37"/>
      <c r="BIM37"/>
      <c r="BIN37"/>
      <c r="BIO37"/>
      <c r="BIP37"/>
      <c r="BIQ37"/>
      <c r="BIR37"/>
      <c r="BIS37"/>
      <c r="BIT37"/>
      <c r="BIU37"/>
      <c r="BIV37"/>
      <c r="BIW37"/>
      <c r="BIX37"/>
      <c r="BIY37"/>
      <c r="BIZ37"/>
      <c r="BJA37"/>
      <c r="BJB37"/>
      <c r="BJC37"/>
      <c r="BJD37"/>
      <c r="BJE37"/>
      <c r="BJF37"/>
      <c r="BJG37"/>
      <c r="BJH37"/>
      <c r="BJI37"/>
      <c r="BJJ37"/>
      <c r="BJK37"/>
      <c r="BJL37"/>
      <c r="BJM37"/>
      <c r="BJN37"/>
      <c r="BJO37"/>
      <c r="BJP37"/>
      <c r="BJQ37"/>
      <c r="BJR37"/>
      <c r="BJS37"/>
      <c r="BJT37"/>
      <c r="BJU37"/>
      <c r="BJV37"/>
      <c r="BJW37"/>
      <c r="BJX37"/>
      <c r="BJY37"/>
      <c r="BJZ37"/>
      <c r="BKA37"/>
      <c r="BKB37"/>
      <c r="BKC37"/>
      <c r="BKD37"/>
      <c r="BKE37"/>
      <c r="BKF37"/>
      <c r="BKG37"/>
      <c r="BKH37"/>
      <c r="BKI37"/>
      <c r="BKJ37"/>
      <c r="BKK37"/>
      <c r="BKL37"/>
      <c r="BKM37"/>
      <c r="BKN37"/>
      <c r="BKO37"/>
      <c r="BKP37"/>
      <c r="BKQ37"/>
      <c r="BKR37"/>
      <c r="BKS37"/>
      <c r="BKT37"/>
      <c r="BKU37"/>
      <c r="BKV37"/>
      <c r="BKW37"/>
      <c r="BKX37"/>
      <c r="BKY37"/>
      <c r="BKZ37"/>
      <c r="BLA37"/>
      <c r="BLB37"/>
      <c r="BLC37"/>
      <c r="BLD37"/>
      <c r="BLE37"/>
      <c r="BLF37"/>
      <c r="BLG37"/>
      <c r="BLH37"/>
      <c r="BLI37"/>
      <c r="BLJ37"/>
      <c r="BLK37"/>
      <c r="BLL37"/>
      <c r="BLM37"/>
      <c r="BLN37"/>
      <c r="BLO37"/>
      <c r="BLP37"/>
      <c r="BLQ37"/>
      <c r="BLR37"/>
      <c r="BLS37"/>
      <c r="BLT37"/>
      <c r="BLU37"/>
      <c r="BLV37"/>
      <c r="BLW37"/>
      <c r="BLX37"/>
      <c r="BLY37"/>
      <c r="BLZ37"/>
      <c r="BMA37"/>
      <c r="BMB37"/>
      <c r="BMC37"/>
      <c r="BMD37"/>
      <c r="BME37"/>
      <c r="BMF37"/>
      <c r="BMG37"/>
      <c r="BMH37"/>
      <c r="BMI37"/>
      <c r="BMJ37"/>
      <c r="BMK37"/>
      <c r="BML37"/>
      <c r="BMM37"/>
      <c r="BMN37"/>
      <c r="BMO37"/>
      <c r="BMP37"/>
      <c r="BMQ37"/>
      <c r="BMR37"/>
      <c r="BMS37"/>
      <c r="BMT37"/>
      <c r="BMU37"/>
      <c r="BMV37"/>
      <c r="BMW37"/>
      <c r="BMX37"/>
      <c r="BMY37"/>
      <c r="BMZ37"/>
      <c r="BNA37"/>
      <c r="BNB37"/>
      <c r="BNC37"/>
      <c r="BND37"/>
      <c r="BNE37"/>
      <c r="BNF37"/>
      <c r="BNG37"/>
      <c r="BNH37"/>
      <c r="BNI37"/>
      <c r="BNJ37"/>
      <c r="BNK37"/>
      <c r="BNL37"/>
      <c r="BNM37"/>
      <c r="BNN37"/>
      <c r="BNO37"/>
      <c r="BNP37"/>
      <c r="BNQ37"/>
      <c r="BNR37"/>
      <c r="BNS37"/>
      <c r="BNT37"/>
      <c r="BNU37"/>
      <c r="BNV37"/>
      <c r="BNW37"/>
      <c r="BNX37"/>
      <c r="BNY37"/>
      <c r="BNZ37"/>
      <c r="BOA37"/>
      <c r="BOB37"/>
      <c r="BOC37"/>
      <c r="BOD37"/>
      <c r="BOE37"/>
      <c r="BOF37"/>
      <c r="BOG37"/>
      <c r="BOH37"/>
      <c r="BOI37"/>
      <c r="BOJ37"/>
      <c r="BOK37"/>
      <c r="BOL37"/>
      <c r="BOM37"/>
      <c r="BON37"/>
      <c r="BOO37"/>
      <c r="BOP37"/>
      <c r="BOQ37"/>
      <c r="BOR37"/>
      <c r="BOS37"/>
      <c r="BOT37"/>
      <c r="BOU37"/>
      <c r="BOV37"/>
      <c r="BOW37"/>
      <c r="BOX37"/>
      <c r="BOY37"/>
      <c r="BOZ37"/>
      <c r="BPA37"/>
      <c r="BPB37"/>
      <c r="BPC37"/>
      <c r="BPD37"/>
      <c r="BPE37"/>
      <c r="BPF37"/>
      <c r="BPG37"/>
      <c r="BPH37"/>
      <c r="BPI37"/>
      <c r="BPJ37"/>
      <c r="BPK37"/>
      <c r="BPL37"/>
      <c r="BPM37"/>
      <c r="BPN37"/>
      <c r="BPO37"/>
      <c r="BPP37"/>
      <c r="BPQ37"/>
      <c r="BPR37"/>
      <c r="BPS37"/>
      <c r="BPT37"/>
      <c r="BPU37"/>
      <c r="BPV37"/>
      <c r="BPW37"/>
      <c r="BPX37"/>
      <c r="BPY37"/>
      <c r="BPZ37"/>
      <c r="BQA37"/>
      <c r="BQB37"/>
      <c r="BQC37"/>
      <c r="BQD37"/>
      <c r="BQE37"/>
      <c r="BQF37"/>
      <c r="BQG37"/>
      <c r="BQH37"/>
      <c r="BQI37"/>
      <c r="BQJ37"/>
      <c r="BQK37"/>
      <c r="BQL37"/>
      <c r="BQM37"/>
      <c r="BQN37"/>
      <c r="BQO37"/>
      <c r="BQP37"/>
      <c r="BQQ37"/>
      <c r="BQR37"/>
      <c r="BQS37"/>
      <c r="BQT37"/>
      <c r="BQU37"/>
      <c r="BQV37"/>
      <c r="BQW37"/>
      <c r="BQX37"/>
      <c r="BQY37"/>
      <c r="BQZ37"/>
      <c r="BRA37"/>
      <c r="BRB37"/>
      <c r="BRC37"/>
      <c r="BRD37"/>
      <c r="BRE37"/>
      <c r="BRF37"/>
      <c r="BRG37"/>
      <c r="BRH37"/>
      <c r="BRI37"/>
      <c r="BRJ37"/>
      <c r="BRK37"/>
      <c r="BRL37"/>
      <c r="BRM37"/>
      <c r="BRN37"/>
      <c r="BRO37"/>
      <c r="BRP37"/>
      <c r="BRQ37"/>
      <c r="BRR37"/>
      <c r="BRS37"/>
      <c r="BRT37"/>
      <c r="BRU37"/>
      <c r="BRV37"/>
      <c r="BRW37"/>
      <c r="BRX37"/>
      <c r="BRY37"/>
      <c r="BRZ37"/>
      <c r="BSA37"/>
      <c r="BSB37"/>
      <c r="BSC37"/>
      <c r="BSD37"/>
      <c r="BSE37"/>
      <c r="BSF37"/>
      <c r="BSG37"/>
      <c r="BSH37"/>
      <c r="BSI37"/>
      <c r="BSJ37"/>
      <c r="BSK37"/>
      <c r="BSL37"/>
      <c r="BSM37"/>
      <c r="BSN37"/>
      <c r="BSO37"/>
      <c r="BSP37"/>
      <c r="BSQ37"/>
      <c r="BSR37"/>
      <c r="BSS37"/>
      <c r="BST37"/>
      <c r="BSU37"/>
      <c r="BSV37"/>
      <c r="BSW37"/>
      <c r="BSX37"/>
      <c r="BSY37"/>
      <c r="BSZ37"/>
      <c r="BTA37"/>
      <c r="BTB37"/>
      <c r="BTC37"/>
      <c r="BTD37"/>
      <c r="BTE37"/>
      <c r="BTF37"/>
      <c r="BTG37"/>
      <c r="BTH37"/>
      <c r="BTI37"/>
      <c r="BTJ37"/>
      <c r="BTK37"/>
      <c r="BTL37"/>
      <c r="BTM37"/>
      <c r="BTN37"/>
      <c r="BTO37"/>
      <c r="BTP37"/>
      <c r="BTQ37"/>
      <c r="BTR37"/>
      <c r="BTS37"/>
      <c r="BTT37"/>
      <c r="BTU37"/>
      <c r="BTV37"/>
      <c r="BTW37"/>
      <c r="BTX37"/>
      <c r="BTY37"/>
      <c r="BTZ37"/>
      <c r="BUA37"/>
      <c r="BUB37"/>
      <c r="BUC37"/>
      <c r="BUD37"/>
      <c r="BUE37"/>
      <c r="BUF37"/>
      <c r="BUG37"/>
      <c r="BUH37"/>
      <c r="BUI37"/>
      <c r="BUJ37"/>
      <c r="BUK37"/>
      <c r="BUL37"/>
      <c r="BUM37"/>
      <c r="BUN37"/>
      <c r="BUO37"/>
      <c r="BUP37"/>
      <c r="BUQ37"/>
      <c r="BUR37"/>
      <c r="BUS37"/>
      <c r="BUT37"/>
      <c r="BUU37"/>
      <c r="BUV37"/>
      <c r="BUW37"/>
      <c r="BUX37"/>
      <c r="BUY37"/>
      <c r="BUZ37"/>
      <c r="BVA37"/>
      <c r="BVB37"/>
      <c r="BVC37"/>
      <c r="BVD37"/>
      <c r="BVE37"/>
      <c r="BVF37"/>
      <c r="BVG37"/>
      <c r="BVH37"/>
      <c r="BVI37"/>
      <c r="BVJ37"/>
      <c r="BVK37"/>
      <c r="BVL37"/>
      <c r="BVM37"/>
      <c r="BVN37"/>
      <c r="BVO37"/>
      <c r="BVP37"/>
      <c r="BVQ37"/>
      <c r="BVR37"/>
      <c r="BVS37"/>
      <c r="BVT37"/>
      <c r="BVU37"/>
      <c r="BVV37"/>
      <c r="BVW37"/>
      <c r="BVX37"/>
      <c r="BVY37"/>
      <c r="BVZ37"/>
      <c r="BWA37"/>
      <c r="BWB37"/>
      <c r="BWC37"/>
      <c r="BWD37"/>
      <c r="BWE37"/>
      <c r="BWF37"/>
      <c r="BWG37"/>
      <c r="BWH37"/>
      <c r="BWI37"/>
      <c r="BWJ37"/>
      <c r="BWK37"/>
      <c r="BWL37"/>
      <c r="BWM37"/>
      <c r="BWN37"/>
      <c r="BWO37"/>
      <c r="BWP37"/>
      <c r="BWQ37"/>
      <c r="BWR37"/>
      <c r="BWS37"/>
      <c r="BWT37"/>
      <c r="BWU37"/>
      <c r="BWV37"/>
      <c r="BWW37"/>
      <c r="BWX37"/>
      <c r="BWY37"/>
      <c r="BWZ37"/>
      <c r="BXA37"/>
      <c r="BXB37"/>
      <c r="BXC37"/>
      <c r="BXD37"/>
      <c r="BXE37"/>
      <c r="BXF37"/>
      <c r="BXG37"/>
      <c r="BXH37"/>
      <c r="BXI37"/>
      <c r="BXJ37"/>
      <c r="BXK37"/>
      <c r="BXL37"/>
      <c r="BXM37"/>
      <c r="BXN37"/>
      <c r="BXO37"/>
      <c r="BXP37"/>
      <c r="BXQ37"/>
      <c r="BXR37"/>
      <c r="BXS37"/>
      <c r="BXT37"/>
      <c r="BXU37"/>
      <c r="BXV37"/>
      <c r="BXW37"/>
      <c r="BXX37"/>
      <c r="BXY37"/>
      <c r="BXZ37"/>
      <c r="BYA37"/>
      <c r="BYB37"/>
      <c r="BYC37"/>
      <c r="BYD37"/>
      <c r="BYE37"/>
      <c r="BYF37"/>
      <c r="BYG37"/>
      <c r="BYH37"/>
      <c r="BYI37"/>
      <c r="BYJ37"/>
      <c r="BYK37"/>
      <c r="BYL37"/>
      <c r="BYM37"/>
      <c r="BYN37"/>
      <c r="BYO37"/>
      <c r="BYP37"/>
      <c r="BYQ37"/>
      <c r="BYR37"/>
      <c r="BYS37"/>
      <c r="BYT37"/>
      <c r="BYU37"/>
      <c r="BYV37"/>
      <c r="BYW37"/>
      <c r="BYX37"/>
      <c r="BYY37"/>
      <c r="BYZ37"/>
      <c r="BZA37"/>
      <c r="BZB37"/>
      <c r="BZC37"/>
      <c r="BZD37"/>
      <c r="BZE37"/>
      <c r="BZF37"/>
      <c r="BZG37"/>
      <c r="BZH37"/>
      <c r="BZI37"/>
      <c r="BZJ37"/>
      <c r="BZK37"/>
      <c r="BZL37"/>
      <c r="BZM37"/>
      <c r="BZN37"/>
      <c r="BZO37"/>
      <c r="BZP37"/>
      <c r="BZQ37"/>
      <c r="BZR37"/>
      <c r="BZS37"/>
      <c r="BZT37"/>
      <c r="BZU37"/>
      <c r="BZV37"/>
      <c r="BZW37"/>
      <c r="BZX37"/>
      <c r="BZY37"/>
      <c r="BZZ37"/>
      <c r="CAA37"/>
      <c r="CAB37"/>
      <c r="CAC37"/>
      <c r="CAD37"/>
      <c r="CAE37"/>
      <c r="CAF37"/>
      <c r="CAG37"/>
      <c r="CAH37"/>
      <c r="CAI37"/>
      <c r="CAJ37"/>
      <c r="CAK37"/>
      <c r="CAL37"/>
      <c r="CAM37"/>
      <c r="CAN37"/>
      <c r="CAO37"/>
      <c r="CAP37"/>
      <c r="CAQ37"/>
      <c r="CAR37"/>
      <c r="CAS37"/>
      <c r="CAT37"/>
      <c r="CAU37"/>
      <c r="CAV37"/>
      <c r="CAW37"/>
      <c r="CAX37"/>
      <c r="CAY37"/>
      <c r="CAZ37"/>
      <c r="CBA37"/>
      <c r="CBB37"/>
      <c r="CBC37"/>
      <c r="CBD37"/>
      <c r="CBE37"/>
      <c r="CBF37"/>
      <c r="CBG37"/>
      <c r="CBH37"/>
      <c r="CBI37"/>
      <c r="CBJ37"/>
      <c r="CBK37"/>
      <c r="CBL37"/>
      <c r="CBM37"/>
      <c r="CBN37"/>
      <c r="CBO37"/>
      <c r="CBP37"/>
      <c r="CBQ37"/>
      <c r="CBR37"/>
      <c r="CBS37"/>
      <c r="CBT37"/>
      <c r="CBU37"/>
      <c r="CBV37"/>
      <c r="CBW37"/>
      <c r="CBX37"/>
      <c r="CBY37"/>
      <c r="CBZ37"/>
      <c r="CCA37"/>
      <c r="CCB37"/>
      <c r="CCC37"/>
      <c r="CCD37"/>
      <c r="CCE37"/>
      <c r="CCF37"/>
      <c r="CCG37"/>
      <c r="CCH37"/>
      <c r="CCI37"/>
      <c r="CCJ37"/>
      <c r="CCK37"/>
      <c r="CCL37"/>
      <c r="CCM37"/>
      <c r="CCN37"/>
      <c r="CCO37"/>
      <c r="CCP37"/>
      <c r="CCQ37"/>
      <c r="CCR37"/>
      <c r="CCS37"/>
      <c r="CCT37"/>
      <c r="CCU37"/>
      <c r="CCV37"/>
      <c r="CCW37"/>
      <c r="CCX37"/>
      <c r="CCY37"/>
      <c r="CCZ37"/>
      <c r="CDA37"/>
      <c r="CDB37"/>
      <c r="CDC37"/>
      <c r="CDD37"/>
      <c r="CDE37"/>
      <c r="CDF37"/>
      <c r="CDG37"/>
      <c r="CDH37"/>
      <c r="CDI37"/>
      <c r="CDJ37"/>
      <c r="CDK37"/>
      <c r="CDL37"/>
      <c r="CDM37"/>
      <c r="CDN37"/>
      <c r="CDO37"/>
      <c r="CDP37"/>
      <c r="CDQ37"/>
      <c r="CDR37"/>
      <c r="CDS37"/>
      <c r="CDT37"/>
      <c r="CDU37"/>
      <c r="CDV37"/>
      <c r="CDW37"/>
      <c r="CDX37"/>
      <c r="CDY37"/>
      <c r="CDZ37"/>
      <c r="CEA37"/>
      <c r="CEB37"/>
      <c r="CEC37"/>
      <c r="CED37"/>
      <c r="CEE37"/>
      <c r="CEF37"/>
      <c r="CEG37"/>
      <c r="CEH37"/>
      <c r="CEI37"/>
      <c r="CEJ37"/>
      <c r="CEK37"/>
      <c r="CEL37"/>
      <c r="CEM37"/>
      <c r="CEN37"/>
      <c r="CEO37"/>
      <c r="CEP37"/>
      <c r="CEQ37"/>
      <c r="CER37"/>
      <c r="CES37"/>
      <c r="CET37"/>
      <c r="CEU37"/>
      <c r="CEV37"/>
      <c r="CEW37"/>
      <c r="CEX37"/>
      <c r="CEY37"/>
      <c r="CEZ37"/>
      <c r="CFA37"/>
      <c r="CFB37"/>
      <c r="CFC37"/>
      <c r="CFD37"/>
      <c r="CFE37"/>
      <c r="CFF37"/>
      <c r="CFG37"/>
      <c r="CFH37"/>
      <c r="CFI37"/>
      <c r="CFJ37"/>
      <c r="CFK37"/>
      <c r="CFL37"/>
      <c r="CFM37"/>
      <c r="CFN37"/>
      <c r="CFO37"/>
      <c r="CFP37"/>
      <c r="CFQ37"/>
      <c r="CFR37"/>
      <c r="CFS37"/>
      <c r="CFT37"/>
      <c r="CFU37"/>
      <c r="CFV37"/>
      <c r="CFW37"/>
      <c r="CFX37"/>
      <c r="CFY37"/>
      <c r="CFZ37"/>
      <c r="CGA37"/>
      <c r="CGB37"/>
      <c r="CGC37"/>
      <c r="CGD37"/>
      <c r="CGE37"/>
      <c r="CGF37"/>
      <c r="CGG37"/>
      <c r="CGH37"/>
      <c r="CGI37"/>
      <c r="CGJ37"/>
      <c r="CGK37"/>
      <c r="CGL37"/>
      <c r="CGM37"/>
      <c r="CGN37"/>
      <c r="CGO37"/>
      <c r="CGP37"/>
      <c r="CGQ37"/>
      <c r="CGR37"/>
      <c r="CGS37"/>
      <c r="CGT37"/>
      <c r="CGU37"/>
      <c r="CGV37"/>
      <c r="CGW37"/>
      <c r="CGX37"/>
      <c r="CGY37"/>
      <c r="CGZ37"/>
      <c r="CHA37"/>
      <c r="CHB37"/>
      <c r="CHC37"/>
      <c r="CHD37"/>
      <c r="CHE37"/>
      <c r="CHF37"/>
      <c r="CHG37"/>
      <c r="CHH37"/>
      <c r="CHI37"/>
      <c r="CHJ37"/>
      <c r="CHK37"/>
      <c r="CHL37"/>
      <c r="CHM37"/>
      <c r="CHN37"/>
      <c r="CHO37"/>
      <c r="CHP37"/>
      <c r="CHQ37"/>
      <c r="CHR37"/>
      <c r="CHS37"/>
      <c r="CHT37"/>
      <c r="CHU37"/>
      <c r="CHV37"/>
      <c r="CHW37"/>
      <c r="CHX37"/>
      <c r="CHY37"/>
      <c r="CHZ37"/>
      <c r="CIA37"/>
      <c r="CIB37"/>
      <c r="CIC37"/>
      <c r="CID37"/>
      <c r="CIE37"/>
      <c r="CIF37"/>
      <c r="CIG37"/>
      <c r="CIH37"/>
      <c r="CII37"/>
      <c r="CIJ37"/>
      <c r="CIK37"/>
      <c r="CIL37"/>
      <c r="CIM37"/>
      <c r="CIN37"/>
      <c r="CIO37"/>
      <c r="CIP37"/>
      <c r="CIQ37"/>
      <c r="CIR37"/>
      <c r="CIS37"/>
      <c r="CIT37"/>
      <c r="CIU37"/>
      <c r="CIV37"/>
      <c r="CIW37"/>
      <c r="CIX37"/>
      <c r="CIY37"/>
      <c r="CIZ37"/>
      <c r="CJA37"/>
      <c r="CJB37"/>
      <c r="CJC37"/>
      <c r="CJD37"/>
      <c r="CJE37"/>
      <c r="CJF37"/>
      <c r="CJG37"/>
      <c r="CJH37"/>
      <c r="CJI37"/>
      <c r="CJJ37"/>
      <c r="CJK37"/>
      <c r="CJL37"/>
      <c r="CJM37"/>
      <c r="CJN37"/>
      <c r="CJO37"/>
      <c r="CJP37"/>
      <c r="CJQ37"/>
      <c r="CJR37"/>
      <c r="CJS37"/>
      <c r="CJT37"/>
      <c r="CJU37"/>
      <c r="CJV37"/>
      <c r="CJW37"/>
      <c r="CJX37"/>
      <c r="CJY37"/>
      <c r="CJZ37"/>
      <c r="CKA37"/>
      <c r="CKB37"/>
      <c r="CKC37"/>
      <c r="CKD37"/>
      <c r="CKE37"/>
      <c r="CKF37"/>
      <c r="CKG37"/>
      <c r="CKH37"/>
      <c r="CKI37"/>
      <c r="CKJ37"/>
      <c r="CKK37"/>
      <c r="CKL37"/>
      <c r="CKM37"/>
      <c r="CKN37"/>
      <c r="CKO37"/>
      <c r="CKP37"/>
      <c r="CKQ37"/>
      <c r="CKR37"/>
      <c r="CKS37"/>
      <c r="CKT37"/>
      <c r="CKU37"/>
      <c r="CKV37"/>
      <c r="CKW37"/>
      <c r="CKX37"/>
      <c r="CKY37"/>
      <c r="CKZ37"/>
      <c r="CLA37"/>
      <c r="CLB37"/>
      <c r="CLC37"/>
      <c r="CLD37"/>
      <c r="CLE37"/>
      <c r="CLF37"/>
      <c r="CLG37"/>
      <c r="CLH37"/>
      <c r="CLI37"/>
      <c r="CLJ37"/>
      <c r="CLK37"/>
      <c r="CLL37"/>
      <c r="CLM37"/>
      <c r="CLN37"/>
      <c r="CLO37"/>
      <c r="CLP37"/>
      <c r="CLQ37"/>
      <c r="CLR37"/>
      <c r="CLS37"/>
      <c r="CLT37"/>
      <c r="CLU37"/>
      <c r="CLV37"/>
      <c r="CLW37"/>
      <c r="CLX37"/>
      <c r="CLY37"/>
      <c r="CLZ37"/>
      <c r="CMA37"/>
      <c r="CMB37"/>
      <c r="CMC37"/>
      <c r="CMD37"/>
      <c r="CME37"/>
      <c r="CMF37"/>
      <c r="CMG37"/>
      <c r="CMH37"/>
      <c r="CMI37"/>
      <c r="CMJ37"/>
      <c r="CMK37"/>
      <c r="CML37"/>
      <c r="CMM37"/>
      <c r="CMN37"/>
      <c r="CMO37"/>
      <c r="CMP37"/>
      <c r="CMQ37"/>
      <c r="CMR37"/>
      <c r="CMS37"/>
      <c r="CMT37"/>
      <c r="CMU37"/>
      <c r="CMV37"/>
      <c r="CMW37"/>
      <c r="CMX37"/>
      <c r="CMY37"/>
      <c r="CMZ37"/>
      <c r="CNA37"/>
      <c r="CNB37"/>
      <c r="CNC37"/>
      <c r="CND37"/>
      <c r="CNE37"/>
      <c r="CNF37"/>
      <c r="CNG37"/>
      <c r="CNH37"/>
      <c r="CNI37"/>
      <c r="CNJ37"/>
      <c r="CNK37"/>
      <c r="CNL37"/>
      <c r="CNM37"/>
      <c r="CNN37"/>
      <c r="CNO37"/>
      <c r="CNP37"/>
      <c r="CNQ37"/>
      <c r="CNR37"/>
      <c r="CNS37"/>
      <c r="CNT37"/>
      <c r="CNU37"/>
      <c r="CNV37"/>
      <c r="CNW37"/>
      <c r="CNX37"/>
      <c r="CNY37"/>
      <c r="CNZ37"/>
      <c r="COA37"/>
      <c r="COB37"/>
      <c r="COC37"/>
      <c r="COD37"/>
      <c r="COE37"/>
      <c r="COF37"/>
      <c r="COG37"/>
      <c r="COH37"/>
      <c r="COI37"/>
      <c r="COJ37"/>
      <c r="COK37"/>
      <c r="COL37"/>
      <c r="COM37"/>
      <c r="CON37"/>
      <c r="COO37"/>
      <c r="COP37"/>
      <c r="COQ37"/>
      <c r="COR37"/>
      <c r="COS37"/>
      <c r="COT37"/>
      <c r="COU37"/>
      <c r="COV37"/>
      <c r="COW37"/>
      <c r="COX37"/>
      <c r="COY37"/>
      <c r="COZ37"/>
      <c r="CPA37"/>
      <c r="CPB37"/>
      <c r="CPC37"/>
      <c r="CPD37"/>
      <c r="CPE37"/>
      <c r="CPF37"/>
      <c r="CPG37"/>
      <c r="CPH37"/>
      <c r="CPI37"/>
      <c r="CPJ37"/>
      <c r="CPK37"/>
      <c r="CPL37"/>
      <c r="CPM37"/>
      <c r="CPN37"/>
      <c r="CPO37"/>
      <c r="CPP37"/>
      <c r="CPQ37"/>
      <c r="CPR37"/>
      <c r="CPS37"/>
      <c r="CPT37"/>
      <c r="CPU37"/>
      <c r="CPV37"/>
      <c r="CPW37"/>
      <c r="CPX37"/>
      <c r="CPY37"/>
      <c r="CPZ37"/>
      <c r="CQA37"/>
      <c r="CQB37"/>
      <c r="CQC37"/>
      <c r="CQD37"/>
      <c r="CQE37"/>
      <c r="CQF37"/>
      <c r="CQG37"/>
      <c r="CQH37"/>
      <c r="CQI37"/>
      <c r="CQJ37"/>
      <c r="CQK37"/>
      <c r="CQL37"/>
      <c r="CQM37"/>
      <c r="CQN37"/>
      <c r="CQO37"/>
      <c r="CQP37"/>
      <c r="CQQ37"/>
      <c r="CQR37"/>
      <c r="CQS37"/>
      <c r="CQT37"/>
      <c r="CQU37"/>
      <c r="CQV37"/>
      <c r="CQW37"/>
      <c r="CQX37"/>
      <c r="CQY37"/>
      <c r="CQZ37"/>
      <c r="CRA37"/>
      <c r="CRB37"/>
      <c r="CRC37"/>
      <c r="CRD37"/>
      <c r="CRE37"/>
      <c r="CRF37"/>
      <c r="CRG37"/>
      <c r="CRH37"/>
      <c r="CRI37"/>
      <c r="CRJ37"/>
      <c r="CRK37"/>
      <c r="CRL37"/>
      <c r="CRM37"/>
      <c r="CRN37"/>
      <c r="CRO37"/>
      <c r="CRP37"/>
      <c r="CRQ37"/>
      <c r="CRR37"/>
      <c r="CRS37"/>
      <c r="CRT37"/>
      <c r="CRU37"/>
      <c r="CRV37"/>
      <c r="CRW37"/>
      <c r="CRX37"/>
      <c r="CRY37"/>
      <c r="CRZ37"/>
      <c r="CSA37"/>
      <c r="CSB37"/>
      <c r="CSC37"/>
      <c r="CSD37"/>
      <c r="CSE37"/>
      <c r="CSF37"/>
      <c r="CSG37"/>
      <c r="CSH37"/>
      <c r="CSI37"/>
      <c r="CSJ37"/>
      <c r="CSK37"/>
      <c r="CSL37"/>
      <c r="CSM37"/>
      <c r="CSN37"/>
      <c r="CSO37"/>
      <c r="CSP37"/>
      <c r="CSQ37"/>
      <c r="CSR37"/>
      <c r="CSS37"/>
      <c r="CST37"/>
      <c r="CSU37"/>
      <c r="CSV37"/>
      <c r="CSW37"/>
      <c r="CSX37"/>
      <c r="CSY37"/>
      <c r="CSZ37"/>
      <c r="CTA37"/>
      <c r="CTB37"/>
      <c r="CTC37"/>
      <c r="CTD37"/>
      <c r="CTE37"/>
      <c r="CTF37"/>
      <c r="CTG37"/>
      <c r="CTH37"/>
      <c r="CTI37"/>
      <c r="CTJ37"/>
      <c r="CTK37"/>
      <c r="CTL37"/>
      <c r="CTM37"/>
      <c r="CTN37"/>
      <c r="CTO37"/>
      <c r="CTP37"/>
      <c r="CTQ37"/>
      <c r="CTR37"/>
      <c r="CTS37"/>
      <c r="CTT37"/>
      <c r="CTU37"/>
      <c r="CTV37"/>
      <c r="CTW37"/>
      <c r="CTX37"/>
      <c r="CTY37"/>
      <c r="CTZ37"/>
      <c r="CUA37"/>
      <c r="CUB37"/>
      <c r="CUC37"/>
      <c r="CUD37"/>
      <c r="CUE37"/>
      <c r="CUF37"/>
      <c r="CUG37"/>
      <c r="CUH37"/>
      <c r="CUI37"/>
      <c r="CUJ37"/>
      <c r="CUK37"/>
      <c r="CUL37"/>
      <c r="CUM37"/>
      <c r="CUN37"/>
      <c r="CUO37"/>
      <c r="CUP37"/>
      <c r="CUQ37"/>
      <c r="CUR37"/>
      <c r="CUS37"/>
      <c r="CUT37"/>
      <c r="CUU37"/>
      <c r="CUV37"/>
      <c r="CUW37"/>
      <c r="CUX37"/>
      <c r="CUY37"/>
      <c r="CUZ37"/>
      <c r="CVA37"/>
      <c r="CVB37"/>
      <c r="CVC37"/>
      <c r="CVD37"/>
      <c r="CVE37"/>
      <c r="CVF37"/>
      <c r="CVG37"/>
      <c r="CVH37"/>
      <c r="CVI37"/>
      <c r="CVJ37"/>
      <c r="CVK37"/>
      <c r="CVL37"/>
      <c r="CVM37"/>
      <c r="CVN37"/>
      <c r="CVO37"/>
      <c r="CVP37"/>
      <c r="CVQ37"/>
      <c r="CVR37"/>
      <c r="CVS37"/>
      <c r="CVT37"/>
      <c r="CVU37"/>
      <c r="CVV37"/>
      <c r="CVW37"/>
      <c r="CVX37"/>
      <c r="CVY37"/>
      <c r="CVZ37"/>
      <c r="CWA37"/>
      <c r="CWB37"/>
      <c r="CWC37"/>
      <c r="CWD37"/>
      <c r="CWE37"/>
      <c r="CWF37"/>
      <c r="CWG37"/>
      <c r="CWH37"/>
      <c r="CWI37"/>
      <c r="CWJ37"/>
      <c r="CWK37"/>
      <c r="CWL37"/>
      <c r="CWM37"/>
      <c r="CWN37"/>
      <c r="CWO37"/>
      <c r="CWP37"/>
      <c r="CWQ37"/>
      <c r="CWR37"/>
      <c r="CWS37"/>
      <c r="CWT37"/>
      <c r="CWU37"/>
      <c r="CWV37"/>
      <c r="CWW37"/>
      <c r="CWX37"/>
      <c r="CWY37"/>
      <c r="CWZ37"/>
      <c r="CXA37"/>
      <c r="CXB37"/>
      <c r="CXC37"/>
      <c r="CXD37"/>
      <c r="CXE37"/>
      <c r="CXF37"/>
      <c r="CXG37"/>
      <c r="CXH37"/>
      <c r="CXI37"/>
      <c r="CXJ37"/>
      <c r="CXK37"/>
      <c r="CXL37"/>
      <c r="CXM37"/>
      <c r="CXN37"/>
      <c r="CXO37"/>
      <c r="CXP37"/>
      <c r="CXQ37"/>
      <c r="CXR37"/>
      <c r="CXS37"/>
      <c r="CXT37"/>
      <c r="CXU37"/>
      <c r="CXV37"/>
      <c r="CXW37"/>
      <c r="CXX37"/>
      <c r="CXY37"/>
      <c r="CXZ37"/>
      <c r="CYA37"/>
      <c r="CYB37"/>
      <c r="CYC37"/>
      <c r="CYD37"/>
      <c r="CYE37"/>
      <c r="CYF37"/>
      <c r="CYG37"/>
      <c r="CYH37"/>
      <c r="CYI37"/>
      <c r="CYJ37"/>
      <c r="CYK37"/>
      <c r="CYL37"/>
      <c r="CYM37"/>
      <c r="CYN37"/>
      <c r="CYO37"/>
      <c r="CYP37"/>
      <c r="CYQ37"/>
      <c r="CYR37"/>
      <c r="CYS37"/>
      <c r="CYT37"/>
      <c r="CYU37"/>
      <c r="CYV37"/>
      <c r="CYW37"/>
      <c r="CYX37"/>
      <c r="CYY37"/>
      <c r="CYZ37"/>
      <c r="CZA37"/>
      <c r="CZB37"/>
      <c r="CZC37"/>
      <c r="CZD37"/>
      <c r="CZE37"/>
      <c r="CZF37"/>
      <c r="CZG37"/>
      <c r="CZH37"/>
      <c r="CZI37"/>
      <c r="CZJ37"/>
      <c r="CZK37"/>
      <c r="CZL37"/>
      <c r="CZM37"/>
      <c r="CZN37"/>
      <c r="CZO37"/>
      <c r="CZP37"/>
      <c r="CZQ37"/>
      <c r="CZR37"/>
      <c r="CZS37"/>
      <c r="CZT37"/>
      <c r="CZU37"/>
      <c r="CZV37"/>
      <c r="CZW37"/>
      <c r="CZX37"/>
      <c r="CZY37"/>
      <c r="CZZ37"/>
      <c r="DAA37"/>
      <c r="DAB37"/>
      <c r="DAC37"/>
      <c r="DAD37"/>
      <c r="DAE37"/>
      <c r="DAF37"/>
      <c r="DAG37"/>
      <c r="DAH37"/>
      <c r="DAI37"/>
      <c r="DAJ37"/>
      <c r="DAK37"/>
      <c r="DAL37"/>
      <c r="DAM37"/>
      <c r="DAN37"/>
      <c r="DAO37"/>
      <c r="DAP37"/>
      <c r="DAQ37"/>
      <c r="DAR37"/>
      <c r="DAS37"/>
      <c r="DAT37"/>
      <c r="DAU37"/>
      <c r="DAV37"/>
      <c r="DAW37"/>
      <c r="DAX37"/>
      <c r="DAY37"/>
      <c r="DAZ37"/>
      <c r="DBA37"/>
      <c r="DBB37"/>
      <c r="DBC37"/>
      <c r="DBD37"/>
      <c r="DBE37"/>
      <c r="DBF37"/>
      <c r="DBG37"/>
      <c r="DBH37"/>
      <c r="DBI37"/>
      <c r="DBJ37"/>
      <c r="DBK37"/>
      <c r="DBL37"/>
      <c r="DBM37"/>
      <c r="DBN37"/>
      <c r="DBO37"/>
      <c r="DBP37"/>
      <c r="DBQ37"/>
      <c r="DBR37"/>
      <c r="DBS37"/>
      <c r="DBT37"/>
      <c r="DBU37"/>
      <c r="DBV37"/>
      <c r="DBW37"/>
      <c r="DBX37"/>
      <c r="DBY37"/>
      <c r="DBZ37"/>
      <c r="DCA37"/>
      <c r="DCB37"/>
      <c r="DCC37"/>
      <c r="DCD37"/>
      <c r="DCE37"/>
      <c r="DCF37"/>
      <c r="DCG37"/>
      <c r="DCH37"/>
      <c r="DCI37"/>
      <c r="DCJ37"/>
      <c r="DCK37"/>
      <c r="DCL37"/>
      <c r="DCM37"/>
      <c r="DCN37"/>
      <c r="DCO37"/>
      <c r="DCP37"/>
      <c r="DCQ37"/>
      <c r="DCR37"/>
      <c r="DCS37"/>
      <c r="DCT37"/>
      <c r="DCU37"/>
      <c r="DCV37"/>
      <c r="DCW37"/>
      <c r="DCX37"/>
      <c r="DCY37"/>
      <c r="DCZ37"/>
      <c r="DDA37"/>
      <c r="DDB37"/>
      <c r="DDC37"/>
      <c r="DDD37"/>
      <c r="DDE37"/>
      <c r="DDF37"/>
      <c r="DDG37"/>
      <c r="DDH37"/>
      <c r="DDI37"/>
      <c r="DDJ37"/>
      <c r="DDK37"/>
      <c r="DDL37"/>
      <c r="DDM37"/>
      <c r="DDN37"/>
      <c r="DDO37"/>
      <c r="DDP37"/>
      <c r="DDQ37"/>
      <c r="DDR37"/>
      <c r="DDS37"/>
      <c r="DDT37"/>
      <c r="DDU37"/>
      <c r="DDV37"/>
      <c r="DDW37"/>
      <c r="DDX37"/>
      <c r="DDY37"/>
      <c r="DDZ37"/>
      <c r="DEA37"/>
      <c r="DEB37"/>
      <c r="DEC37"/>
      <c r="DED37"/>
      <c r="DEE37"/>
      <c r="DEF37"/>
      <c r="DEG37"/>
      <c r="DEH37"/>
      <c r="DEI37"/>
      <c r="DEJ37"/>
      <c r="DEK37"/>
      <c r="DEL37"/>
      <c r="DEM37"/>
      <c r="DEN37"/>
      <c r="DEO37"/>
      <c r="DEP37"/>
      <c r="DEQ37"/>
      <c r="DER37"/>
      <c r="DES37"/>
      <c r="DET37"/>
      <c r="DEU37"/>
      <c r="DEV37"/>
      <c r="DEW37"/>
      <c r="DEX37"/>
      <c r="DEY37"/>
      <c r="DEZ37"/>
      <c r="DFA37"/>
      <c r="DFB37"/>
      <c r="DFC37"/>
      <c r="DFD37"/>
      <c r="DFE37"/>
      <c r="DFF37"/>
      <c r="DFG37"/>
      <c r="DFH37"/>
      <c r="DFI37"/>
      <c r="DFJ37"/>
      <c r="DFK37"/>
      <c r="DFL37"/>
      <c r="DFM37"/>
      <c r="DFN37"/>
      <c r="DFO37"/>
      <c r="DFP37"/>
      <c r="DFQ37"/>
      <c r="DFR37"/>
      <c r="DFS37"/>
      <c r="DFT37"/>
      <c r="DFU37"/>
      <c r="DFV37"/>
      <c r="DFW37"/>
      <c r="DFX37"/>
      <c r="DFY37"/>
      <c r="DFZ37"/>
      <c r="DGA37"/>
      <c r="DGB37"/>
      <c r="DGC37"/>
      <c r="DGD37"/>
      <c r="DGE37"/>
      <c r="DGF37"/>
      <c r="DGG37"/>
      <c r="DGH37"/>
      <c r="DGI37"/>
      <c r="DGJ37"/>
      <c r="DGK37"/>
      <c r="DGL37"/>
      <c r="DGM37"/>
      <c r="DGN37"/>
      <c r="DGO37"/>
      <c r="DGP37"/>
      <c r="DGQ37"/>
      <c r="DGR37"/>
      <c r="DGS37"/>
      <c r="DGT37"/>
      <c r="DGU37"/>
      <c r="DGV37"/>
      <c r="DGW37"/>
      <c r="DGX37"/>
      <c r="DGY37"/>
      <c r="DGZ37"/>
      <c r="DHA37"/>
      <c r="DHB37"/>
      <c r="DHC37"/>
      <c r="DHD37"/>
      <c r="DHE37"/>
      <c r="DHF37"/>
      <c r="DHG37"/>
      <c r="DHH37"/>
      <c r="DHI37"/>
      <c r="DHJ37"/>
      <c r="DHK37"/>
      <c r="DHL37"/>
      <c r="DHM37"/>
      <c r="DHN37"/>
      <c r="DHO37"/>
      <c r="DHP37"/>
      <c r="DHQ37"/>
      <c r="DHR37"/>
      <c r="DHS37"/>
      <c r="DHT37"/>
      <c r="DHU37"/>
      <c r="DHV37"/>
      <c r="DHW37"/>
      <c r="DHX37"/>
      <c r="DHY37"/>
      <c r="DHZ37"/>
      <c r="DIA37"/>
      <c r="DIB37"/>
      <c r="DIC37"/>
      <c r="DID37"/>
      <c r="DIE37"/>
      <c r="DIF37"/>
      <c r="DIG37"/>
      <c r="DIH37"/>
      <c r="DII37"/>
      <c r="DIJ37"/>
      <c r="DIK37"/>
      <c r="DIL37"/>
      <c r="DIM37"/>
      <c r="DIN37"/>
      <c r="DIO37"/>
      <c r="DIP37"/>
      <c r="DIQ37"/>
      <c r="DIR37"/>
      <c r="DIS37"/>
      <c r="DIT37"/>
      <c r="DIU37"/>
      <c r="DIV37"/>
      <c r="DIW37"/>
      <c r="DIX37"/>
      <c r="DIY37"/>
      <c r="DIZ37"/>
      <c r="DJA37"/>
      <c r="DJB37"/>
      <c r="DJC37"/>
      <c r="DJD37"/>
      <c r="DJE37"/>
      <c r="DJF37"/>
      <c r="DJG37"/>
      <c r="DJH37"/>
      <c r="DJI37"/>
      <c r="DJJ37"/>
      <c r="DJK37"/>
      <c r="DJL37"/>
      <c r="DJM37"/>
      <c r="DJN37"/>
      <c r="DJO37"/>
      <c r="DJP37"/>
      <c r="DJQ37"/>
      <c r="DJR37"/>
      <c r="DJS37"/>
      <c r="DJT37"/>
      <c r="DJU37"/>
      <c r="DJV37"/>
      <c r="DJW37"/>
      <c r="DJX37"/>
      <c r="DJY37"/>
      <c r="DJZ37"/>
      <c r="DKA37"/>
      <c r="DKB37"/>
      <c r="DKC37"/>
      <c r="DKD37"/>
      <c r="DKE37"/>
      <c r="DKF37"/>
      <c r="DKG37"/>
      <c r="DKH37"/>
      <c r="DKI37"/>
      <c r="DKJ37"/>
      <c r="DKK37"/>
      <c r="DKL37"/>
      <c r="DKM37"/>
      <c r="DKN37"/>
      <c r="DKO37"/>
      <c r="DKP37"/>
      <c r="DKQ37"/>
      <c r="DKR37"/>
      <c r="DKS37"/>
      <c r="DKT37"/>
      <c r="DKU37"/>
      <c r="DKV37"/>
      <c r="DKW37"/>
      <c r="DKX37"/>
      <c r="DKY37"/>
      <c r="DKZ37"/>
      <c r="DLA37"/>
      <c r="DLB37"/>
      <c r="DLC37"/>
      <c r="DLD37"/>
      <c r="DLE37"/>
      <c r="DLF37"/>
      <c r="DLG37"/>
      <c r="DLH37"/>
      <c r="DLI37"/>
      <c r="DLJ37"/>
      <c r="DLK37"/>
      <c r="DLL37"/>
      <c r="DLM37"/>
      <c r="DLN37"/>
      <c r="DLO37"/>
      <c r="DLP37"/>
      <c r="DLQ37"/>
      <c r="DLR37"/>
      <c r="DLS37"/>
      <c r="DLT37"/>
      <c r="DLU37"/>
      <c r="DLV37"/>
      <c r="DLW37"/>
      <c r="DLX37"/>
      <c r="DLY37"/>
      <c r="DLZ37"/>
      <c r="DMA37"/>
      <c r="DMB37"/>
      <c r="DMC37"/>
      <c r="DMD37"/>
      <c r="DME37"/>
      <c r="DMF37"/>
      <c r="DMG37"/>
      <c r="DMH37"/>
      <c r="DMI37"/>
      <c r="DMJ37"/>
      <c r="DMK37"/>
      <c r="DML37"/>
      <c r="DMM37"/>
      <c r="DMN37"/>
      <c r="DMO37"/>
      <c r="DMP37"/>
      <c r="DMQ37"/>
      <c r="DMR37"/>
      <c r="DMS37"/>
      <c r="DMT37"/>
      <c r="DMU37"/>
      <c r="DMV37"/>
      <c r="DMW37"/>
      <c r="DMX37"/>
      <c r="DMY37"/>
      <c r="DMZ37"/>
      <c r="DNA37"/>
      <c r="DNB37"/>
      <c r="DNC37"/>
      <c r="DND37"/>
      <c r="DNE37"/>
      <c r="DNF37"/>
      <c r="DNG37"/>
      <c r="DNH37"/>
      <c r="DNI37"/>
      <c r="DNJ37"/>
      <c r="DNK37"/>
      <c r="DNL37"/>
      <c r="DNM37"/>
      <c r="DNN37"/>
      <c r="DNO37"/>
      <c r="DNP37"/>
      <c r="DNQ37"/>
      <c r="DNR37"/>
      <c r="DNS37"/>
      <c r="DNT37"/>
      <c r="DNU37"/>
      <c r="DNV37"/>
      <c r="DNW37"/>
      <c r="DNX37"/>
      <c r="DNY37"/>
      <c r="DNZ37"/>
      <c r="DOA37"/>
      <c r="DOB37"/>
      <c r="DOC37"/>
      <c r="DOD37"/>
      <c r="DOE37"/>
      <c r="DOF37"/>
      <c r="DOG37"/>
      <c r="DOH37"/>
      <c r="DOI37"/>
      <c r="DOJ37"/>
      <c r="DOK37"/>
      <c r="DOL37"/>
      <c r="DOM37"/>
      <c r="DON37"/>
      <c r="DOO37"/>
      <c r="DOP37"/>
      <c r="DOQ37"/>
      <c r="DOR37"/>
      <c r="DOS37"/>
      <c r="DOT37"/>
      <c r="DOU37"/>
      <c r="DOV37"/>
      <c r="DOW37"/>
      <c r="DOX37"/>
      <c r="DOY37"/>
      <c r="DOZ37"/>
      <c r="DPA37"/>
      <c r="DPB37"/>
      <c r="DPC37"/>
      <c r="DPD37"/>
      <c r="DPE37"/>
      <c r="DPF37"/>
      <c r="DPG37"/>
      <c r="DPH37"/>
      <c r="DPI37"/>
      <c r="DPJ37"/>
      <c r="DPK37"/>
      <c r="DPL37"/>
      <c r="DPM37"/>
      <c r="DPN37"/>
      <c r="DPO37"/>
      <c r="DPP37"/>
      <c r="DPQ37"/>
      <c r="DPR37"/>
      <c r="DPS37"/>
      <c r="DPT37"/>
      <c r="DPU37"/>
      <c r="DPV37"/>
      <c r="DPW37"/>
      <c r="DPX37"/>
      <c r="DPY37"/>
      <c r="DPZ37"/>
      <c r="DQA37"/>
      <c r="DQB37"/>
      <c r="DQC37"/>
      <c r="DQD37"/>
      <c r="DQE37"/>
      <c r="DQF37"/>
      <c r="DQG37"/>
      <c r="DQH37"/>
      <c r="DQI37"/>
      <c r="DQJ37"/>
      <c r="DQK37"/>
      <c r="DQL37"/>
      <c r="DQM37"/>
      <c r="DQN37"/>
      <c r="DQO37"/>
      <c r="DQP37"/>
      <c r="DQQ37"/>
      <c r="DQR37"/>
      <c r="DQS37"/>
      <c r="DQT37"/>
      <c r="DQU37"/>
      <c r="DQV37"/>
      <c r="DQW37"/>
      <c r="DQX37"/>
      <c r="DQY37"/>
      <c r="DQZ37"/>
      <c r="DRA37"/>
      <c r="DRB37"/>
      <c r="DRC37"/>
      <c r="DRD37"/>
      <c r="DRE37"/>
      <c r="DRF37"/>
      <c r="DRG37"/>
      <c r="DRH37"/>
      <c r="DRI37"/>
      <c r="DRJ37"/>
      <c r="DRK37"/>
      <c r="DRL37"/>
      <c r="DRM37"/>
      <c r="DRN37"/>
      <c r="DRO37"/>
      <c r="DRP37"/>
      <c r="DRQ37"/>
      <c r="DRR37"/>
      <c r="DRS37"/>
      <c r="DRT37"/>
      <c r="DRU37"/>
      <c r="DRV37"/>
      <c r="DRW37"/>
      <c r="DRX37"/>
      <c r="DRY37"/>
      <c r="DRZ37"/>
      <c r="DSA37"/>
      <c r="DSB37"/>
      <c r="DSC37"/>
      <c r="DSD37"/>
      <c r="DSE37"/>
      <c r="DSF37"/>
      <c r="DSG37"/>
      <c r="DSH37"/>
      <c r="DSI37"/>
      <c r="DSJ37"/>
      <c r="DSK37"/>
      <c r="DSL37"/>
      <c r="DSM37"/>
      <c r="DSN37"/>
      <c r="DSO37"/>
      <c r="DSP37"/>
      <c r="DSQ37"/>
      <c r="DSR37"/>
      <c r="DSS37"/>
      <c r="DST37"/>
      <c r="DSU37"/>
      <c r="DSV37"/>
      <c r="DSW37"/>
      <c r="DSX37"/>
      <c r="DSY37"/>
      <c r="DSZ37"/>
      <c r="DTA37"/>
      <c r="DTB37"/>
      <c r="DTC37"/>
      <c r="DTD37"/>
      <c r="DTE37"/>
      <c r="DTF37"/>
      <c r="DTG37"/>
      <c r="DTH37"/>
      <c r="DTI37"/>
      <c r="DTJ37"/>
      <c r="DTK37"/>
      <c r="DTL37"/>
      <c r="DTM37"/>
      <c r="DTN37"/>
      <c r="DTO37"/>
      <c r="DTP37"/>
      <c r="DTQ37"/>
      <c r="DTR37"/>
      <c r="DTS37"/>
      <c r="DTT37"/>
      <c r="DTU37"/>
      <c r="DTV37"/>
      <c r="DTW37"/>
      <c r="DTX37"/>
      <c r="DTY37"/>
      <c r="DTZ37"/>
      <c r="DUA37"/>
      <c r="DUB37"/>
      <c r="DUC37"/>
      <c r="DUD37"/>
      <c r="DUE37"/>
      <c r="DUF37"/>
      <c r="DUG37"/>
      <c r="DUH37"/>
      <c r="DUI37"/>
      <c r="DUJ37"/>
      <c r="DUK37"/>
      <c r="DUL37"/>
      <c r="DUM37"/>
      <c r="DUN37"/>
      <c r="DUO37"/>
      <c r="DUP37"/>
      <c r="DUQ37"/>
      <c r="DUR37"/>
      <c r="DUS37"/>
      <c r="DUT37"/>
      <c r="DUU37"/>
      <c r="DUV37"/>
      <c r="DUW37"/>
      <c r="DUX37"/>
      <c r="DUY37"/>
      <c r="DUZ37"/>
      <c r="DVA37"/>
      <c r="DVB37"/>
      <c r="DVC37"/>
      <c r="DVD37"/>
      <c r="DVE37"/>
      <c r="DVF37"/>
      <c r="DVG37"/>
      <c r="DVH37"/>
      <c r="DVI37"/>
      <c r="DVJ37"/>
      <c r="DVK37"/>
      <c r="DVL37"/>
      <c r="DVM37"/>
      <c r="DVN37"/>
      <c r="DVO37"/>
      <c r="DVP37"/>
      <c r="DVQ37"/>
      <c r="DVR37"/>
      <c r="DVS37"/>
      <c r="DVT37"/>
      <c r="DVU37"/>
      <c r="DVV37"/>
      <c r="DVW37"/>
      <c r="DVX37"/>
      <c r="DVY37"/>
      <c r="DVZ37"/>
      <c r="DWA37"/>
      <c r="DWB37"/>
      <c r="DWC37"/>
      <c r="DWD37"/>
      <c r="DWE37"/>
      <c r="DWF37"/>
      <c r="DWG37"/>
      <c r="DWH37"/>
      <c r="DWI37"/>
      <c r="DWJ37"/>
      <c r="DWK37"/>
      <c r="DWL37"/>
      <c r="DWM37"/>
      <c r="DWN37"/>
      <c r="DWO37"/>
      <c r="DWP37"/>
      <c r="DWQ37"/>
      <c r="DWR37"/>
      <c r="DWS37"/>
      <c r="DWT37"/>
      <c r="DWU37"/>
      <c r="DWV37"/>
      <c r="DWW37"/>
      <c r="DWX37"/>
      <c r="DWY37"/>
      <c r="DWZ37"/>
      <c r="DXA37"/>
      <c r="DXB37"/>
      <c r="DXC37"/>
      <c r="DXD37"/>
      <c r="DXE37"/>
      <c r="DXF37"/>
      <c r="DXG37"/>
      <c r="DXH37"/>
      <c r="DXI37"/>
      <c r="DXJ37"/>
      <c r="DXK37"/>
      <c r="DXL37"/>
      <c r="DXM37"/>
      <c r="DXN37"/>
      <c r="DXO37"/>
      <c r="DXP37"/>
      <c r="DXQ37"/>
      <c r="DXR37"/>
      <c r="DXS37"/>
      <c r="DXT37"/>
      <c r="DXU37"/>
      <c r="DXV37"/>
      <c r="DXW37"/>
      <c r="DXX37"/>
      <c r="DXY37"/>
      <c r="DXZ37"/>
      <c r="DYA37"/>
      <c r="DYB37"/>
      <c r="DYC37"/>
      <c r="DYD37"/>
      <c r="DYE37"/>
      <c r="DYF37"/>
      <c r="DYG37"/>
      <c r="DYH37"/>
      <c r="DYI37"/>
      <c r="DYJ37"/>
      <c r="DYK37"/>
      <c r="DYL37"/>
      <c r="DYM37"/>
      <c r="DYN37"/>
      <c r="DYO37"/>
      <c r="DYP37"/>
      <c r="DYQ37"/>
      <c r="DYR37"/>
      <c r="DYS37"/>
      <c r="DYT37"/>
      <c r="DYU37"/>
      <c r="DYV37"/>
      <c r="DYW37"/>
      <c r="DYX37"/>
      <c r="DYY37"/>
      <c r="DYZ37"/>
      <c r="DZA37"/>
      <c r="DZB37"/>
      <c r="DZC37"/>
      <c r="DZD37"/>
      <c r="DZE37"/>
      <c r="DZF37"/>
      <c r="DZG37"/>
      <c r="DZH37"/>
      <c r="DZI37"/>
      <c r="DZJ37"/>
      <c r="DZK37"/>
      <c r="DZL37"/>
      <c r="DZM37"/>
      <c r="DZN37"/>
      <c r="DZO37"/>
      <c r="DZP37"/>
      <c r="DZQ37"/>
      <c r="DZR37"/>
      <c r="DZS37"/>
      <c r="DZT37"/>
      <c r="DZU37"/>
      <c r="DZV37"/>
      <c r="DZW37"/>
      <c r="DZX37"/>
      <c r="DZY37"/>
      <c r="DZZ37"/>
      <c r="EAA37"/>
      <c r="EAB37"/>
      <c r="EAC37"/>
      <c r="EAD37"/>
      <c r="EAE37"/>
      <c r="EAF37"/>
      <c r="EAG37"/>
      <c r="EAH37"/>
      <c r="EAI37"/>
      <c r="EAJ37"/>
      <c r="EAK37"/>
      <c r="EAL37"/>
      <c r="EAM37"/>
      <c r="EAN37"/>
      <c r="EAO37"/>
      <c r="EAP37"/>
      <c r="EAQ37"/>
      <c r="EAR37"/>
      <c r="EAS37"/>
      <c r="EAT37"/>
      <c r="EAU37"/>
      <c r="EAV37"/>
      <c r="EAW37"/>
      <c r="EAX37"/>
      <c r="EAY37"/>
      <c r="EAZ37"/>
      <c r="EBA37"/>
      <c r="EBB37"/>
      <c r="EBC37"/>
      <c r="EBD37"/>
      <c r="EBE37"/>
      <c r="EBF37"/>
      <c r="EBG37"/>
      <c r="EBH37"/>
      <c r="EBI37"/>
      <c r="EBJ37"/>
      <c r="EBK37"/>
      <c r="EBL37"/>
      <c r="EBM37"/>
      <c r="EBN37"/>
      <c r="EBO37"/>
      <c r="EBP37"/>
      <c r="EBQ37"/>
      <c r="EBR37"/>
      <c r="EBS37"/>
      <c r="EBT37"/>
      <c r="EBU37"/>
      <c r="EBV37"/>
      <c r="EBW37"/>
      <c r="EBX37"/>
      <c r="EBY37"/>
      <c r="EBZ37"/>
      <c r="ECA37"/>
      <c r="ECB37"/>
      <c r="ECC37"/>
      <c r="ECD37"/>
      <c r="ECE37"/>
      <c r="ECF37"/>
      <c r="ECG37"/>
      <c r="ECH37"/>
      <c r="ECI37"/>
      <c r="ECJ37"/>
      <c r="ECK37"/>
      <c r="ECL37"/>
      <c r="ECM37"/>
      <c r="ECN37"/>
      <c r="ECO37"/>
      <c r="ECP37"/>
      <c r="ECQ37"/>
      <c r="ECR37"/>
      <c r="ECS37"/>
      <c r="ECT37"/>
      <c r="ECU37"/>
      <c r="ECV37"/>
      <c r="ECW37"/>
      <c r="ECX37"/>
      <c r="ECY37"/>
      <c r="ECZ37"/>
      <c r="EDA37"/>
      <c r="EDB37"/>
      <c r="EDC37"/>
      <c r="EDD37"/>
      <c r="EDE37"/>
      <c r="EDF37"/>
      <c r="EDG37"/>
      <c r="EDH37"/>
      <c r="EDI37"/>
      <c r="EDJ37"/>
      <c r="EDK37"/>
      <c r="EDL37"/>
      <c r="EDM37"/>
      <c r="EDN37"/>
      <c r="EDO37"/>
      <c r="EDP37"/>
      <c r="EDQ37"/>
      <c r="EDR37"/>
      <c r="EDS37"/>
      <c r="EDT37"/>
      <c r="EDU37"/>
      <c r="EDV37"/>
      <c r="EDW37"/>
      <c r="EDX37"/>
      <c r="EDY37"/>
      <c r="EDZ37"/>
      <c r="EEA37"/>
      <c r="EEB37"/>
      <c r="EEC37"/>
      <c r="EED37"/>
      <c r="EEE37"/>
      <c r="EEF37"/>
      <c r="EEG37"/>
      <c r="EEH37"/>
      <c r="EEI37"/>
      <c r="EEJ37"/>
      <c r="EEK37"/>
      <c r="EEL37"/>
      <c r="EEM37"/>
      <c r="EEN37"/>
      <c r="EEO37"/>
      <c r="EEP37"/>
      <c r="EEQ37"/>
      <c r="EER37"/>
      <c r="EES37"/>
      <c r="EET37"/>
      <c r="EEU37"/>
      <c r="EEV37"/>
      <c r="EEW37"/>
      <c r="EEX37"/>
      <c r="EEY37"/>
      <c r="EEZ37"/>
      <c r="EFA37"/>
      <c r="EFB37"/>
      <c r="EFC37"/>
      <c r="EFD37"/>
      <c r="EFE37"/>
      <c r="EFF37"/>
      <c r="EFG37"/>
      <c r="EFH37"/>
      <c r="EFI37"/>
      <c r="EFJ37"/>
      <c r="EFK37"/>
      <c r="EFL37"/>
      <c r="EFM37"/>
      <c r="EFN37"/>
      <c r="EFO37"/>
      <c r="EFP37"/>
      <c r="EFQ37"/>
      <c r="EFR37"/>
      <c r="EFS37"/>
      <c r="EFT37"/>
      <c r="EFU37"/>
      <c r="EFV37"/>
      <c r="EFW37"/>
      <c r="EFX37"/>
      <c r="EFY37"/>
      <c r="EFZ37"/>
      <c r="EGA37"/>
      <c r="EGB37"/>
      <c r="EGC37"/>
      <c r="EGD37"/>
      <c r="EGE37"/>
      <c r="EGF37"/>
      <c r="EGG37"/>
      <c r="EGH37"/>
      <c r="EGI37"/>
      <c r="EGJ37"/>
      <c r="EGK37"/>
      <c r="EGL37"/>
      <c r="EGM37"/>
      <c r="EGN37"/>
      <c r="EGO37"/>
      <c r="EGP37"/>
      <c r="EGQ37"/>
      <c r="EGR37"/>
      <c r="EGS37"/>
      <c r="EGT37"/>
      <c r="EGU37"/>
      <c r="EGV37"/>
      <c r="EGW37"/>
      <c r="EGX37"/>
      <c r="EGY37"/>
      <c r="EGZ37"/>
      <c r="EHA37"/>
      <c r="EHB37"/>
      <c r="EHC37"/>
      <c r="EHD37"/>
      <c r="EHE37"/>
      <c r="EHF37"/>
    </row>
    <row r="38" spans="1:4791" ht="13.8" customHeight="1" x14ac:dyDescent="0.25">
      <c r="A38" s="1" t="s">
        <v>4284</v>
      </c>
      <c r="B38" s="1">
        <v>1264761.9600000004</v>
      </c>
      <c r="E38"/>
      <c r="F38"/>
      <c r="G38"/>
      <c r="H38"/>
      <c r="I38"/>
      <c r="J38"/>
      <c r="K38"/>
      <c r="L38"/>
      <c r="M38"/>
      <c r="N38"/>
      <c r="O38"/>
      <c r="P38" s="17" t="s">
        <v>4333</v>
      </c>
      <c r="Q38" s="17"/>
      <c r="R38" s="17"/>
      <c r="S38" s="17"/>
      <c r="T38"/>
      <c r="U38"/>
      <c r="V38"/>
      <c r="W38"/>
      <c r="X38"/>
      <c r="Y38"/>
      <c r="Z38"/>
      <c r="AA38"/>
      <c r="AB38"/>
    </row>
    <row r="39" spans="1:4791" ht="13.8" customHeight="1" x14ac:dyDescent="0.25">
      <c r="E39"/>
      <c r="F39"/>
      <c r="G39"/>
      <c r="H39"/>
      <c r="I39"/>
      <c r="J39"/>
      <c r="K39"/>
      <c r="L39"/>
      <c r="M39"/>
      <c r="N39"/>
      <c r="O39"/>
      <c r="P39" s="17"/>
      <c r="Q39" s="17"/>
      <c r="R39" s="17"/>
      <c r="S39" s="17"/>
      <c r="T39"/>
      <c r="U39"/>
      <c r="V39"/>
      <c r="W39"/>
      <c r="X39"/>
      <c r="Y39"/>
      <c r="Z39"/>
      <c r="AA39"/>
      <c r="AB39"/>
    </row>
    <row r="40" spans="1:4791" x14ac:dyDescent="0.25">
      <c r="E40"/>
      <c r="F40"/>
      <c r="G40"/>
      <c r="H40"/>
      <c r="I40"/>
      <c r="J40"/>
      <c r="K40"/>
      <c r="L40"/>
      <c r="O40"/>
      <c r="P40" t="s">
        <v>4325</v>
      </c>
      <c r="Q40" t="s">
        <v>4326</v>
      </c>
      <c r="R40" t="s">
        <v>4327</v>
      </c>
      <c r="S40" t="s">
        <v>13</v>
      </c>
      <c r="T40"/>
      <c r="U40"/>
      <c r="V40"/>
      <c r="W40"/>
      <c r="X40"/>
      <c r="Y40"/>
      <c r="Z40"/>
      <c r="AA40"/>
      <c r="AB40"/>
    </row>
    <row r="41" spans="1:4791" x14ac:dyDescent="0.25">
      <c r="E41"/>
      <c r="F41"/>
      <c r="G41"/>
      <c r="H41"/>
      <c r="I41"/>
      <c r="J41"/>
      <c r="K41" s="9" t="s">
        <v>4331</v>
      </c>
      <c r="L41"/>
      <c r="M41" s="1" t="s">
        <v>4328</v>
      </c>
      <c r="N41" s="1" t="s">
        <v>4322</v>
      </c>
      <c r="O41"/>
      <c r="P41" t="s">
        <v>4</v>
      </c>
      <c r="Q41" s="12">
        <v>2.9458333333333333</v>
      </c>
      <c r="R41" s="1">
        <f>MEDIAN(Table1[Quantity])</f>
        <v>3</v>
      </c>
      <c r="S41" s="12">
        <v>1200</v>
      </c>
      <c r="T41"/>
      <c r="U41"/>
      <c r="V41"/>
      <c r="W41"/>
      <c r="X41"/>
      <c r="Y41"/>
      <c r="Z41"/>
      <c r="AA41"/>
      <c r="AB41"/>
    </row>
    <row r="42" spans="1:4791" x14ac:dyDescent="0.25">
      <c r="E42"/>
      <c r="F42"/>
      <c r="G42"/>
      <c r="H42"/>
      <c r="I42"/>
      <c r="J42"/>
      <c r="K42" s="1">
        <f>MEDIAN(Table1[Quantity])</f>
        <v>3</v>
      </c>
      <c r="L42"/>
      <c r="M42" s="12">
        <v>1200</v>
      </c>
      <c r="N42" s="12">
        <v>2.9458333333333333</v>
      </c>
      <c r="O42"/>
      <c r="P42" t="s">
        <v>5</v>
      </c>
      <c r="Q42" s="7">
        <v>356.41275000000002</v>
      </c>
      <c r="R42" s="1">
        <f>MEDIAN(Table1[UnitPrice])</f>
        <v>364.21</v>
      </c>
      <c r="S42" s="12">
        <v>1200</v>
      </c>
      <c r="T42"/>
      <c r="U42"/>
      <c r="V42"/>
      <c r="W42"/>
      <c r="X42"/>
      <c r="Y42"/>
      <c r="Z42"/>
      <c r="AA42"/>
      <c r="AB42"/>
    </row>
    <row r="43" spans="1:4791" x14ac:dyDescent="0.25">
      <c r="E43"/>
      <c r="F43"/>
      <c r="G43"/>
      <c r="H43"/>
      <c r="I43"/>
      <c r="J43"/>
      <c r="L43"/>
      <c r="M43"/>
      <c r="N43"/>
      <c r="O43"/>
      <c r="P43" t="s">
        <v>13</v>
      </c>
      <c r="Q43" s="13">
        <v>1053.9683000000005</v>
      </c>
      <c r="R43" s="1">
        <f>MEDIAN(Table1[TotalPrice])</f>
        <v>823.61500000000001</v>
      </c>
      <c r="S43" s="12">
        <v>1200</v>
      </c>
      <c r="T43"/>
      <c r="U43"/>
      <c r="V43"/>
      <c r="W43"/>
      <c r="X43"/>
      <c r="Y43"/>
      <c r="Z43"/>
      <c r="AA43"/>
      <c r="AB43"/>
    </row>
    <row r="44" spans="1:4791" x14ac:dyDescent="0.25">
      <c r="E44"/>
      <c r="F44"/>
      <c r="G44"/>
      <c r="H44"/>
      <c r="I44"/>
      <c r="J44"/>
      <c r="K44" s="9" t="s">
        <v>4332</v>
      </c>
      <c r="L44"/>
      <c r="M44" s="1" t="s">
        <v>4329</v>
      </c>
      <c r="N44" s="1" t="s">
        <v>4323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:4791" x14ac:dyDescent="0.25">
      <c r="E45"/>
      <c r="F45"/>
      <c r="G45"/>
      <c r="H45"/>
      <c r="I45"/>
      <c r="J45"/>
      <c r="K45" s="1">
        <f>MEDIAN(Table1[UnitPrice])</f>
        <v>364.21</v>
      </c>
      <c r="L45"/>
      <c r="M45" s="7">
        <v>1200</v>
      </c>
      <c r="N45" s="7">
        <v>356.41275000000002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1:4791" x14ac:dyDescent="0.25"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:4791" x14ac:dyDescent="0.25">
      <c r="D47"/>
      <c r="E47"/>
      <c r="F47"/>
      <c r="G47"/>
      <c r="H47"/>
      <c r="I47"/>
      <c r="J47"/>
      <c r="K47" s="9" t="s">
        <v>4332</v>
      </c>
      <c r="L47"/>
      <c r="M47" s="1" t="s">
        <v>4330</v>
      </c>
      <c r="N47" s="1" t="s">
        <v>4324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4791" x14ac:dyDescent="0.25">
      <c r="D48"/>
      <c r="E48"/>
      <c r="F48"/>
      <c r="G48"/>
      <c r="H48"/>
      <c r="I48"/>
      <c r="J48"/>
      <c r="K48" s="1">
        <f>MEDIAN(Table1[TotalPrice])</f>
        <v>823.61500000000001</v>
      </c>
      <c r="L48"/>
      <c r="M48" s="13">
        <v>1200</v>
      </c>
      <c r="N48" s="13">
        <v>1053.9683000000005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4:28" x14ac:dyDescent="0.25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4:28" x14ac:dyDescent="0.25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4:28" x14ac:dyDescent="0.25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4:28" x14ac:dyDescent="0.25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4:28" x14ac:dyDescent="0.25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4:28" x14ac:dyDescent="0.25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4:28" x14ac:dyDescent="0.25"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4:28" x14ac:dyDescent="0.25"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4:28" x14ac:dyDescent="0.25"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4:28" x14ac:dyDescent="0.25"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4:28" x14ac:dyDescent="0.25"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4:28" x14ac:dyDescent="0.25"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4:28" x14ac:dyDescent="0.25"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4:28" x14ac:dyDescent="0.25"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4:28" x14ac:dyDescent="0.25"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4:28" x14ac:dyDescent="0.25"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4:28" x14ac:dyDescent="0.25"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4:28" x14ac:dyDescent="0.25"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4:28" x14ac:dyDescent="0.25"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4:28" x14ac:dyDescent="0.25"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4:28" x14ac:dyDescent="0.25"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4:28" x14ac:dyDescent="0.25"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4:28" x14ac:dyDescent="0.25"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4:28" x14ac:dyDescent="0.25"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4:28" x14ac:dyDescent="0.25"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4:28" x14ac:dyDescent="0.25"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4:28" x14ac:dyDescent="0.25"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4:28" x14ac:dyDescent="0.25"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4:28" x14ac:dyDescent="0.25"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4:28" x14ac:dyDescent="0.25"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4:28" x14ac:dyDescent="0.25"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4:28" x14ac:dyDescent="0.25"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4:28" x14ac:dyDescent="0.25"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4:28" x14ac:dyDescent="0.25"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4:28" x14ac:dyDescent="0.25"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4:28" x14ac:dyDescent="0.25"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4:28" x14ac:dyDescent="0.25"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4:28" x14ac:dyDescent="0.25"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4:28" x14ac:dyDescent="0.25"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4:28" x14ac:dyDescent="0.25"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4:28" x14ac:dyDescent="0.25"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4:28" x14ac:dyDescent="0.25"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4:28" x14ac:dyDescent="0.25"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4:28" x14ac:dyDescent="0.25"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4:28" x14ac:dyDescent="0.25"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4:28" x14ac:dyDescent="0.25"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4:28" x14ac:dyDescent="0.25"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4:28" x14ac:dyDescent="0.25"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4:28" x14ac:dyDescent="0.25"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4:28" x14ac:dyDescent="0.25"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4:28" x14ac:dyDescent="0.25"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4:28" x14ac:dyDescent="0.25"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4:28" x14ac:dyDescent="0.25"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4:28" x14ac:dyDescent="0.25"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4:28" x14ac:dyDescent="0.25"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4:28" x14ac:dyDescent="0.25"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4:28" x14ac:dyDescent="0.25"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4:28" x14ac:dyDescent="0.25"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4:28" x14ac:dyDescent="0.25"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4:28" x14ac:dyDescent="0.25"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4:28" x14ac:dyDescent="0.25"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4:28" x14ac:dyDescent="0.25"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4:28" x14ac:dyDescent="0.25"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4:28" x14ac:dyDescent="0.25"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4:28" x14ac:dyDescent="0.25"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4:28" x14ac:dyDescent="0.25"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4:28" x14ac:dyDescent="0.25"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4:28" x14ac:dyDescent="0.25"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4:28" x14ac:dyDescent="0.25"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4:28" x14ac:dyDescent="0.25"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4:28" x14ac:dyDescent="0.25"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4:28" x14ac:dyDescent="0.25"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4:28" x14ac:dyDescent="0.25"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4:28" x14ac:dyDescent="0.25"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4:28" x14ac:dyDescent="0.25"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4:28" x14ac:dyDescent="0.25"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4:28" x14ac:dyDescent="0.25"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4:28" x14ac:dyDescent="0.25"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4:28" x14ac:dyDescent="0.25"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4:28" x14ac:dyDescent="0.25"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4:28" x14ac:dyDescent="0.25"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4:28" x14ac:dyDescent="0.25"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4:28" x14ac:dyDescent="0.25"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4:28" x14ac:dyDescent="0.25"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4:28" x14ac:dyDescent="0.25"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4:28" x14ac:dyDescent="0.25"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4:28" x14ac:dyDescent="0.25"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4:28" x14ac:dyDescent="0.25"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4:28" x14ac:dyDescent="0.25"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4:28" x14ac:dyDescent="0.25"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4:28" x14ac:dyDescent="0.25"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4:28" x14ac:dyDescent="0.25"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4:28" x14ac:dyDescent="0.25"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4:28" x14ac:dyDescent="0.25"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4:28" x14ac:dyDescent="0.25"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4:28" x14ac:dyDescent="0.25"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4:28" x14ac:dyDescent="0.25"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4:28" x14ac:dyDescent="0.25"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4:28" x14ac:dyDescent="0.25"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4:28" x14ac:dyDescent="0.25"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4:28" x14ac:dyDescent="0.25"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4:28" x14ac:dyDescent="0.25"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4:28" x14ac:dyDescent="0.25"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4:28" x14ac:dyDescent="0.25"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4:28" x14ac:dyDescent="0.25"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4:28" x14ac:dyDescent="0.25"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4:28" x14ac:dyDescent="0.25"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4:28" x14ac:dyDescent="0.25"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4:28" x14ac:dyDescent="0.25"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4:28" x14ac:dyDescent="0.25"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4:28" x14ac:dyDescent="0.25"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4:28" x14ac:dyDescent="0.25"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4:28" x14ac:dyDescent="0.25"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4:28" x14ac:dyDescent="0.25"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4:28" x14ac:dyDescent="0.25"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4:28" x14ac:dyDescent="0.25"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4:28" x14ac:dyDescent="0.25"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4:28" x14ac:dyDescent="0.25"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4:28" x14ac:dyDescent="0.25"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4:28" x14ac:dyDescent="0.25"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4:28" x14ac:dyDescent="0.25"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4:28" x14ac:dyDescent="0.25"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4:28" x14ac:dyDescent="0.25"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4:28" x14ac:dyDescent="0.25"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4:28" x14ac:dyDescent="0.25"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4:28" x14ac:dyDescent="0.25"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4:28" x14ac:dyDescent="0.25"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4:28" x14ac:dyDescent="0.25"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4:28" x14ac:dyDescent="0.25"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4:28" x14ac:dyDescent="0.25"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4:28" x14ac:dyDescent="0.25"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4:28" x14ac:dyDescent="0.25"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4:28" x14ac:dyDescent="0.25"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4:28" x14ac:dyDescent="0.25"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4:28" x14ac:dyDescent="0.25"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4:28" x14ac:dyDescent="0.25"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4:28" x14ac:dyDescent="0.25"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4:28" x14ac:dyDescent="0.25"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4:28" x14ac:dyDescent="0.25"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4:28" x14ac:dyDescent="0.25"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4:28" x14ac:dyDescent="0.25"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4:28" x14ac:dyDescent="0.25"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4:28" x14ac:dyDescent="0.25"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4:28" x14ac:dyDescent="0.25"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4:28" x14ac:dyDescent="0.25"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4:28" x14ac:dyDescent="0.25"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4:28" x14ac:dyDescent="0.25"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4:28" x14ac:dyDescent="0.25"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4:28" x14ac:dyDescent="0.25"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4:28" x14ac:dyDescent="0.25"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4:28" x14ac:dyDescent="0.25"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4:28" x14ac:dyDescent="0.25"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4:28" x14ac:dyDescent="0.25"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4:28" x14ac:dyDescent="0.25"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4:28" x14ac:dyDescent="0.25"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4:28" x14ac:dyDescent="0.25"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4:28" x14ac:dyDescent="0.25"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4:28" x14ac:dyDescent="0.25"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4:28" x14ac:dyDescent="0.25"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4:28" x14ac:dyDescent="0.25"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4:28" x14ac:dyDescent="0.25"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4:28" x14ac:dyDescent="0.25"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4:28" x14ac:dyDescent="0.25"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4:28" x14ac:dyDescent="0.25"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4:28" x14ac:dyDescent="0.25"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4:28" x14ac:dyDescent="0.25"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4:28" x14ac:dyDescent="0.25"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4:28" x14ac:dyDescent="0.25"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4:28" x14ac:dyDescent="0.25"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4:28" x14ac:dyDescent="0.25"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4:28" x14ac:dyDescent="0.25"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4:28" x14ac:dyDescent="0.25"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4:28" x14ac:dyDescent="0.25"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4:28" x14ac:dyDescent="0.25"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4:28" x14ac:dyDescent="0.25"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4:28" x14ac:dyDescent="0.25"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4:28" x14ac:dyDescent="0.25"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4:28" x14ac:dyDescent="0.25"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4:28" x14ac:dyDescent="0.25"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4:28" x14ac:dyDescent="0.25"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4:28" x14ac:dyDescent="0.25"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4:28" x14ac:dyDescent="0.25"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4:28" x14ac:dyDescent="0.25"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4:28" x14ac:dyDescent="0.25"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4:28" x14ac:dyDescent="0.25"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4:28" x14ac:dyDescent="0.25"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4:28" x14ac:dyDescent="0.25"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4:28" x14ac:dyDescent="0.25"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4:28" x14ac:dyDescent="0.25"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4:28" x14ac:dyDescent="0.25"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4:28" x14ac:dyDescent="0.25"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4:28" x14ac:dyDescent="0.25"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4:28" x14ac:dyDescent="0.25"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4:28" x14ac:dyDescent="0.25"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4:28" x14ac:dyDescent="0.25"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4:28" x14ac:dyDescent="0.25"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4:28" x14ac:dyDescent="0.25"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4:28" x14ac:dyDescent="0.25"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4:28" x14ac:dyDescent="0.25"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4:28" x14ac:dyDescent="0.25"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4:28" x14ac:dyDescent="0.25"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4:28" x14ac:dyDescent="0.25"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4:28" x14ac:dyDescent="0.25"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4:28" x14ac:dyDescent="0.25"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4:28" x14ac:dyDescent="0.25"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</row>
    <row r="254" spans="4:28" x14ac:dyDescent="0.25"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4:28" x14ac:dyDescent="0.25"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4:28" x14ac:dyDescent="0.25"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4:28" x14ac:dyDescent="0.25"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4:28" x14ac:dyDescent="0.25"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4:28" x14ac:dyDescent="0.25"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4:28" x14ac:dyDescent="0.25"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4:28" x14ac:dyDescent="0.25"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4:28" x14ac:dyDescent="0.25"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4:28" x14ac:dyDescent="0.25"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4:28" x14ac:dyDescent="0.25"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4:28" x14ac:dyDescent="0.25"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4:28" x14ac:dyDescent="0.25"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4:28" x14ac:dyDescent="0.25"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4:28" x14ac:dyDescent="0.25"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4:28" x14ac:dyDescent="0.25"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4:28" x14ac:dyDescent="0.25"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4:28" x14ac:dyDescent="0.25"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4:28" x14ac:dyDescent="0.25"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4:28" x14ac:dyDescent="0.25"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4:28" x14ac:dyDescent="0.25"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4:28" x14ac:dyDescent="0.25"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4:28" x14ac:dyDescent="0.25"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4:28" x14ac:dyDescent="0.25"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4:28" x14ac:dyDescent="0.25"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4:28" x14ac:dyDescent="0.25"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4:28" x14ac:dyDescent="0.25"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4:28" x14ac:dyDescent="0.25"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4:28" x14ac:dyDescent="0.25"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4:28" x14ac:dyDescent="0.25"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4:28" x14ac:dyDescent="0.25"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4:28" x14ac:dyDescent="0.25"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4:28" x14ac:dyDescent="0.25"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4:28" x14ac:dyDescent="0.25"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4:28" x14ac:dyDescent="0.25"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4:28" x14ac:dyDescent="0.25"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4:28" x14ac:dyDescent="0.25"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4:28" x14ac:dyDescent="0.25"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4:28" x14ac:dyDescent="0.25"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4:28" x14ac:dyDescent="0.25"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4:28" x14ac:dyDescent="0.25"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4:28" x14ac:dyDescent="0.25"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4:28" x14ac:dyDescent="0.25"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4:28" x14ac:dyDescent="0.25"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4:28" x14ac:dyDescent="0.25"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4:28" x14ac:dyDescent="0.25"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4:28" x14ac:dyDescent="0.25"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4:28" x14ac:dyDescent="0.25"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4:28" x14ac:dyDescent="0.25"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4:28" x14ac:dyDescent="0.25"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4:28" x14ac:dyDescent="0.25"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4:28" x14ac:dyDescent="0.25"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4:28" x14ac:dyDescent="0.25"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4:28" x14ac:dyDescent="0.25"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4:28" x14ac:dyDescent="0.25"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4:28" x14ac:dyDescent="0.25"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4:28" x14ac:dyDescent="0.25"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4:28" x14ac:dyDescent="0.25"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4:28" x14ac:dyDescent="0.25"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4:28" x14ac:dyDescent="0.25"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4:28" x14ac:dyDescent="0.25"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4:28" x14ac:dyDescent="0.25"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4:28" x14ac:dyDescent="0.25"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4:28" x14ac:dyDescent="0.25"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4:28" x14ac:dyDescent="0.25"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4:28" x14ac:dyDescent="0.25"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4:28" x14ac:dyDescent="0.25"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4:28" x14ac:dyDescent="0.25"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4:28" x14ac:dyDescent="0.25"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4:28" x14ac:dyDescent="0.25"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4:28" x14ac:dyDescent="0.25"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4:28" x14ac:dyDescent="0.25"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4:28" x14ac:dyDescent="0.25"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4:28" x14ac:dyDescent="0.25"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4:28" x14ac:dyDescent="0.25"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4:28" x14ac:dyDescent="0.25"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4:28" x14ac:dyDescent="0.25"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4:28" x14ac:dyDescent="0.25"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4:28" x14ac:dyDescent="0.25"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4:28" x14ac:dyDescent="0.25"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4:28" x14ac:dyDescent="0.25"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4:28" x14ac:dyDescent="0.25"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4:28" x14ac:dyDescent="0.25"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4:28" x14ac:dyDescent="0.25"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4:28" x14ac:dyDescent="0.25"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4:28" x14ac:dyDescent="0.25"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4:28" x14ac:dyDescent="0.25"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4:28" x14ac:dyDescent="0.25"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4:28" x14ac:dyDescent="0.25"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4:28" x14ac:dyDescent="0.25"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4:28" x14ac:dyDescent="0.25"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4:28" x14ac:dyDescent="0.25"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4:28" x14ac:dyDescent="0.25"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4:28" x14ac:dyDescent="0.25"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4:28" x14ac:dyDescent="0.25"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4:28" x14ac:dyDescent="0.25"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4:28" x14ac:dyDescent="0.25"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4:28" x14ac:dyDescent="0.25"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4:28" x14ac:dyDescent="0.25"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4:28" x14ac:dyDescent="0.25"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4:28" x14ac:dyDescent="0.25"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4:28" x14ac:dyDescent="0.25"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4:28" x14ac:dyDescent="0.25"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4:28" x14ac:dyDescent="0.25"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4:28" x14ac:dyDescent="0.25"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4:28" x14ac:dyDescent="0.25"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4:28" x14ac:dyDescent="0.25"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4:28" x14ac:dyDescent="0.25"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4:28" x14ac:dyDescent="0.25"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4:28" x14ac:dyDescent="0.25"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4:28" x14ac:dyDescent="0.25"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4:28" x14ac:dyDescent="0.25"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4:28" x14ac:dyDescent="0.25"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4:28" x14ac:dyDescent="0.25"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4:28" x14ac:dyDescent="0.25"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4:28" x14ac:dyDescent="0.25"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4:28" x14ac:dyDescent="0.25"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4:28" x14ac:dyDescent="0.25"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4:28" x14ac:dyDescent="0.25"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4:28" x14ac:dyDescent="0.25"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4:28" x14ac:dyDescent="0.25"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4:28" x14ac:dyDescent="0.25"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4:28" x14ac:dyDescent="0.25"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4:28" x14ac:dyDescent="0.25"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4:28" x14ac:dyDescent="0.25"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4:28" x14ac:dyDescent="0.25"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4:28" x14ac:dyDescent="0.25"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4:28" x14ac:dyDescent="0.25"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4:28" x14ac:dyDescent="0.25"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4:28" x14ac:dyDescent="0.25"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4:28" x14ac:dyDescent="0.25"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4:28" x14ac:dyDescent="0.25"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4:28" x14ac:dyDescent="0.25"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4:28" x14ac:dyDescent="0.25"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4:28" x14ac:dyDescent="0.25"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4:28" x14ac:dyDescent="0.25"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4:28" x14ac:dyDescent="0.25"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4:28" x14ac:dyDescent="0.25"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4:28" x14ac:dyDescent="0.25"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4:28" x14ac:dyDescent="0.25"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4:28" x14ac:dyDescent="0.25"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4:28" x14ac:dyDescent="0.25"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4:28" x14ac:dyDescent="0.25"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4:28" x14ac:dyDescent="0.25"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4:28" x14ac:dyDescent="0.25"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4:28" x14ac:dyDescent="0.25"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4:28" x14ac:dyDescent="0.25"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4:28" x14ac:dyDescent="0.25"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4:28" x14ac:dyDescent="0.25"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4:28" x14ac:dyDescent="0.25"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4:28" x14ac:dyDescent="0.25"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4:28" x14ac:dyDescent="0.25"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4:28" x14ac:dyDescent="0.25"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4:28" x14ac:dyDescent="0.25"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4:28" x14ac:dyDescent="0.25"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4:28" x14ac:dyDescent="0.25"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4:28" x14ac:dyDescent="0.25"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4:28" x14ac:dyDescent="0.25"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4:28" x14ac:dyDescent="0.25"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4:28" x14ac:dyDescent="0.25"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4:28" x14ac:dyDescent="0.25"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4:28" x14ac:dyDescent="0.25"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4:28" x14ac:dyDescent="0.25"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4:28" x14ac:dyDescent="0.25"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4:28" x14ac:dyDescent="0.25"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4:28" x14ac:dyDescent="0.25"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4:28" x14ac:dyDescent="0.25"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4:28" x14ac:dyDescent="0.25"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4:28" x14ac:dyDescent="0.25"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4:28" x14ac:dyDescent="0.25"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4:28" x14ac:dyDescent="0.25"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4:28" x14ac:dyDescent="0.25"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4:28" x14ac:dyDescent="0.25"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4:28" x14ac:dyDescent="0.25"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4:28" x14ac:dyDescent="0.25"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4:28" x14ac:dyDescent="0.25"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4:28" x14ac:dyDescent="0.25"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4:28" x14ac:dyDescent="0.25"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4:28" x14ac:dyDescent="0.25"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4:28" x14ac:dyDescent="0.25"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4:28" x14ac:dyDescent="0.25"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4:28" x14ac:dyDescent="0.25"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4:28" x14ac:dyDescent="0.25"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4:28" x14ac:dyDescent="0.25"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4:28" x14ac:dyDescent="0.25"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4:28" x14ac:dyDescent="0.25"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4:28" x14ac:dyDescent="0.25"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4:28" x14ac:dyDescent="0.25"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4:28" x14ac:dyDescent="0.25"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4:28" x14ac:dyDescent="0.25"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4:28" x14ac:dyDescent="0.25"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4:28" x14ac:dyDescent="0.25"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4:28" x14ac:dyDescent="0.25"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4:28" x14ac:dyDescent="0.25"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4:28" x14ac:dyDescent="0.25"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4:28" x14ac:dyDescent="0.25"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4:28" x14ac:dyDescent="0.25"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4:28" x14ac:dyDescent="0.25"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4:28" x14ac:dyDescent="0.25"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4:28" x14ac:dyDescent="0.25"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4:28" x14ac:dyDescent="0.25"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4:28" x14ac:dyDescent="0.25"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4:28" x14ac:dyDescent="0.25"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 spans="4:28" x14ac:dyDescent="0.25"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</row>
    <row r="458" spans="4:28" x14ac:dyDescent="0.25"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</row>
    <row r="459" spans="4:28" x14ac:dyDescent="0.25"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</row>
    <row r="460" spans="4:28" x14ac:dyDescent="0.25"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</row>
    <row r="461" spans="4:28" x14ac:dyDescent="0.25"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</row>
    <row r="462" spans="4:28" x14ac:dyDescent="0.25"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</row>
    <row r="463" spans="4:28" x14ac:dyDescent="0.25"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</row>
    <row r="464" spans="4:28" x14ac:dyDescent="0.25"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</row>
    <row r="465" spans="4:28" x14ac:dyDescent="0.25"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</row>
    <row r="466" spans="4:28" x14ac:dyDescent="0.25"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</row>
    <row r="467" spans="4:28" x14ac:dyDescent="0.25"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</row>
    <row r="468" spans="4:28" x14ac:dyDescent="0.25"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</row>
    <row r="469" spans="4:28" x14ac:dyDescent="0.25"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</row>
    <row r="470" spans="4:28" x14ac:dyDescent="0.25"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</row>
    <row r="471" spans="4:28" x14ac:dyDescent="0.25"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</row>
    <row r="472" spans="4:28" x14ac:dyDescent="0.25"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</row>
    <row r="473" spans="4:28" x14ac:dyDescent="0.25"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</row>
    <row r="474" spans="4:28" x14ac:dyDescent="0.25"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</row>
    <row r="475" spans="4:28" x14ac:dyDescent="0.25"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</row>
    <row r="476" spans="4:28" x14ac:dyDescent="0.25"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</row>
    <row r="477" spans="4:28" x14ac:dyDescent="0.25"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</row>
    <row r="478" spans="4:28" x14ac:dyDescent="0.25"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</row>
    <row r="479" spans="4:28" x14ac:dyDescent="0.25"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</row>
    <row r="480" spans="4:28" x14ac:dyDescent="0.25"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</row>
    <row r="481" spans="4:28" x14ac:dyDescent="0.25"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</row>
    <row r="482" spans="4:28" x14ac:dyDescent="0.25"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</row>
    <row r="483" spans="4:28" x14ac:dyDescent="0.25"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</row>
    <row r="484" spans="4:28" x14ac:dyDescent="0.25"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</row>
    <row r="485" spans="4:28" x14ac:dyDescent="0.25"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</row>
    <row r="486" spans="4:28" x14ac:dyDescent="0.25"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</row>
    <row r="487" spans="4:28" x14ac:dyDescent="0.25"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</row>
    <row r="488" spans="4:28" x14ac:dyDescent="0.25"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</row>
    <row r="489" spans="4:28" x14ac:dyDescent="0.25"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</row>
    <row r="490" spans="4:28" x14ac:dyDescent="0.25"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</row>
    <row r="491" spans="4:28" x14ac:dyDescent="0.25"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</row>
    <row r="492" spans="4:28" x14ac:dyDescent="0.25"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</row>
    <row r="493" spans="4:28" x14ac:dyDescent="0.25"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</row>
    <row r="494" spans="4:28" x14ac:dyDescent="0.25"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</row>
    <row r="495" spans="4:28" x14ac:dyDescent="0.25"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</row>
    <row r="496" spans="4:28" x14ac:dyDescent="0.25"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</row>
    <row r="497" spans="4:28" x14ac:dyDescent="0.25"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</row>
    <row r="498" spans="4:28" x14ac:dyDescent="0.25"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</row>
    <row r="499" spans="4:28" x14ac:dyDescent="0.25"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</row>
    <row r="500" spans="4:28" x14ac:dyDescent="0.25"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</row>
    <row r="501" spans="4:28" x14ac:dyDescent="0.25"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</row>
    <row r="502" spans="4:28" x14ac:dyDescent="0.25"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</row>
    <row r="503" spans="4:28" x14ac:dyDescent="0.25"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</row>
    <row r="504" spans="4:28" x14ac:dyDescent="0.25"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</row>
    <row r="505" spans="4:28" x14ac:dyDescent="0.25"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</row>
    <row r="506" spans="4:28" x14ac:dyDescent="0.25"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</row>
    <row r="507" spans="4:28" x14ac:dyDescent="0.25"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</row>
    <row r="508" spans="4:28" x14ac:dyDescent="0.25"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</row>
    <row r="509" spans="4:28" x14ac:dyDescent="0.25"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</row>
    <row r="510" spans="4:28" x14ac:dyDescent="0.25"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</row>
    <row r="511" spans="4:28" x14ac:dyDescent="0.25"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</row>
    <row r="512" spans="4:28" x14ac:dyDescent="0.25"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</row>
    <row r="513" spans="4:28" x14ac:dyDescent="0.25"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</row>
    <row r="514" spans="4:28" x14ac:dyDescent="0.25"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</row>
    <row r="515" spans="4:28" x14ac:dyDescent="0.25"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</row>
    <row r="516" spans="4:28" x14ac:dyDescent="0.25"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</row>
    <row r="517" spans="4:28" x14ac:dyDescent="0.25"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</row>
    <row r="518" spans="4:28" x14ac:dyDescent="0.25"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</row>
    <row r="519" spans="4:28" x14ac:dyDescent="0.25"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</row>
    <row r="520" spans="4:28" x14ac:dyDescent="0.25"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</row>
    <row r="521" spans="4:28" x14ac:dyDescent="0.25"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</row>
    <row r="522" spans="4:28" x14ac:dyDescent="0.25"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</row>
    <row r="523" spans="4:28" x14ac:dyDescent="0.25"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</row>
    <row r="524" spans="4:28" x14ac:dyDescent="0.25"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</row>
    <row r="525" spans="4:28" x14ac:dyDescent="0.25"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</row>
    <row r="526" spans="4:28" x14ac:dyDescent="0.25"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</row>
    <row r="527" spans="4:28" x14ac:dyDescent="0.25"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</row>
    <row r="528" spans="4:28" x14ac:dyDescent="0.25"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</row>
    <row r="529" spans="4:28" x14ac:dyDescent="0.25"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</row>
    <row r="530" spans="4:28" x14ac:dyDescent="0.25"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</row>
    <row r="531" spans="4:28" x14ac:dyDescent="0.25"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</row>
    <row r="532" spans="4:28" x14ac:dyDescent="0.25"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</row>
    <row r="533" spans="4:28" x14ac:dyDescent="0.25"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</row>
    <row r="534" spans="4:28" x14ac:dyDescent="0.25"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</row>
    <row r="535" spans="4:28" x14ac:dyDescent="0.25"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</row>
    <row r="536" spans="4:28" x14ac:dyDescent="0.25"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</row>
    <row r="537" spans="4:28" x14ac:dyDescent="0.25"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</row>
    <row r="538" spans="4:28" x14ac:dyDescent="0.25"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</row>
    <row r="539" spans="4:28" x14ac:dyDescent="0.25"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</row>
    <row r="540" spans="4:28" x14ac:dyDescent="0.25"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</row>
    <row r="541" spans="4:28" x14ac:dyDescent="0.25"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</row>
    <row r="542" spans="4:28" x14ac:dyDescent="0.25"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</row>
    <row r="543" spans="4:28" x14ac:dyDescent="0.25"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</row>
    <row r="544" spans="4:28" x14ac:dyDescent="0.25"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</row>
    <row r="545" spans="4:28" x14ac:dyDescent="0.25"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</row>
    <row r="546" spans="4:28" x14ac:dyDescent="0.25"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</row>
    <row r="547" spans="4:28" x14ac:dyDescent="0.25"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</row>
    <row r="548" spans="4:28" x14ac:dyDescent="0.25"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</row>
    <row r="549" spans="4:28" x14ac:dyDescent="0.25"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</row>
    <row r="550" spans="4:28" x14ac:dyDescent="0.25"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</row>
    <row r="551" spans="4:28" x14ac:dyDescent="0.25"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</row>
    <row r="552" spans="4:28" x14ac:dyDescent="0.25"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</row>
    <row r="553" spans="4:28" x14ac:dyDescent="0.25"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</row>
    <row r="554" spans="4:28" x14ac:dyDescent="0.25"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</row>
    <row r="555" spans="4:28" x14ac:dyDescent="0.25"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</row>
    <row r="556" spans="4:28" x14ac:dyDescent="0.25"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</row>
    <row r="557" spans="4:28" x14ac:dyDescent="0.25"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</row>
    <row r="558" spans="4:28" x14ac:dyDescent="0.25"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</row>
    <row r="559" spans="4:28" x14ac:dyDescent="0.25"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</row>
    <row r="560" spans="4:28" x14ac:dyDescent="0.25"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</row>
    <row r="561" spans="4:28" x14ac:dyDescent="0.25"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</row>
    <row r="562" spans="4:28" x14ac:dyDescent="0.25"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</row>
    <row r="563" spans="4:28" x14ac:dyDescent="0.25"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</row>
    <row r="564" spans="4:28" x14ac:dyDescent="0.25"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</row>
    <row r="565" spans="4:28" x14ac:dyDescent="0.25"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</row>
    <row r="566" spans="4:28" x14ac:dyDescent="0.25"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</row>
    <row r="567" spans="4:28" x14ac:dyDescent="0.25"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</row>
    <row r="568" spans="4:28" x14ac:dyDescent="0.25"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</row>
    <row r="569" spans="4:28" x14ac:dyDescent="0.25"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</row>
    <row r="570" spans="4:28" x14ac:dyDescent="0.25"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</row>
    <row r="571" spans="4:28" x14ac:dyDescent="0.25"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</row>
    <row r="572" spans="4:28" x14ac:dyDescent="0.25"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</row>
    <row r="573" spans="4:28" x14ac:dyDescent="0.25"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</row>
    <row r="574" spans="4:28" x14ac:dyDescent="0.25"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</row>
    <row r="575" spans="4:28" x14ac:dyDescent="0.25"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</row>
    <row r="576" spans="4:28" x14ac:dyDescent="0.25"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</row>
    <row r="577" spans="4:28" x14ac:dyDescent="0.25"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</row>
    <row r="578" spans="4:28" x14ac:dyDescent="0.25"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</row>
    <row r="579" spans="4:28" x14ac:dyDescent="0.25"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</row>
    <row r="580" spans="4:28" x14ac:dyDescent="0.25"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</row>
    <row r="581" spans="4:28" x14ac:dyDescent="0.25"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</row>
    <row r="582" spans="4:28" x14ac:dyDescent="0.25"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</row>
    <row r="583" spans="4:28" x14ac:dyDescent="0.25"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</row>
    <row r="584" spans="4:28" x14ac:dyDescent="0.25"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</row>
    <row r="585" spans="4:28" x14ac:dyDescent="0.25"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</row>
    <row r="586" spans="4:28" x14ac:dyDescent="0.25"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</row>
    <row r="587" spans="4:28" x14ac:dyDescent="0.25"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</row>
    <row r="588" spans="4:28" x14ac:dyDescent="0.25"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</row>
    <row r="589" spans="4:28" x14ac:dyDescent="0.25"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</row>
    <row r="590" spans="4:28" x14ac:dyDescent="0.25"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</row>
    <row r="591" spans="4:28" x14ac:dyDescent="0.25"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</row>
    <row r="592" spans="4:28" x14ac:dyDescent="0.25"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</row>
    <row r="593" spans="4:28" x14ac:dyDescent="0.25"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</row>
    <row r="594" spans="4:28" x14ac:dyDescent="0.25"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</row>
    <row r="595" spans="4:28" x14ac:dyDescent="0.25"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</row>
    <row r="596" spans="4:28" x14ac:dyDescent="0.25"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</row>
    <row r="597" spans="4:28" x14ac:dyDescent="0.25"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</row>
    <row r="598" spans="4:28" x14ac:dyDescent="0.25"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</row>
    <row r="599" spans="4:28" x14ac:dyDescent="0.25"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</row>
    <row r="600" spans="4:28" x14ac:dyDescent="0.25"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</row>
    <row r="601" spans="4:28" x14ac:dyDescent="0.25"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</row>
    <row r="602" spans="4:28" x14ac:dyDescent="0.25"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</row>
    <row r="603" spans="4:28" x14ac:dyDescent="0.25"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</row>
    <row r="604" spans="4:28" x14ac:dyDescent="0.25"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</row>
    <row r="605" spans="4:28" x14ac:dyDescent="0.25"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</row>
    <row r="606" spans="4:28" x14ac:dyDescent="0.25"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</row>
    <row r="607" spans="4:28" x14ac:dyDescent="0.25"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</row>
    <row r="608" spans="4:28" x14ac:dyDescent="0.25"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</row>
    <row r="609" spans="4:28" x14ac:dyDescent="0.25"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</row>
    <row r="610" spans="4:28" x14ac:dyDescent="0.25"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</row>
    <row r="611" spans="4:28" x14ac:dyDescent="0.25"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</row>
    <row r="612" spans="4:28" x14ac:dyDescent="0.25"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</row>
    <row r="613" spans="4:28" x14ac:dyDescent="0.25"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</row>
    <row r="614" spans="4:28" x14ac:dyDescent="0.25"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</row>
    <row r="615" spans="4:28" x14ac:dyDescent="0.25"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</row>
    <row r="616" spans="4:28" x14ac:dyDescent="0.25"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</row>
    <row r="617" spans="4:28" x14ac:dyDescent="0.25"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</row>
    <row r="618" spans="4:28" x14ac:dyDescent="0.25"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</row>
    <row r="619" spans="4:28" x14ac:dyDescent="0.25"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</row>
    <row r="620" spans="4:28" x14ac:dyDescent="0.25"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</row>
    <row r="621" spans="4:28" x14ac:dyDescent="0.25"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</row>
    <row r="622" spans="4:28" x14ac:dyDescent="0.25"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</row>
    <row r="623" spans="4:28" x14ac:dyDescent="0.25"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</row>
    <row r="624" spans="4:28" x14ac:dyDescent="0.25"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</row>
    <row r="625" spans="4:28" x14ac:dyDescent="0.25"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</row>
    <row r="626" spans="4:28" x14ac:dyDescent="0.25"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</row>
    <row r="627" spans="4:28" x14ac:dyDescent="0.25"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</row>
    <row r="628" spans="4:28" x14ac:dyDescent="0.25"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</row>
    <row r="629" spans="4:28" x14ac:dyDescent="0.25"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</row>
    <row r="630" spans="4:28" x14ac:dyDescent="0.25"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</row>
    <row r="631" spans="4:28" x14ac:dyDescent="0.25"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</row>
    <row r="632" spans="4:28" x14ac:dyDescent="0.25"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</row>
    <row r="633" spans="4:28" x14ac:dyDescent="0.25"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</row>
    <row r="634" spans="4:28" x14ac:dyDescent="0.25"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</row>
    <row r="635" spans="4:28" x14ac:dyDescent="0.25"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</row>
    <row r="636" spans="4:28" x14ac:dyDescent="0.25"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</row>
    <row r="637" spans="4:28" x14ac:dyDescent="0.25"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</row>
    <row r="638" spans="4:28" x14ac:dyDescent="0.25"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</row>
    <row r="639" spans="4:28" x14ac:dyDescent="0.25"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</row>
    <row r="640" spans="4:28" x14ac:dyDescent="0.25"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</row>
    <row r="641" spans="4:28" x14ac:dyDescent="0.25"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</row>
    <row r="642" spans="4:28" x14ac:dyDescent="0.25"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</row>
    <row r="643" spans="4:28" x14ac:dyDescent="0.25"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</row>
    <row r="644" spans="4:28" x14ac:dyDescent="0.25"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</row>
    <row r="645" spans="4:28" x14ac:dyDescent="0.25"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</row>
    <row r="646" spans="4:28" x14ac:dyDescent="0.25"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</row>
    <row r="647" spans="4:28" x14ac:dyDescent="0.25"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</row>
    <row r="648" spans="4:28" x14ac:dyDescent="0.25"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</row>
    <row r="649" spans="4:28" x14ac:dyDescent="0.25"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</row>
    <row r="650" spans="4:28" x14ac:dyDescent="0.25"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</row>
    <row r="651" spans="4:28" x14ac:dyDescent="0.25"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</row>
    <row r="652" spans="4:28" x14ac:dyDescent="0.25"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</row>
    <row r="653" spans="4:28" x14ac:dyDescent="0.25"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</row>
    <row r="654" spans="4:28" x14ac:dyDescent="0.25"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</row>
    <row r="655" spans="4:28" x14ac:dyDescent="0.25"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</row>
    <row r="656" spans="4:28" x14ac:dyDescent="0.25"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</row>
    <row r="657" spans="4:28" x14ac:dyDescent="0.25"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</row>
    <row r="658" spans="4:28" x14ac:dyDescent="0.25"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</row>
    <row r="659" spans="4:28" x14ac:dyDescent="0.25"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</row>
    <row r="660" spans="4:28" x14ac:dyDescent="0.25"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</row>
    <row r="661" spans="4:28" x14ac:dyDescent="0.25"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</row>
    <row r="662" spans="4:28" x14ac:dyDescent="0.25"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</row>
    <row r="663" spans="4:28" x14ac:dyDescent="0.25"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</row>
    <row r="664" spans="4:28" x14ac:dyDescent="0.25"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</row>
    <row r="665" spans="4:28" x14ac:dyDescent="0.25"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</row>
    <row r="666" spans="4:28" x14ac:dyDescent="0.25"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</row>
    <row r="667" spans="4:28" x14ac:dyDescent="0.25"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</row>
    <row r="668" spans="4:28" x14ac:dyDescent="0.25"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</row>
    <row r="669" spans="4:28" x14ac:dyDescent="0.25"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</row>
    <row r="670" spans="4:28" x14ac:dyDescent="0.25"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</row>
    <row r="671" spans="4:28" x14ac:dyDescent="0.25"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</row>
    <row r="672" spans="4:28" x14ac:dyDescent="0.25"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</row>
    <row r="673" spans="4:28" x14ac:dyDescent="0.25"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</row>
    <row r="674" spans="4:28" x14ac:dyDescent="0.25"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</row>
    <row r="675" spans="4:28" x14ac:dyDescent="0.25"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</row>
    <row r="676" spans="4:28" x14ac:dyDescent="0.25"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</row>
    <row r="677" spans="4:28" x14ac:dyDescent="0.25"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</row>
    <row r="678" spans="4:28" x14ac:dyDescent="0.25"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</row>
    <row r="679" spans="4:28" x14ac:dyDescent="0.25"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</row>
    <row r="680" spans="4:28" x14ac:dyDescent="0.25"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</row>
    <row r="681" spans="4:28" x14ac:dyDescent="0.25"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</row>
    <row r="682" spans="4:28" x14ac:dyDescent="0.25"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</row>
    <row r="683" spans="4:28" x14ac:dyDescent="0.25"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</row>
    <row r="684" spans="4:28" x14ac:dyDescent="0.25"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</row>
    <row r="685" spans="4:28" x14ac:dyDescent="0.25"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</row>
    <row r="686" spans="4:28" x14ac:dyDescent="0.25"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</row>
    <row r="687" spans="4:28" x14ac:dyDescent="0.25"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</row>
    <row r="688" spans="4:28" x14ac:dyDescent="0.25"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</row>
    <row r="689" spans="4:28" x14ac:dyDescent="0.25"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</row>
    <row r="690" spans="4:28" x14ac:dyDescent="0.25"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</row>
    <row r="691" spans="4:28" x14ac:dyDescent="0.25"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</row>
    <row r="692" spans="4:28" x14ac:dyDescent="0.25"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</row>
    <row r="693" spans="4:28" x14ac:dyDescent="0.25"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</row>
    <row r="694" spans="4:28" x14ac:dyDescent="0.25"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</row>
    <row r="695" spans="4:28" x14ac:dyDescent="0.25"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</row>
    <row r="696" spans="4:28" x14ac:dyDescent="0.25"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</row>
    <row r="697" spans="4:28" x14ac:dyDescent="0.25"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</row>
    <row r="698" spans="4:28" x14ac:dyDescent="0.25"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</row>
    <row r="699" spans="4:28" x14ac:dyDescent="0.25"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</row>
    <row r="700" spans="4:28" x14ac:dyDescent="0.25"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</row>
    <row r="701" spans="4:28" x14ac:dyDescent="0.25"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</row>
    <row r="702" spans="4:28" x14ac:dyDescent="0.25"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</row>
    <row r="703" spans="4:28" x14ac:dyDescent="0.25"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</row>
    <row r="704" spans="4:28" x14ac:dyDescent="0.25"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</row>
    <row r="705" spans="4:28" x14ac:dyDescent="0.25"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</row>
    <row r="706" spans="4:28" x14ac:dyDescent="0.25"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</row>
    <row r="707" spans="4:28" x14ac:dyDescent="0.25"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</row>
    <row r="708" spans="4:28" x14ac:dyDescent="0.25"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</row>
    <row r="709" spans="4:28" x14ac:dyDescent="0.25"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</row>
    <row r="710" spans="4:28" x14ac:dyDescent="0.25"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</row>
    <row r="711" spans="4:28" x14ac:dyDescent="0.25"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</row>
    <row r="712" spans="4:28" x14ac:dyDescent="0.25"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</row>
    <row r="713" spans="4:28" x14ac:dyDescent="0.25"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</row>
    <row r="714" spans="4:28" x14ac:dyDescent="0.25"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</row>
    <row r="715" spans="4:28" x14ac:dyDescent="0.25"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</row>
    <row r="716" spans="4:28" x14ac:dyDescent="0.25"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</row>
    <row r="717" spans="4:28" x14ac:dyDescent="0.25"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</row>
    <row r="718" spans="4:28" x14ac:dyDescent="0.25"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</row>
    <row r="719" spans="4:28" x14ac:dyDescent="0.25"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</row>
    <row r="720" spans="4:28" x14ac:dyDescent="0.25"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</row>
    <row r="721" spans="4:28" x14ac:dyDescent="0.25"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</row>
    <row r="722" spans="4:28" x14ac:dyDescent="0.25"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</row>
    <row r="723" spans="4:28" x14ac:dyDescent="0.25"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</row>
    <row r="724" spans="4:28" x14ac:dyDescent="0.25"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</row>
    <row r="725" spans="4:28" x14ac:dyDescent="0.25"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</row>
    <row r="726" spans="4:28" x14ac:dyDescent="0.25"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</row>
    <row r="727" spans="4:28" x14ac:dyDescent="0.25"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</row>
    <row r="728" spans="4:28" x14ac:dyDescent="0.25"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</row>
    <row r="729" spans="4:28" x14ac:dyDescent="0.25"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</row>
    <row r="730" spans="4:28" x14ac:dyDescent="0.25"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</row>
    <row r="731" spans="4:28" x14ac:dyDescent="0.25"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</row>
    <row r="732" spans="4:28" x14ac:dyDescent="0.25"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</row>
    <row r="733" spans="4:28" x14ac:dyDescent="0.25"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</row>
    <row r="734" spans="4:28" x14ac:dyDescent="0.25"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</row>
    <row r="735" spans="4:28" x14ac:dyDescent="0.25"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</row>
    <row r="736" spans="4:28" x14ac:dyDescent="0.25"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</row>
    <row r="737" spans="4:28" x14ac:dyDescent="0.25"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</row>
    <row r="738" spans="4:28" x14ac:dyDescent="0.25"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</row>
    <row r="739" spans="4:28" x14ac:dyDescent="0.25"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</row>
    <row r="740" spans="4:28" x14ac:dyDescent="0.25"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</row>
    <row r="741" spans="4:28" x14ac:dyDescent="0.25"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</row>
    <row r="742" spans="4:28" x14ac:dyDescent="0.25"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</row>
    <row r="743" spans="4:28" x14ac:dyDescent="0.25"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</row>
    <row r="744" spans="4:28" x14ac:dyDescent="0.25"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</row>
    <row r="745" spans="4:28" x14ac:dyDescent="0.25"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</row>
    <row r="746" spans="4:28" x14ac:dyDescent="0.25"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</row>
    <row r="747" spans="4:28" x14ac:dyDescent="0.25"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</row>
    <row r="748" spans="4:28" x14ac:dyDescent="0.25"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</row>
    <row r="749" spans="4:28" x14ac:dyDescent="0.25"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</row>
    <row r="750" spans="4:28" x14ac:dyDescent="0.25"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</row>
    <row r="751" spans="4:28" x14ac:dyDescent="0.25"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</row>
    <row r="752" spans="4:28" x14ac:dyDescent="0.25"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</row>
    <row r="753" spans="4:28" x14ac:dyDescent="0.25"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</row>
    <row r="754" spans="4:28" x14ac:dyDescent="0.25"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</row>
    <row r="755" spans="4:28" x14ac:dyDescent="0.25"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</row>
    <row r="756" spans="4:28" x14ac:dyDescent="0.25"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</row>
    <row r="757" spans="4:28" x14ac:dyDescent="0.25"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</row>
    <row r="758" spans="4:28" x14ac:dyDescent="0.25"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</row>
    <row r="759" spans="4:28" x14ac:dyDescent="0.25"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</row>
    <row r="760" spans="4:28" x14ac:dyDescent="0.25"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</row>
    <row r="761" spans="4:28" x14ac:dyDescent="0.25"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</row>
    <row r="762" spans="4:28" x14ac:dyDescent="0.25"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</row>
    <row r="763" spans="4:28" x14ac:dyDescent="0.25"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</row>
    <row r="764" spans="4:28" x14ac:dyDescent="0.25"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</row>
    <row r="765" spans="4:28" x14ac:dyDescent="0.25"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</row>
    <row r="766" spans="4:28" x14ac:dyDescent="0.25"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</row>
    <row r="767" spans="4:28" x14ac:dyDescent="0.25"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</row>
    <row r="768" spans="4:28" x14ac:dyDescent="0.25"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</row>
    <row r="769" spans="4:28" x14ac:dyDescent="0.25"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</row>
    <row r="770" spans="4:28" x14ac:dyDescent="0.25"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</row>
    <row r="771" spans="4:28" x14ac:dyDescent="0.25"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</row>
    <row r="772" spans="4:28" x14ac:dyDescent="0.25"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</row>
    <row r="773" spans="4:28" x14ac:dyDescent="0.25"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</row>
    <row r="774" spans="4:28" x14ac:dyDescent="0.25"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</row>
    <row r="775" spans="4:28" x14ac:dyDescent="0.25"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</row>
    <row r="776" spans="4:28" x14ac:dyDescent="0.25"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</row>
    <row r="777" spans="4:28" x14ac:dyDescent="0.25"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</row>
    <row r="778" spans="4:28" x14ac:dyDescent="0.25"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</row>
    <row r="779" spans="4:28" x14ac:dyDescent="0.25"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</row>
    <row r="780" spans="4:28" x14ac:dyDescent="0.25"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</row>
    <row r="781" spans="4:28" x14ac:dyDescent="0.25"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</row>
    <row r="782" spans="4:28" x14ac:dyDescent="0.25"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</row>
    <row r="783" spans="4:28" x14ac:dyDescent="0.25"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</row>
    <row r="784" spans="4:28" x14ac:dyDescent="0.25"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</row>
    <row r="785" spans="4:28" x14ac:dyDescent="0.25"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</row>
    <row r="786" spans="4:28" x14ac:dyDescent="0.25"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</row>
    <row r="787" spans="4:28" x14ac:dyDescent="0.25"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</row>
    <row r="788" spans="4:28" x14ac:dyDescent="0.25"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</row>
    <row r="789" spans="4:28" x14ac:dyDescent="0.25"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</row>
    <row r="790" spans="4:28" x14ac:dyDescent="0.25"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</row>
    <row r="791" spans="4:28" x14ac:dyDescent="0.25"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</row>
    <row r="792" spans="4:28" x14ac:dyDescent="0.25"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</row>
    <row r="793" spans="4:28" x14ac:dyDescent="0.25"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</row>
    <row r="794" spans="4:28" x14ac:dyDescent="0.25"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</row>
    <row r="795" spans="4:28" x14ac:dyDescent="0.25"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</row>
    <row r="796" spans="4:28" x14ac:dyDescent="0.25"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</row>
    <row r="797" spans="4:28" x14ac:dyDescent="0.25"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</row>
    <row r="798" spans="4:28" x14ac:dyDescent="0.25"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</row>
    <row r="799" spans="4:28" x14ac:dyDescent="0.25"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</row>
    <row r="800" spans="4:28" x14ac:dyDescent="0.25"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</row>
    <row r="801" spans="4:28" x14ac:dyDescent="0.25"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</row>
    <row r="802" spans="4:28" x14ac:dyDescent="0.25"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</row>
    <row r="803" spans="4:28" x14ac:dyDescent="0.25"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</row>
    <row r="804" spans="4:28" x14ac:dyDescent="0.25"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</row>
    <row r="805" spans="4:28" x14ac:dyDescent="0.25"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</row>
    <row r="806" spans="4:28" x14ac:dyDescent="0.25"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</row>
    <row r="807" spans="4:28" x14ac:dyDescent="0.25"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</row>
    <row r="808" spans="4:28" x14ac:dyDescent="0.25"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</row>
    <row r="809" spans="4:28" x14ac:dyDescent="0.25"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</row>
    <row r="810" spans="4:28" x14ac:dyDescent="0.25"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</row>
    <row r="811" spans="4:28" x14ac:dyDescent="0.25"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</row>
    <row r="812" spans="4:28" x14ac:dyDescent="0.25"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</row>
    <row r="813" spans="4:28" x14ac:dyDescent="0.25"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</row>
    <row r="814" spans="4:28" x14ac:dyDescent="0.25"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</row>
    <row r="815" spans="4:28" x14ac:dyDescent="0.25"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</row>
    <row r="816" spans="4:28" x14ac:dyDescent="0.25"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</row>
    <row r="817" spans="4:28" x14ac:dyDescent="0.25"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</row>
    <row r="818" spans="4:28" x14ac:dyDescent="0.25"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</row>
    <row r="819" spans="4:28" x14ac:dyDescent="0.25"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</row>
    <row r="820" spans="4:28" x14ac:dyDescent="0.25"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</row>
    <row r="821" spans="4:28" x14ac:dyDescent="0.25"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</row>
    <row r="822" spans="4:28" x14ac:dyDescent="0.25"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</row>
    <row r="823" spans="4:28" x14ac:dyDescent="0.25"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</row>
    <row r="824" spans="4:28" x14ac:dyDescent="0.25"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</row>
    <row r="825" spans="4:28" x14ac:dyDescent="0.25"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</row>
    <row r="826" spans="4:28" x14ac:dyDescent="0.25"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</row>
    <row r="827" spans="4:28" x14ac:dyDescent="0.25"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</row>
    <row r="828" spans="4:28" x14ac:dyDescent="0.25"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</row>
    <row r="829" spans="4:28" x14ac:dyDescent="0.25"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</row>
    <row r="830" spans="4:28" x14ac:dyDescent="0.25"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</row>
    <row r="831" spans="4:28" x14ac:dyDescent="0.25"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</row>
    <row r="832" spans="4:28" x14ac:dyDescent="0.25"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</row>
    <row r="833" spans="4:28" x14ac:dyDescent="0.25"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</row>
    <row r="834" spans="4:28" x14ac:dyDescent="0.25"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</row>
    <row r="835" spans="4:28" x14ac:dyDescent="0.25"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</row>
    <row r="836" spans="4:28" x14ac:dyDescent="0.25"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</row>
    <row r="837" spans="4:28" x14ac:dyDescent="0.25"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</row>
    <row r="838" spans="4:28" x14ac:dyDescent="0.25"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</row>
    <row r="839" spans="4:28" x14ac:dyDescent="0.25"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</row>
    <row r="840" spans="4:28" x14ac:dyDescent="0.25"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</row>
    <row r="841" spans="4:28" x14ac:dyDescent="0.25"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</row>
    <row r="842" spans="4:28" x14ac:dyDescent="0.25"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</row>
    <row r="843" spans="4:28" x14ac:dyDescent="0.25"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</row>
    <row r="844" spans="4:28" x14ac:dyDescent="0.25"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</row>
    <row r="845" spans="4:28" x14ac:dyDescent="0.25"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</row>
    <row r="846" spans="4:28" x14ac:dyDescent="0.25"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</row>
    <row r="847" spans="4:28" x14ac:dyDescent="0.25"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</row>
    <row r="848" spans="4:28" x14ac:dyDescent="0.25"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</row>
    <row r="849" spans="4:28" x14ac:dyDescent="0.25"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</row>
    <row r="850" spans="4:28" x14ac:dyDescent="0.25"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</row>
    <row r="851" spans="4:28" x14ac:dyDescent="0.25"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</row>
    <row r="852" spans="4:28" x14ac:dyDescent="0.25"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</row>
    <row r="853" spans="4:28" x14ac:dyDescent="0.25"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</row>
    <row r="854" spans="4:28" x14ac:dyDescent="0.25"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</row>
    <row r="855" spans="4:28" x14ac:dyDescent="0.25"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</row>
    <row r="856" spans="4:28" x14ac:dyDescent="0.25"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</row>
    <row r="857" spans="4:28" x14ac:dyDescent="0.25"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</row>
    <row r="858" spans="4:28" x14ac:dyDescent="0.25"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</row>
    <row r="859" spans="4:28" x14ac:dyDescent="0.25"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</row>
    <row r="860" spans="4:28" x14ac:dyDescent="0.25"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</row>
    <row r="861" spans="4:28" x14ac:dyDescent="0.25"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</row>
    <row r="862" spans="4:28" x14ac:dyDescent="0.25"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</row>
    <row r="863" spans="4:28" x14ac:dyDescent="0.25"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</row>
    <row r="864" spans="4:28" x14ac:dyDescent="0.25"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</row>
    <row r="865" spans="4:28" x14ac:dyDescent="0.25"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</row>
    <row r="866" spans="4:28" x14ac:dyDescent="0.25"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</row>
    <row r="867" spans="4:28" x14ac:dyDescent="0.25"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</row>
    <row r="868" spans="4:28" x14ac:dyDescent="0.25"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</row>
    <row r="869" spans="4:28" x14ac:dyDescent="0.25"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</row>
    <row r="870" spans="4:28" x14ac:dyDescent="0.25"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</row>
    <row r="871" spans="4:28" x14ac:dyDescent="0.25"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</row>
    <row r="872" spans="4:28" x14ac:dyDescent="0.25"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</row>
    <row r="873" spans="4:28" x14ac:dyDescent="0.25"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</row>
    <row r="874" spans="4:28" x14ac:dyDescent="0.25"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</row>
    <row r="875" spans="4:28" x14ac:dyDescent="0.25"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</row>
    <row r="876" spans="4:28" x14ac:dyDescent="0.25"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</row>
    <row r="877" spans="4:28" x14ac:dyDescent="0.25"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</row>
    <row r="878" spans="4:28" x14ac:dyDescent="0.25"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</row>
    <row r="879" spans="4:28" x14ac:dyDescent="0.25"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</row>
    <row r="880" spans="4:28" x14ac:dyDescent="0.25"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</row>
    <row r="881" spans="4:28" x14ac:dyDescent="0.25"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</row>
    <row r="882" spans="4:28" x14ac:dyDescent="0.25"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</row>
    <row r="883" spans="4:28" x14ac:dyDescent="0.25"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</row>
    <row r="884" spans="4:28" x14ac:dyDescent="0.25"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</row>
    <row r="885" spans="4:28" x14ac:dyDescent="0.25"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</row>
    <row r="886" spans="4:28" x14ac:dyDescent="0.25"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</row>
    <row r="887" spans="4:28" x14ac:dyDescent="0.25"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</row>
    <row r="888" spans="4:28" x14ac:dyDescent="0.25"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</row>
    <row r="889" spans="4:28" x14ac:dyDescent="0.25"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</row>
    <row r="890" spans="4:28" x14ac:dyDescent="0.25"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</row>
    <row r="891" spans="4:28" x14ac:dyDescent="0.25"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</row>
    <row r="892" spans="4:28" x14ac:dyDescent="0.25"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</row>
    <row r="893" spans="4:28" x14ac:dyDescent="0.25"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</row>
    <row r="894" spans="4:28" x14ac:dyDescent="0.25"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</row>
    <row r="895" spans="4:28" x14ac:dyDescent="0.25"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</row>
    <row r="896" spans="4:28" x14ac:dyDescent="0.25"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</row>
    <row r="897" spans="4:28" x14ac:dyDescent="0.25"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</row>
    <row r="898" spans="4:28" x14ac:dyDescent="0.25"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</row>
    <row r="899" spans="4:28" x14ac:dyDescent="0.25"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</row>
    <row r="900" spans="4:28" x14ac:dyDescent="0.25"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</row>
    <row r="901" spans="4:28" x14ac:dyDescent="0.25"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</row>
    <row r="902" spans="4:28" x14ac:dyDescent="0.25"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</row>
    <row r="903" spans="4:28" x14ac:dyDescent="0.25"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</row>
    <row r="904" spans="4:28" x14ac:dyDescent="0.25"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</row>
    <row r="905" spans="4:28" x14ac:dyDescent="0.25"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</row>
    <row r="906" spans="4:28" x14ac:dyDescent="0.25"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</row>
    <row r="907" spans="4:28" x14ac:dyDescent="0.25"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</row>
    <row r="908" spans="4:28" x14ac:dyDescent="0.25"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</row>
    <row r="909" spans="4:28" x14ac:dyDescent="0.25"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</row>
    <row r="910" spans="4:28" x14ac:dyDescent="0.25"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</row>
    <row r="911" spans="4:28" x14ac:dyDescent="0.25"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</row>
    <row r="912" spans="4:28" x14ac:dyDescent="0.25"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</row>
    <row r="913" spans="4:28" x14ac:dyDescent="0.25"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</row>
    <row r="914" spans="4:28" x14ac:dyDescent="0.25"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</row>
    <row r="915" spans="4:28" x14ac:dyDescent="0.25"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</row>
    <row r="916" spans="4:28" x14ac:dyDescent="0.25"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</row>
    <row r="917" spans="4:28" x14ac:dyDescent="0.25"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</row>
    <row r="918" spans="4:28" x14ac:dyDescent="0.25"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</row>
    <row r="919" spans="4:28" x14ac:dyDescent="0.25"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</row>
    <row r="920" spans="4:28" x14ac:dyDescent="0.25"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</row>
    <row r="921" spans="4:28" x14ac:dyDescent="0.25"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</row>
    <row r="922" spans="4:28" x14ac:dyDescent="0.25"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</row>
    <row r="923" spans="4:28" x14ac:dyDescent="0.25"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</row>
    <row r="924" spans="4:28" x14ac:dyDescent="0.25"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</row>
    <row r="925" spans="4:28" x14ac:dyDescent="0.25"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</row>
    <row r="926" spans="4:28" x14ac:dyDescent="0.25"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</row>
    <row r="927" spans="4:28" x14ac:dyDescent="0.25"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</row>
    <row r="928" spans="4:28" x14ac:dyDescent="0.25"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</row>
    <row r="929" spans="4:28" x14ac:dyDescent="0.25"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</row>
    <row r="930" spans="4:28" x14ac:dyDescent="0.25"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</row>
    <row r="931" spans="4:28" x14ac:dyDescent="0.25"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</row>
    <row r="932" spans="4:28" x14ac:dyDescent="0.25"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</row>
    <row r="933" spans="4:28" x14ac:dyDescent="0.25"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</row>
    <row r="934" spans="4:28" x14ac:dyDescent="0.25"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</row>
    <row r="935" spans="4:28" x14ac:dyDescent="0.25"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</row>
    <row r="936" spans="4:28" x14ac:dyDescent="0.25"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</row>
    <row r="937" spans="4:28" x14ac:dyDescent="0.25"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</row>
    <row r="938" spans="4:28" x14ac:dyDescent="0.25"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</row>
    <row r="939" spans="4:28" x14ac:dyDescent="0.25"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</row>
    <row r="940" spans="4:28" x14ac:dyDescent="0.25"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</row>
    <row r="941" spans="4:28" x14ac:dyDescent="0.25"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</row>
    <row r="942" spans="4:28" x14ac:dyDescent="0.25"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</row>
    <row r="943" spans="4:28" x14ac:dyDescent="0.25"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</row>
    <row r="944" spans="4:28" x14ac:dyDescent="0.25"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</row>
    <row r="945" spans="4:28" x14ac:dyDescent="0.25"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</row>
    <row r="946" spans="4:28" x14ac:dyDescent="0.25"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</row>
    <row r="947" spans="4:28" x14ac:dyDescent="0.25"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</row>
    <row r="948" spans="4:28" x14ac:dyDescent="0.25"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</row>
    <row r="949" spans="4:28" x14ac:dyDescent="0.25"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</row>
    <row r="950" spans="4:28" x14ac:dyDescent="0.25"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</row>
    <row r="951" spans="4:28" x14ac:dyDescent="0.25"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</row>
    <row r="952" spans="4:28" x14ac:dyDescent="0.25"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</row>
    <row r="953" spans="4:28" x14ac:dyDescent="0.25"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</row>
    <row r="954" spans="4:28" x14ac:dyDescent="0.25"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</row>
    <row r="955" spans="4:28" x14ac:dyDescent="0.25"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</row>
    <row r="956" spans="4:28" x14ac:dyDescent="0.25"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</row>
    <row r="957" spans="4:28" x14ac:dyDescent="0.25"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</row>
    <row r="958" spans="4:28" x14ac:dyDescent="0.25"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</row>
    <row r="959" spans="4:28" x14ac:dyDescent="0.25"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</row>
    <row r="960" spans="4:28" x14ac:dyDescent="0.25"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</row>
    <row r="961" spans="4:28" x14ac:dyDescent="0.25"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</row>
    <row r="962" spans="4:28" x14ac:dyDescent="0.25"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</row>
    <row r="963" spans="4:28" x14ac:dyDescent="0.25"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</row>
    <row r="964" spans="4:28" x14ac:dyDescent="0.25"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</row>
    <row r="965" spans="4:28" x14ac:dyDescent="0.25"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</row>
    <row r="966" spans="4:28" x14ac:dyDescent="0.25"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</row>
    <row r="967" spans="4:28" x14ac:dyDescent="0.25"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</row>
    <row r="968" spans="4:28" x14ac:dyDescent="0.25"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</row>
    <row r="969" spans="4:28" x14ac:dyDescent="0.25"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</row>
    <row r="970" spans="4:28" x14ac:dyDescent="0.25"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</row>
    <row r="971" spans="4:28" x14ac:dyDescent="0.25"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</row>
    <row r="972" spans="4:28" x14ac:dyDescent="0.25"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</row>
    <row r="973" spans="4:28" x14ac:dyDescent="0.25"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</row>
    <row r="974" spans="4:28" x14ac:dyDescent="0.25"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</row>
    <row r="975" spans="4:28" x14ac:dyDescent="0.25"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</row>
    <row r="976" spans="4:28" x14ac:dyDescent="0.25"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</row>
    <row r="977" spans="4:28" x14ac:dyDescent="0.25"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</row>
    <row r="978" spans="4:28" x14ac:dyDescent="0.25"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</row>
    <row r="979" spans="4:28" x14ac:dyDescent="0.25"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</row>
    <row r="980" spans="4:28" x14ac:dyDescent="0.25"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</row>
    <row r="981" spans="4:28" x14ac:dyDescent="0.25"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</row>
    <row r="982" spans="4:28" x14ac:dyDescent="0.25"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</row>
    <row r="983" spans="4:28" x14ac:dyDescent="0.25"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</row>
    <row r="984" spans="4:28" x14ac:dyDescent="0.25"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</row>
    <row r="985" spans="4:28" x14ac:dyDescent="0.25"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</row>
    <row r="986" spans="4:28" x14ac:dyDescent="0.25"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</row>
    <row r="987" spans="4:28" x14ac:dyDescent="0.25"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</row>
    <row r="988" spans="4:28" x14ac:dyDescent="0.25"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</row>
    <row r="989" spans="4:28" x14ac:dyDescent="0.25"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</row>
    <row r="990" spans="4:28" x14ac:dyDescent="0.25"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</row>
    <row r="991" spans="4:28" x14ac:dyDescent="0.25"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</row>
    <row r="992" spans="4:28" x14ac:dyDescent="0.25"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</row>
    <row r="993" spans="4:28" x14ac:dyDescent="0.25"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</row>
    <row r="994" spans="4:28" x14ac:dyDescent="0.25"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</row>
    <row r="995" spans="4:28" x14ac:dyDescent="0.25"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</row>
    <row r="996" spans="4:28" x14ac:dyDescent="0.25"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</row>
    <row r="997" spans="4:28" x14ac:dyDescent="0.25"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</row>
    <row r="998" spans="4:28" x14ac:dyDescent="0.25"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</row>
    <row r="999" spans="4:28" x14ac:dyDescent="0.25"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</row>
    <row r="1000" spans="4:28" x14ac:dyDescent="0.25"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</row>
    <row r="1001" spans="4:28" x14ac:dyDescent="0.25"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</row>
    <row r="1002" spans="4:28" x14ac:dyDescent="0.25"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</row>
    <row r="1003" spans="4:28" x14ac:dyDescent="0.25"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</row>
    <row r="1004" spans="4:28" x14ac:dyDescent="0.25"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</row>
    <row r="1005" spans="4:28" x14ac:dyDescent="0.25"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</row>
    <row r="1006" spans="4:28" x14ac:dyDescent="0.25"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</row>
    <row r="1007" spans="4:28" x14ac:dyDescent="0.25"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</row>
    <row r="1008" spans="4:28" x14ac:dyDescent="0.25"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</row>
    <row r="1009" spans="4:28" x14ac:dyDescent="0.25"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</row>
    <row r="1010" spans="4:28" x14ac:dyDescent="0.25"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</row>
    <row r="1011" spans="4:28" x14ac:dyDescent="0.25"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</row>
    <row r="1012" spans="4:28" x14ac:dyDescent="0.25"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</row>
    <row r="1013" spans="4:28" x14ac:dyDescent="0.25"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</row>
    <row r="1014" spans="4:28" x14ac:dyDescent="0.25"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</row>
    <row r="1015" spans="4:28" x14ac:dyDescent="0.25"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</row>
    <row r="1016" spans="4:28" x14ac:dyDescent="0.25"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</row>
    <row r="1017" spans="4:28" x14ac:dyDescent="0.25"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</row>
    <row r="1018" spans="4:28" x14ac:dyDescent="0.25"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</row>
    <row r="1019" spans="4:28" x14ac:dyDescent="0.25"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</row>
    <row r="1020" spans="4:28" x14ac:dyDescent="0.25"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</row>
    <row r="1021" spans="4:28" x14ac:dyDescent="0.25"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</row>
    <row r="1022" spans="4:28" x14ac:dyDescent="0.25"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</row>
    <row r="1023" spans="4:28" x14ac:dyDescent="0.25"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</row>
    <row r="1024" spans="4:28" x14ac:dyDescent="0.25"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</row>
    <row r="1025" spans="4:28" x14ac:dyDescent="0.25"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</row>
    <row r="1026" spans="4:28" x14ac:dyDescent="0.25"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</row>
    <row r="1027" spans="4:28" x14ac:dyDescent="0.25"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</row>
    <row r="1028" spans="4:28" x14ac:dyDescent="0.25"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</row>
    <row r="1029" spans="4:28" x14ac:dyDescent="0.25"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</row>
    <row r="1030" spans="4:28" x14ac:dyDescent="0.25"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</row>
    <row r="1031" spans="4:28" x14ac:dyDescent="0.25"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</row>
    <row r="1032" spans="4:28" x14ac:dyDescent="0.25"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</row>
    <row r="1033" spans="4:28" x14ac:dyDescent="0.25"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</row>
    <row r="1034" spans="4:28" x14ac:dyDescent="0.25"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</row>
    <row r="1035" spans="4:28" x14ac:dyDescent="0.25"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</row>
    <row r="1036" spans="4:28" x14ac:dyDescent="0.25"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</row>
    <row r="1037" spans="4:28" x14ac:dyDescent="0.25"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</row>
    <row r="1038" spans="4:28" x14ac:dyDescent="0.25"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</row>
    <row r="1039" spans="4:28" x14ac:dyDescent="0.25"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</row>
    <row r="1040" spans="4:28" x14ac:dyDescent="0.25"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</row>
    <row r="1041" spans="4:28" x14ac:dyDescent="0.25"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</row>
    <row r="1042" spans="4:28" x14ac:dyDescent="0.25"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</row>
    <row r="1043" spans="4:28" x14ac:dyDescent="0.25"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</row>
    <row r="1044" spans="4:28" x14ac:dyDescent="0.25"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</row>
    <row r="1045" spans="4:28" x14ac:dyDescent="0.25"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</row>
    <row r="1046" spans="4:28" x14ac:dyDescent="0.25"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</row>
    <row r="1047" spans="4:28" x14ac:dyDescent="0.25"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</row>
    <row r="1048" spans="4:28" x14ac:dyDescent="0.25"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</row>
    <row r="1049" spans="4:28" x14ac:dyDescent="0.25"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</row>
    <row r="1050" spans="4:28" x14ac:dyDescent="0.25"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</row>
    <row r="1051" spans="4:28" x14ac:dyDescent="0.25"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</row>
    <row r="1052" spans="4:28" x14ac:dyDescent="0.25"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</row>
    <row r="1053" spans="4:28" x14ac:dyDescent="0.25"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</row>
    <row r="1054" spans="4:28" x14ac:dyDescent="0.25"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</row>
    <row r="1055" spans="4:28" x14ac:dyDescent="0.25"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</row>
    <row r="1056" spans="4:28" x14ac:dyDescent="0.25"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</row>
    <row r="1057" spans="4:28" x14ac:dyDescent="0.25"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</row>
    <row r="1058" spans="4:28" x14ac:dyDescent="0.25"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</row>
    <row r="1059" spans="4:28" x14ac:dyDescent="0.25"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</row>
    <row r="1060" spans="4:28" x14ac:dyDescent="0.25"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</row>
    <row r="1061" spans="4:28" x14ac:dyDescent="0.25"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</row>
    <row r="1062" spans="4:28" x14ac:dyDescent="0.25"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</row>
    <row r="1063" spans="4:28" x14ac:dyDescent="0.25"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</row>
    <row r="1064" spans="4:28" x14ac:dyDescent="0.25"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</row>
    <row r="1065" spans="4:28" x14ac:dyDescent="0.25"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</row>
    <row r="1066" spans="4:28" x14ac:dyDescent="0.25"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</row>
    <row r="1067" spans="4:28" x14ac:dyDescent="0.25"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</row>
    <row r="1068" spans="4:28" x14ac:dyDescent="0.25"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</row>
    <row r="1069" spans="4:28" x14ac:dyDescent="0.25"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</row>
    <row r="1070" spans="4:28" x14ac:dyDescent="0.25"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</row>
    <row r="1071" spans="4:28" x14ac:dyDescent="0.25"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</row>
    <row r="1072" spans="4:28" x14ac:dyDescent="0.25"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</row>
    <row r="1073" spans="4:28" x14ac:dyDescent="0.25"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</row>
    <row r="1074" spans="4:28" x14ac:dyDescent="0.25"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</row>
    <row r="1075" spans="4:28" x14ac:dyDescent="0.25"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</row>
    <row r="1076" spans="4:28" x14ac:dyDescent="0.25"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</row>
    <row r="1077" spans="4:28" x14ac:dyDescent="0.25"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</row>
    <row r="1078" spans="4:28" x14ac:dyDescent="0.25"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</row>
    <row r="1079" spans="4:28" x14ac:dyDescent="0.25"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</row>
    <row r="1080" spans="4:28" x14ac:dyDescent="0.25"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</row>
    <row r="1081" spans="4:28" x14ac:dyDescent="0.25"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</row>
    <row r="1082" spans="4:28" x14ac:dyDescent="0.25"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</row>
    <row r="1083" spans="4:28" x14ac:dyDescent="0.25"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</row>
    <row r="1084" spans="4:28" x14ac:dyDescent="0.25"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</row>
    <row r="1085" spans="4:28" x14ac:dyDescent="0.25"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</row>
    <row r="1086" spans="4:28" x14ac:dyDescent="0.25"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</row>
    <row r="1087" spans="4:28" x14ac:dyDescent="0.25"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</row>
    <row r="1088" spans="4:28" x14ac:dyDescent="0.25"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</row>
    <row r="1089" spans="4:28" x14ac:dyDescent="0.25"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</row>
    <row r="1090" spans="4:28" x14ac:dyDescent="0.25"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</row>
    <row r="1091" spans="4:28" x14ac:dyDescent="0.25"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</row>
    <row r="1092" spans="4:28" x14ac:dyDescent="0.25"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</row>
    <row r="1093" spans="4:28" x14ac:dyDescent="0.25"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</row>
    <row r="1094" spans="4:28" x14ac:dyDescent="0.25"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</row>
    <row r="1095" spans="4:28" x14ac:dyDescent="0.25"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</row>
    <row r="1096" spans="4:28" x14ac:dyDescent="0.25"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</row>
    <row r="1097" spans="4:28" x14ac:dyDescent="0.25"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</row>
    <row r="1098" spans="4:28" x14ac:dyDescent="0.25"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</row>
    <row r="1099" spans="4:28" x14ac:dyDescent="0.25"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</row>
    <row r="1100" spans="4:28" x14ac:dyDescent="0.25"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</row>
    <row r="1101" spans="4:28" x14ac:dyDescent="0.25"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</row>
    <row r="1102" spans="4:28" x14ac:dyDescent="0.25"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</row>
    <row r="1103" spans="4:28" x14ac:dyDescent="0.25"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</row>
    <row r="1104" spans="4:28" x14ac:dyDescent="0.25"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</row>
    <row r="1105" spans="4:28" x14ac:dyDescent="0.25"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</row>
    <row r="1106" spans="4:28" x14ac:dyDescent="0.25"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</row>
    <row r="1107" spans="4:28" x14ac:dyDescent="0.25"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</row>
    <row r="1108" spans="4:28" x14ac:dyDescent="0.25"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</row>
    <row r="1109" spans="4:28" x14ac:dyDescent="0.25"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</row>
    <row r="1110" spans="4:28" x14ac:dyDescent="0.25"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</row>
    <row r="1111" spans="4:28" x14ac:dyDescent="0.25"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</row>
    <row r="1112" spans="4:28" x14ac:dyDescent="0.25"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</row>
    <row r="1113" spans="4:28" x14ac:dyDescent="0.25"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</row>
    <row r="1114" spans="4:28" x14ac:dyDescent="0.25"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</row>
    <row r="1115" spans="4:28" x14ac:dyDescent="0.25"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</row>
    <row r="1116" spans="4:28" x14ac:dyDescent="0.25"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</row>
    <row r="1117" spans="4:28" x14ac:dyDescent="0.25"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</row>
    <row r="1118" spans="4:28" x14ac:dyDescent="0.25"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</row>
    <row r="1119" spans="4:28" x14ac:dyDescent="0.25"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</row>
    <row r="1120" spans="4:28" x14ac:dyDescent="0.25"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</row>
    <row r="1121" spans="4:28" x14ac:dyDescent="0.25"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</row>
    <row r="1122" spans="4:28" x14ac:dyDescent="0.25"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</row>
    <row r="1123" spans="4:28" x14ac:dyDescent="0.25"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</row>
    <row r="1124" spans="4:28" x14ac:dyDescent="0.25"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</row>
    <row r="1125" spans="4:28" x14ac:dyDescent="0.25"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</row>
    <row r="1126" spans="4:28" x14ac:dyDescent="0.25"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</row>
    <row r="1127" spans="4:28" x14ac:dyDescent="0.25"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</row>
    <row r="1128" spans="4:28" x14ac:dyDescent="0.25"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</row>
    <row r="1129" spans="4:28" x14ac:dyDescent="0.25"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</row>
    <row r="1130" spans="4:28" x14ac:dyDescent="0.25"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</row>
    <row r="1131" spans="4:28" x14ac:dyDescent="0.25"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</row>
    <row r="1132" spans="4:28" x14ac:dyDescent="0.25"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</row>
    <row r="1133" spans="4:28" x14ac:dyDescent="0.25"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</row>
    <row r="1134" spans="4:28" x14ac:dyDescent="0.25"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</row>
    <row r="1135" spans="4:28" x14ac:dyDescent="0.25"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</row>
    <row r="1136" spans="4:28" x14ac:dyDescent="0.25"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</row>
    <row r="1137" spans="4:28" x14ac:dyDescent="0.25"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</row>
    <row r="1138" spans="4:28" x14ac:dyDescent="0.25"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</row>
    <row r="1139" spans="4:28" x14ac:dyDescent="0.25"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</row>
    <row r="1140" spans="4:28" x14ac:dyDescent="0.25"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</row>
    <row r="1141" spans="4:28" x14ac:dyDescent="0.25"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</row>
    <row r="1142" spans="4:28" x14ac:dyDescent="0.25"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</row>
    <row r="1143" spans="4:28" x14ac:dyDescent="0.25"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</row>
    <row r="1144" spans="4:28" x14ac:dyDescent="0.25"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</row>
    <row r="1145" spans="4:28" x14ac:dyDescent="0.25"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</row>
    <row r="1146" spans="4:28" x14ac:dyDescent="0.25"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</row>
    <row r="1147" spans="4:28" x14ac:dyDescent="0.25"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</row>
    <row r="1148" spans="4:28" x14ac:dyDescent="0.25"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</row>
    <row r="1149" spans="4:28" x14ac:dyDescent="0.25"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</row>
    <row r="1150" spans="4:28" x14ac:dyDescent="0.25"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</row>
    <row r="1151" spans="4:28" x14ac:dyDescent="0.25"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</row>
    <row r="1152" spans="4:28" x14ac:dyDescent="0.25"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</row>
    <row r="1153" spans="4:28" x14ac:dyDescent="0.25"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</row>
    <row r="1154" spans="4:28" x14ac:dyDescent="0.25"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</row>
    <row r="1155" spans="4:28" x14ac:dyDescent="0.25"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</row>
    <row r="1156" spans="4:28" x14ac:dyDescent="0.25"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</row>
    <row r="1157" spans="4:28" x14ac:dyDescent="0.25"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</row>
    <row r="1158" spans="4:28" x14ac:dyDescent="0.25"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</row>
    <row r="1159" spans="4:28" x14ac:dyDescent="0.25"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</row>
    <row r="1160" spans="4:28" x14ac:dyDescent="0.25"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</row>
    <row r="1161" spans="4:28" x14ac:dyDescent="0.25"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</row>
    <row r="1162" spans="4:28" x14ac:dyDescent="0.25"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</row>
    <row r="1163" spans="4:28" x14ac:dyDescent="0.25"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</row>
    <row r="1164" spans="4:28" x14ac:dyDescent="0.25"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</row>
    <row r="1165" spans="4:28" x14ac:dyDescent="0.25"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</row>
    <row r="1166" spans="4:28" x14ac:dyDescent="0.25"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</row>
    <row r="1167" spans="4:28" x14ac:dyDescent="0.25"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</row>
    <row r="1168" spans="4:28" x14ac:dyDescent="0.25"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</row>
    <row r="1169" spans="4:28" x14ac:dyDescent="0.25"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</row>
    <row r="1170" spans="4:28" x14ac:dyDescent="0.25"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</row>
    <row r="1171" spans="4:28" x14ac:dyDescent="0.25"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</row>
    <row r="1172" spans="4:28" x14ac:dyDescent="0.25"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</row>
    <row r="1173" spans="4:28" x14ac:dyDescent="0.25"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</row>
    <row r="1174" spans="4:28" x14ac:dyDescent="0.25"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</row>
    <row r="1175" spans="4:28" x14ac:dyDescent="0.25"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</row>
    <row r="1176" spans="4:28" x14ac:dyDescent="0.25"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</row>
    <row r="1177" spans="4:28" x14ac:dyDescent="0.25"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</row>
    <row r="1178" spans="4:28" x14ac:dyDescent="0.25"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</row>
    <row r="1179" spans="4:28" x14ac:dyDescent="0.25"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</row>
    <row r="1180" spans="4:28" x14ac:dyDescent="0.25"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</row>
    <row r="1181" spans="4:28" x14ac:dyDescent="0.25"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</row>
    <row r="1182" spans="4:28" x14ac:dyDescent="0.25"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</row>
    <row r="1183" spans="4:28" x14ac:dyDescent="0.25"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</row>
    <row r="1184" spans="4:28" x14ac:dyDescent="0.25"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</row>
    <row r="1185" spans="4:28" x14ac:dyDescent="0.25"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</row>
    <row r="1186" spans="4:28" x14ac:dyDescent="0.25"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</row>
    <row r="1187" spans="4:28" x14ac:dyDescent="0.25"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</row>
    <row r="1188" spans="4:28" x14ac:dyDescent="0.25"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</row>
    <row r="1189" spans="4:28" x14ac:dyDescent="0.25"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</row>
    <row r="1190" spans="4:28" x14ac:dyDescent="0.25"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</row>
    <row r="1191" spans="4:28" x14ac:dyDescent="0.25"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</row>
    <row r="1192" spans="4:28" x14ac:dyDescent="0.25"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</row>
    <row r="1193" spans="4:28" x14ac:dyDescent="0.25"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</row>
    <row r="1194" spans="4:28" x14ac:dyDescent="0.25"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</row>
    <row r="1195" spans="4:28" x14ac:dyDescent="0.25"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</row>
    <row r="1196" spans="4:28" x14ac:dyDescent="0.25"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</row>
    <row r="1197" spans="4:28" x14ac:dyDescent="0.25"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</row>
    <row r="1198" spans="4:28" x14ac:dyDescent="0.25"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</row>
    <row r="1199" spans="4:28" x14ac:dyDescent="0.25"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</row>
    <row r="1200" spans="4:28" x14ac:dyDescent="0.25"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</row>
    <row r="1201" spans="4:28" x14ac:dyDescent="0.25"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</row>
    <row r="1202" spans="4:28" x14ac:dyDescent="0.25"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</row>
    <row r="1203" spans="4:28" x14ac:dyDescent="0.25"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</row>
    <row r="1204" spans="4:28" x14ac:dyDescent="0.25"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</row>
    <row r="1205" spans="4:28" x14ac:dyDescent="0.25"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</row>
    <row r="1206" spans="4:28" x14ac:dyDescent="0.25"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</row>
    <row r="1207" spans="4:28" x14ac:dyDescent="0.25"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</row>
    <row r="1208" spans="4:28" x14ac:dyDescent="0.25"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</row>
    <row r="1209" spans="4:28" x14ac:dyDescent="0.25"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</row>
    <row r="1210" spans="4:28" x14ac:dyDescent="0.25"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</row>
    <row r="1211" spans="4:28" x14ac:dyDescent="0.25"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</row>
    <row r="1212" spans="4:28" x14ac:dyDescent="0.25"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</row>
    <row r="1213" spans="4:28" x14ac:dyDescent="0.25"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</row>
    <row r="1214" spans="4:28" x14ac:dyDescent="0.25"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</row>
    <row r="1215" spans="4:28" x14ac:dyDescent="0.25"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</row>
    <row r="1216" spans="4:28" x14ac:dyDescent="0.25"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</row>
    <row r="1217" spans="4:28" x14ac:dyDescent="0.25"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</row>
    <row r="1218" spans="4:28" x14ac:dyDescent="0.25"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</row>
    <row r="1219" spans="4:28" x14ac:dyDescent="0.25"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</row>
    <row r="1220" spans="4:28" x14ac:dyDescent="0.25"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</row>
    <row r="1221" spans="4:28" x14ac:dyDescent="0.25"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</row>
    <row r="1222" spans="4:28" x14ac:dyDescent="0.25"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</row>
    <row r="1223" spans="4:28" x14ac:dyDescent="0.25"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</row>
    <row r="1224" spans="4:28" x14ac:dyDescent="0.25"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</row>
    <row r="1225" spans="4:28" x14ac:dyDescent="0.25"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</row>
    <row r="1226" spans="4:28" x14ac:dyDescent="0.25"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</row>
    <row r="1227" spans="4:28" x14ac:dyDescent="0.25"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</row>
    <row r="1228" spans="4:28" x14ac:dyDescent="0.25"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</row>
    <row r="1229" spans="4:28" x14ac:dyDescent="0.25">
      <c r="D1229"/>
      <c r="E1229"/>
      <c r="F1229"/>
      <c r="G1229"/>
      <c r="H1229"/>
      <c r="K1229"/>
      <c r="L1229"/>
      <c r="X1229"/>
    </row>
    <row r="1230" spans="4:28" x14ac:dyDescent="0.25">
      <c r="D1230"/>
      <c r="E1230"/>
      <c r="F1230"/>
      <c r="G1230"/>
      <c r="H1230"/>
      <c r="K1230"/>
      <c r="L1230"/>
      <c r="X1230"/>
    </row>
    <row r="1231" spans="4:28" x14ac:dyDescent="0.25">
      <c r="D1231"/>
      <c r="E1231"/>
      <c r="F1231"/>
      <c r="G1231"/>
      <c r="H1231"/>
      <c r="K1231"/>
      <c r="L1231"/>
      <c r="X1231"/>
    </row>
    <row r="1232" spans="4:28" x14ac:dyDescent="0.25">
      <c r="D1232"/>
      <c r="E1232"/>
      <c r="F1232"/>
      <c r="G1232"/>
      <c r="H1232"/>
      <c r="K1232"/>
      <c r="L1232"/>
      <c r="X1232"/>
    </row>
    <row r="1233" spans="4:24" x14ac:dyDescent="0.25">
      <c r="D1233"/>
      <c r="E1233"/>
      <c r="F1233"/>
      <c r="G1233"/>
      <c r="H1233"/>
      <c r="K1233"/>
      <c r="L1233"/>
      <c r="X1233"/>
    </row>
    <row r="1234" spans="4:24" x14ac:dyDescent="0.25">
      <c r="D1234"/>
      <c r="E1234"/>
      <c r="F1234"/>
      <c r="G1234"/>
      <c r="H1234"/>
      <c r="K1234"/>
      <c r="L1234"/>
      <c r="X1234"/>
    </row>
    <row r="1235" spans="4:24" x14ac:dyDescent="0.25">
      <c r="D1235"/>
      <c r="E1235"/>
      <c r="F1235"/>
      <c r="G1235"/>
      <c r="K1235"/>
      <c r="L1235"/>
      <c r="X1235"/>
    </row>
    <row r="1236" spans="4:24" x14ac:dyDescent="0.25">
      <c r="D1236"/>
      <c r="E1236"/>
      <c r="F1236"/>
      <c r="G1236"/>
      <c r="K1236"/>
      <c r="L1236"/>
      <c r="X1236"/>
    </row>
    <row r="1237" spans="4:24" x14ac:dyDescent="0.25">
      <c r="D1237"/>
      <c r="E1237"/>
      <c r="F1237"/>
      <c r="G1237"/>
      <c r="K1237"/>
      <c r="L1237"/>
      <c r="X1237"/>
    </row>
    <row r="1238" spans="4:24" x14ac:dyDescent="0.25">
      <c r="D1238"/>
      <c r="E1238"/>
      <c r="F1238"/>
      <c r="G1238"/>
      <c r="K1238"/>
      <c r="L1238"/>
      <c r="X1238"/>
    </row>
    <row r="1239" spans="4:24" x14ac:dyDescent="0.25">
      <c r="D1239"/>
      <c r="E1239"/>
      <c r="F1239"/>
      <c r="G1239"/>
      <c r="K1239"/>
      <c r="L1239"/>
      <c r="X1239"/>
    </row>
    <row r="1240" spans="4:24" x14ac:dyDescent="0.25">
      <c r="D1240"/>
      <c r="E1240"/>
      <c r="F1240"/>
      <c r="G1240"/>
      <c r="K1240"/>
      <c r="L1240"/>
      <c r="X1240"/>
    </row>
    <row r="1241" spans="4:24" x14ac:dyDescent="0.25">
      <c r="D1241"/>
      <c r="E1241"/>
      <c r="F1241"/>
      <c r="G1241"/>
      <c r="K1241"/>
      <c r="L1241"/>
      <c r="X1241"/>
    </row>
    <row r="1242" spans="4:24" x14ac:dyDescent="0.25">
      <c r="D1242"/>
      <c r="E1242"/>
      <c r="F1242"/>
      <c r="G1242"/>
      <c r="X1242"/>
    </row>
    <row r="1243" spans="4:24" x14ac:dyDescent="0.25">
      <c r="D1243"/>
      <c r="E1243"/>
      <c r="F1243"/>
      <c r="G1243"/>
      <c r="X1243"/>
    </row>
    <row r="1244" spans="4:24" x14ac:dyDescent="0.25">
      <c r="D1244"/>
      <c r="E1244"/>
      <c r="F1244"/>
      <c r="G1244"/>
      <c r="X1244"/>
    </row>
    <row r="1245" spans="4:24" x14ac:dyDescent="0.25">
      <c r="D1245"/>
      <c r="E1245"/>
      <c r="F1245"/>
      <c r="G1245"/>
      <c r="X1245"/>
    </row>
    <row r="1246" spans="4:24" x14ac:dyDescent="0.25">
      <c r="D1246"/>
      <c r="E1246"/>
      <c r="F1246"/>
      <c r="G1246"/>
      <c r="X1246"/>
    </row>
    <row r="1247" spans="4:24" x14ac:dyDescent="0.25">
      <c r="D1247"/>
      <c r="E1247"/>
      <c r="F1247"/>
      <c r="G1247"/>
      <c r="X1247"/>
    </row>
    <row r="1248" spans="4:24" x14ac:dyDescent="0.25">
      <c r="D1248"/>
      <c r="E1248"/>
      <c r="F1248"/>
      <c r="G1248"/>
      <c r="X1248"/>
    </row>
    <row r="1249" spans="4:24" x14ac:dyDescent="0.25">
      <c r="D1249"/>
      <c r="E1249"/>
      <c r="F1249"/>
      <c r="G1249"/>
      <c r="X1249"/>
    </row>
    <row r="1250" spans="4:24" x14ac:dyDescent="0.25">
      <c r="D1250"/>
      <c r="E1250"/>
      <c r="F1250"/>
      <c r="G1250"/>
      <c r="X1250"/>
    </row>
    <row r="1251" spans="4:24" x14ac:dyDescent="0.25">
      <c r="D1251"/>
      <c r="E1251"/>
      <c r="F1251"/>
      <c r="G1251"/>
      <c r="X1251"/>
    </row>
    <row r="1252" spans="4:24" x14ac:dyDescent="0.25">
      <c r="D1252"/>
      <c r="E1252"/>
      <c r="F1252"/>
      <c r="G1252"/>
      <c r="X1252"/>
    </row>
    <row r="1253" spans="4:24" x14ac:dyDescent="0.25">
      <c r="D1253"/>
      <c r="E1253"/>
      <c r="F1253"/>
      <c r="G1253"/>
      <c r="X1253"/>
    </row>
    <row r="1254" spans="4:24" x14ac:dyDescent="0.25">
      <c r="D1254"/>
      <c r="E1254"/>
      <c r="F1254"/>
      <c r="G1254"/>
      <c r="X1254"/>
    </row>
    <row r="1255" spans="4:24" x14ac:dyDescent="0.25">
      <c r="D1255"/>
      <c r="E1255"/>
      <c r="F1255"/>
      <c r="G1255"/>
      <c r="X1255"/>
    </row>
    <row r="1256" spans="4:24" x14ac:dyDescent="0.25">
      <c r="D1256"/>
      <c r="E1256"/>
      <c r="F1256"/>
      <c r="G1256"/>
      <c r="X1256"/>
    </row>
    <row r="1257" spans="4:24" x14ac:dyDescent="0.25">
      <c r="D1257"/>
      <c r="E1257"/>
      <c r="F1257"/>
      <c r="G1257"/>
      <c r="X1257"/>
    </row>
    <row r="1258" spans="4:24" x14ac:dyDescent="0.25">
      <c r="D1258"/>
      <c r="E1258"/>
      <c r="F1258"/>
      <c r="G1258"/>
      <c r="X1258"/>
    </row>
    <row r="1259" spans="4:24" x14ac:dyDescent="0.25">
      <c r="D1259"/>
      <c r="E1259"/>
      <c r="F1259"/>
      <c r="G1259"/>
      <c r="X1259"/>
    </row>
    <row r="1260" spans="4:24" x14ac:dyDescent="0.25">
      <c r="D1260"/>
      <c r="E1260"/>
      <c r="F1260"/>
      <c r="G1260"/>
      <c r="X1260"/>
    </row>
    <row r="1261" spans="4:24" x14ac:dyDescent="0.25">
      <c r="D1261"/>
      <c r="E1261"/>
      <c r="F1261"/>
      <c r="G1261"/>
      <c r="X1261"/>
    </row>
    <row r="1262" spans="4:24" x14ac:dyDescent="0.25">
      <c r="D1262"/>
      <c r="E1262"/>
      <c r="F1262"/>
      <c r="G1262"/>
      <c r="X1262"/>
    </row>
    <row r="1263" spans="4:24" x14ac:dyDescent="0.25">
      <c r="D1263"/>
      <c r="E1263"/>
      <c r="F1263"/>
      <c r="G1263"/>
      <c r="X1263"/>
    </row>
    <row r="1264" spans="4:24" x14ac:dyDescent="0.25">
      <c r="D1264"/>
      <c r="E1264"/>
      <c r="F1264"/>
      <c r="G1264"/>
      <c r="X1264"/>
    </row>
    <row r="1265" spans="4:24" x14ac:dyDescent="0.25">
      <c r="D1265"/>
      <c r="E1265"/>
      <c r="F1265"/>
      <c r="G1265"/>
      <c r="X1265"/>
    </row>
    <row r="1266" spans="4:24" x14ac:dyDescent="0.25">
      <c r="D1266"/>
      <c r="E1266"/>
      <c r="F1266"/>
      <c r="G1266"/>
      <c r="X1266"/>
    </row>
    <row r="1267" spans="4:24" x14ac:dyDescent="0.25">
      <c r="D1267"/>
      <c r="E1267"/>
      <c r="F1267"/>
      <c r="G1267"/>
      <c r="X1267"/>
    </row>
    <row r="1268" spans="4:24" x14ac:dyDescent="0.25">
      <c r="D1268"/>
      <c r="E1268"/>
      <c r="F1268"/>
      <c r="G1268"/>
      <c r="X1268"/>
    </row>
    <row r="1269" spans="4:24" x14ac:dyDescent="0.25">
      <c r="D1269"/>
      <c r="E1269"/>
      <c r="F1269"/>
      <c r="G1269"/>
      <c r="X1269"/>
    </row>
    <row r="1270" spans="4:24" x14ac:dyDescent="0.25">
      <c r="D1270"/>
      <c r="E1270"/>
      <c r="F1270"/>
      <c r="G1270"/>
      <c r="X1270"/>
    </row>
    <row r="1271" spans="4:24" x14ac:dyDescent="0.25">
      <c r="D1271"/>
      <c r="E1271"/>
      <c r="F1271"/>
      <c r="G1271"/>
      <c r="X1271"/>
    </row>
    <row r="1272" spans="4:24" x14ac:dyDescent="0.25">
      <c r="D1272"/>
      <c r="E1272"/>
      <c r="F1272"/>
      <c r="G1272"/>
      <c r="X1272"/>
    </row>
    <row r="1273" spans="4:24" x14ac:dyDescent="0.25">
      <c r="D1273"/>
      <c r="E1273"/>
      <c r="F1273"/>
      <c r="G1273"/>
      <c r="X1273"/>
    </row>
    <row r="1274" spans="4:24" x14ac:dyDescent="0.25">
      <c r="D1274"/>
      <c r="E1274"/>
      <c r="F1274"/>
      <c r="G1274"/>
      <c r="X1274"/>
    </row>
    <row r="1275" spans="4:24" x14ac:dyDescent="0.25">
      <c r="D1275"/>
      <c r="E1275"/>
      <c r="F1275"/>
      <c r="G1275"/>
      <c r="X1275"/>
    </row>
    <row r="1276" spans="4:24" x14ac:dyDescent="0.25">
      <c r="D1276"/>
      <c r="E1276"/>
      <c r="F1276"/>
      <c r="G1276"/>
      <c r="X1276"/>
    </row>
    <row r="1277" spans="4:24" x14ac:dyDescent="0.25">
      <c r="D1277"/>
      <c r="E1277"/>
      <c r="F1277"/>
      <c r="G1277"/>
      <c r="X1277"/>
    </row>
    <row r="1278" spans="4:24" x14ac:dyDescent="0.25">
      <c r="D1278"/>
      <c r="E1278"/>
      <c r="F1278"/>
      <c r="G1278"/>
      <c r="X1278"/>
    </row>
    <row r="1279" spans="4:24" x14ac:dyDescent="0.25">
      <c r="D1279"/>
      <c r="E1279"/>
      <c r="F1279"/>
      <c r="G1279"/>
      <c r="X1279"/>
    </row>
    <row r="1280" spans="4:24" x14ac:dyDescent="0.25">
      <c r="D1280"/>
      <c r="E1280"/>
      <c r="F1280"/>
      <c r="G1280"/>
      <c r="X1280"/>
    </row>
    <row r="1281" spans="4:24" x14ac:dyDescent="0.25">
      <c r="D1281"/>
      <c r="E1281"/>
      <c r="F1281"/>
      <c r="G1281"/>
      <c r="X1281"/>
    </row>
    <row r="1282" spans="4:24" x14ac:dyDescent="0.25">
      <c r="D1282"/>
      <c r="E1282"/>
      <c r="F1282"/>
      <c r="G1282"/>
      <c r="X1282"/>
    </row>
    <row r="1283" spans="4:24" x14ac:dyDescent="0.25">
      <c r="D1283"/>
      <c r="E1283"/>
      <c r="F1283"/>
      <c r="G1283"/>
      <c r="X1283"/>
    </row>
    <row r="1284" spans="4:24" x14ac:dyDescent="0.25">
      <c r="D1284"/>
      <c r="E1284"/>
      <c r="F1284"/>
      <c r="G1284"/>
      <c r="X1284"/>
    </row>
    <row r="1285" spans="4:24" x14ac:dyDescent="0.25">
      <c r="D1285"/>
      <c r="E1285"/>
      <c r="F1285"/>
      <c r="G1285"/>
      <c r="X1285"/>
    </row>
    <row r="1286" spans="4:24" x14ac:dyDescent="0.25">
      <c r="D1286"/>
      <c r="E1286"/>
      <c r="F1286"/>
      <c r="G1286"/>
      <c r="X1286"/>
    </row>
    <row r="1287" spans="4:24" x14ac:dyDescent="0.25">
      <c r="D1287"/>
      <c r="E1287"/>
      <c r="F1287"/>
      <c r="G1287"/>
      <c r="X1287"/>
    </row>
    <row r="1288" spans="4:24" x14ac:dyDescent="0.25">
      <c r="D1288"/>
      <c r="E1288"/>
      <c r="F1288"/>
      <c r="G1288"/>
      <c r="X1288"/>
    </row>
    <row r="1289" spans="4:24" x14ac:dyDescent="0.25">
      <c r="D1289"/>
      <c r="E1289"/>
      <c r="F1289"/>
      <c r="G1289"/>
      <c r="X1289"/>
    </row>
    <row r="1290" spans="4:24" x14ac:dyDescent="0.25">
      <c r="D1290"/>
      <c r="E1290"/>
      <c r="F1290"/>
      <c r="G1290"/>
      <c r="X1290"/>
    </row>
    <row r="1291" spans="4:24" x14ac:dyDescent="0.25">
      <c r="D1291"/>
      <c r="E1291"/>
      <c r="F1291"/>
      <c r="G1291"/>
      <c r="X1291"/>
    </row>
    <row r="1292" spans="4:24" x14ac:dyDescent="0.25">
      <c r="D1292"/>
      <c r="E1292"/>
      <c r="F1292"/>
      <c r="G1292"/>
      <c r="X1292"/>
    </row>
    <row r="1293" spans="4:24" x14ac:dyDescent="0.25">
      <c r="D1293"/>
      <c r="E1293"/>
      <c r="F1293"/>
      <c r="G1293"/>
      <c r="X1293"/>
    </row>
    <row r="1294" spans="4:24" x14ac:dyDescent="0.25">
      <c r="D1294"/>
      <c r="E1294"/>
      <c r="F1294"/>
      <c r="G1294"/>
      <c r="X1294"/>
    </row>
    <row r="1295" spans="4:24" x14ac:dyDescent="0.25">
      <c r="D1295"/>
      <c r="E1295"/>
      <c r="F1295"/>
      <c r="G1295"/>
      <c r="X1295"/>
    </row>
    <row r="1296" spans="4:24" x14ac:dyDescent="0.25">
      <c r="D1296"/>
      <c r="E1296"/>
      <c r="F1296"/>
      <c r="G1296"/>
      <c r="X1296"/>
    </row>
    <row r="1297" spans="4:24" x14ac:dyDescent="0.25">
      <c r="D1297"/>
      <c r="E1297"/>
      <c r="F1297"/>
      <c r="G1297"/>
      <c r="X1297"/>
    </row>
    <row r="1298" spans="4:24" x14ac:dyDescent="0.25">
      <c r="D1298"/>
      <c r="E1298"/>
      <c r="F1298"/>
      <c r="G1298"/>
      <c r="X1298"/>
    </row>
    <row r="1299" spans="4:24" x14ac:dyDescent="0.25">
      <c r="D1299"/>
      <c r="E1299"/>
      <c r="F1299"/>
      <c r="G1299"/>
      <c r="X1299"/>
    </row>
    <row r="1300" spans="4:24" x14ac:dyDescent="0.25">
      <c r="D1300"/>
      <c r="E1300"/>
      <c r="F1300"/>
      <c r="G1300"/>
      <c r="X1300"/>
    </row>
    <row r="1301" spans="4:24" x14ac:dyDescent="0.25">
      <c r="D1301"/>
      <c r="E1301"/>
      <c r="F1301"/>
      <c r="G1301"/>
      <c r="X1301"/>
    </row>
    <row r="1302" spans="4:24" x14ac:dyDescent="0.25">
      <c r="D1302"/>
      <c r="E1302"/>
      <c r="F1302"/>
      <c r="G1302"/>
      <c r="X1302"/>
    </row>
    <row r="1303" spans="4:24" x14ac:dyDescent="0.25">
      <c r="D1303"/>
      <c r="E1303"/>
      <c r="F1303"/>
      <c r="G1303"/>
      <c r="X1303"/>
    </row>
    <row r="1304" spans="4:24" x14ac:dyDescent="0.25">
      <c r="D1304"/>
      <c r="E1304"/>
      <c r="F1304"/>
      <c r="G1304"/>
      <c r="X1304"/>
    </row>
    <row r="1305" spans="4:24" x14ac:dyDescent="0.25">
      <c r="D1305"/>
      <c r="E1305"/>
      <c r="F1305"/>
      <c r="G1305"/>
      <c r="X1305"/>
    </row>
    <row r="1306" spans="4:24" x14ac:dyDescent="0.25">
      <c r="D1306"/>
      <c r="E1306"/>
      <c r="F1306"/>
      <c r="G1306"/>
      <c r="X1306"/>
    </row>
    <row r="1307" spans="4:24" x14ac:dyDescent="0.25">
      <c r="D1307"/>
      <c r="E1307"/>
      <c r="F1307"/>
      <c r="G1307"/>
      <c r="X1307"/>
    </row>
    <row r="1308" spans="4:24" x14ac:dyDescent="0.25">
      <c r="D1308"/>
      <c r="E1308"/>
      <c r="F1308"/>
      <c r="G1308"/>
      <c r="X1308"/>
    </row>
    <row r="1309" spans="4:24" x14ac:dyDescent="0.25">
      <c r="D1309"/>
      <c r="E1309"/>
      <c r="F1309"/>
      <c r="G1309"/>
      <c r="X1309"/>
    </row>
    <row r="1310" spans="4:24" x14ac:dyDescent="0.25">
      <c r="D1310"/>
      <c r="E1310"/>
      <c r="F1310"/>
      <c r="G1310"/>
      <c r="X1310"/>
    </row>
    <row r="1311" spans="4:24" x14ac:dyDescent="0.25">
      <c r="D1311"/>
      <c r="E1311"/>
      <c r="F1311"/>
      <c r="G1311"/>
      <c r="X1311"/>
    </row>
    <row r="1312" spans="4:24" x14ac:dyDescent="0.25">
      <c r="D1312"/>
      <c r="E1312"/>
      <c r="F1312"/>
      <c r="G1312"/>
      <c r="X1312"/>
    </row>
    <row r="1313" spans="4:24" x14ac:dyDescent="0.25">
      <c r="D1313"/>
      <c r="E1313"/>
      <c r="F1313"/>
      <c r="G1313"/>
      <c r="X1313"/>
    </row>
    <row r="1314" spans="4:24" x14ac:dyDescent="0.25">
      <c r="D1314"/>
      <c r="E1314"/>
      <c r="F1314"/>
      <c r="G1314"/>
      <c r="X1314"/>
    </row>
    <row r="1315" spans="4:24" x14ac:dyDescent="0.25">
      <c r="D1315"/>
      <c r="E1315"/>
      <c r="F1315"/>
      <c r="G1315"/>
      <c r="X1315"/>
    </row>
    <row r="1316" spans="4:24" x14ac:dyDescent="0.25">
      <c r="D1316"/>
      <c r="E1316"/>
      <c r="F1316"/>
      <c r="G1316"/>
      <c r="X1316"/>
    </row>
    <row r="1317" spans="4:24" x14ac:dyDescent="0.25">
      <c r="D1317"/>
      <c r="E1317"/>
      <c r="F1317"/>
      <c r="G1317"/>
      <c r="X1317"/>
    </row>
    <row r="1318" spans="4:24" x14ac:dyDescent="0.25">
      <c r="D1318"/>
      <c r="E1318"/>
      <c r="F1318"/>
      <c r="G1318"/>
      <c r="X1318"/>
    </row>
    <row r="1319" spans="4:24" x14ac:dyDescent="0.25">
      <c r="D1319"/>
      <c r="E1319"/>
      <c r="F1319"/>
      <c r="G1319"/>
      <c r="X1319"/>
    </row>
    <row r="1320" spans="4:24" x14ac:dyDescent="0.25">
      <c r="D1320"/>
      <c r="E1320"/>
      <c r="F1320"/>
      <c r="G1320"/>
      <c r="X1320"/>
    </row>
    <row r="1321" spans="4:24" x14ac:dyDescent="0.25">
      <c r="D1321"/>
      <c r="E1321"/>
      <c r="F1321"/>
      <c r="G1321"/>
      <c r="X1321"/>
    </row>
    <row r="1322" spans="4:24" x14ac:dyDescent="0.25">
      <c r="D1322"/>
      <c r="E1322"/>
      <c r="F1322"/>
      <c r="G1322"/>
      <c r="X1322"/>
    </row>
    <row r="1323" spans="4:24" x14ac:dyDescent="0.25">
      <c r="D1323"/>
      <c r="E1323"/>
      <c r="F1323"/>
      <c r="G1323"/>
      <c r="X1323"/>
    </row>
    <row r="1324" spans="4:24" x14ac:dyDescent="0.25">
      <c r="D1324"/>
      <c r="E1324"/>
      <c r="F1324"/>
      <c r="G1324"/>
      <c r="X1324"/>
    </row>
    <row r="1325" spans="4:24" x14ac:dyDescent="0.25">
      <c r="D1325"/>
      <c r="E1325"/>
      <c r="F1325"/>
      <c r="G1325"/>
      <c r="X1325"/>
    </row>
    <row r="1326" spans="4:24" x14ac:dyDescent="0.25">
      <c r="D1326"/>
      <c r="E1326"/>
      <c r="F1326"/>
      <c r="G1326"/>
      <c r="X1326"/>
    </row>
    <row r="1327" spans="4:24" x14ac:dyDescent="0.25">
      <c r="D1327"/>
      <c r="E1327"/>
      <c r="F1327"/>
      <c r="G1327"/>
      <c r="X1327"/>
    </row>
    <row r="1328" spans="4:24" x14ac:dyDescent="0.25">
      <c r="D1328"/>
      <c r="E1328"/>
      <c r="F1328"/>
      <c r="G1328"/>
      <c r="X1328"/>
    </row>
    <row r="1329" spans="4:24" x14ac:dyDescent="0.25">
      <c r="D1329"/>
      <c r="E1329"/>
      <c r="F1329"/>
      <c r="G1329"/>
      <c r="X1329"/>
    </row>
    <row r="1330" spans="4:24" x14ac:dyDescent="0.25">
      <c r="D1330"/>
      <c r="E1330"/>
      <c r="F1330"/>
      <c r="G1330"/>
      <c r="X1330"/>
    </row>
    <row r="1331" spans="4:24" x14ac:dyDescent="0.25">
      <c r="D1331"/>
      <c r="E1331"/>
      <c r="F1331"/>
      <c r="G1331"/>
      <c r="X1331"/>
    </row>
    <row r="1332" spans="4:24" x14ac:dyDescent="0.25">
      <c r="D1332"/>
      <c r="E1332"/>
      <c r="F1332"/>
      <c r="G1332"/>
      <c r="X1332"/>
    </row>
    <row r="1333" spans="4:24" x14ac:dyDescent="0.25">
      <c r="D1333"/>
      <c r="E1333"/>
      <c r="F1333"/>
      <c r="G1333"/>
      <c r="X1333"/>
    </row>
    <row r="1334" spans="4:24" x14ac:dyDescent="0.25">
      <c r="D1334"/>
      <c r="E1334"/>
      <c r="F1334"/>
      <c r="G1334"/>
      <c r="X1334"/>
    </row>
    <row r="1335" spans="4:24" x14ac:dyDescent="0.25">
      <c r="D1335"/>
      <c r="E1335"/>
      <c r="F1335"/>
      <c r="G1335"/>
      <c r="X1335"/>
    </row>
    <row r="1336" spans="4:24" x14ac:dyDescent="0.25">
      <c r="D1336"/>
      <c r="E1336"/>
      <c r="F1336"/>
      <c r="G1336"/>
      <c r="X1336"/>
    </row>
    <row r="1337" spans="4:24" x14ac:dyDescent="0.25">
      <c r="D1337"/>
      <c r="E1337"/>
      <c r="F1337"/>
      <c r="G1337"/>
      <c r="X1337"/>
    </row>
    <row r="1338" spans="4:24" x14ac:dyDescent="0.25">
      <c r="D1338"/>
      <c r="E1338"/>
      <c r="F1338"/>
      <c r="G1338"/>
      <c r="X1338"/>
    </row>
    <row r="1339" spans="4:24" x14ac:dyDescent="0.25">
      <c r="D1339"/>
      <c r="E1339"/>
      <c r="F1339"/>
      <c r="G1339"/>
      <c r="X1339"/>
    </row>
    <row r="1340" spans="4:24" x14ac:dyDescent="0.25">
      <c r="D1340"/>
      <c r="E1340"/>
      <c r="F1340"/>
      <c r="G1340"/>
      <c r="X1340"/>
    </row>
    <row r="1341" spans="4:24" x14ac:dyDescent="0.25">
      <c r="D1341"/>
      <c r="E1341"/>
      <c r="F1341"/>
      <c r="G1341"/>
      <c r="X1341"/>
    </row>
    <row r="1342" spans="4:24" x14ac:dyDescent="0.25">
      <c r="D1342"/>
      <c r="E1342"/>
      <c r="F1342"/>
      <c r="G1342"/>
      <c r="X1342"/>
    </row>
    <row r="1343" spans="4:24" x14ac:dyDescent="0.25">
      <c r="D1343"/>
      <c r="E1343"/>
      <c r="F1343"/>
      <c r="G1343"/>
      <c r="X1343"/>
    </row>
    <row r="1344" spans="4:24" x14ac:dyDescent="0.25">
      <c r="D1344"/>
      <c r="E1344"/>
      <c r="F1344"/>
      <c r="G1344"/>
      <c r="X1344"/>
    </row>
    <row r="1345" spans="4:24" x14ac:dyDescent="0.25">
      <c r="D1345"/>
      <c r="E1345"/>
      <c r="F1345"/>
      <c r="G1345"/>
      <c r="X1345"/>
    </row>
    <row r="1346" spans="4:24" x14ac:dyDescent="0.25">
      <c r="D1346"/>
      <c r="E1346"/>
      <c r="F1346"/>
      <c r="G1346"/>
      <c r="X1346"/>
    </row>
    <row r="1347" spans="4:24" x14ac:dyDescent="0.25">
      <c r="D1347"/>
      <c r="E1347"/>
      <c r="F1347"/>
      <c r="G1347"/>
      <c r="X1347"/>
    </row>
    <row r="1348" spans="4:24" x14ac:dyDescent="0.25">
      <c r="D1348"/>
      <c r="E1348"/>
      <c r="F1348"/>
      <c r="G1348"/>
      <c r="X1348"/>
    </row>
    <row r="1349" spans="4:24" x14ac:dyDescent="0.25">
      <c r="D1349"/>
      <c r="E1349"/>
      <c r="F1349"/>
      <c r="G1349"/>
      <c r="X1349"/>
    </row>
    <row r="1350" spans="4:24" x14ac:dyDescent="0.25">
      <c r="D1350"/>
      <c r="E1350"/>
      <c r="F1350"/>
      <c r="G1350"/>
      <c r="X1350"/>
    </row>
    <row r="1351" spans="4:24" x14ac:dyDescent="0.25">
      <c r="D1351"/>
      <c r="E1351"/>
      <c r="F1351"/>
      <c r="G1351"/>
      <c r="X1351"/>
    </row>
    <row r="1352" spans="4:24" x14ac:dyDescent="0.25">
      <c r="D1352"/>
      <c r="E1352"/>
      <c r="F1352"/>
      <c r="G1352"/>
      <c r="X1352"/>
    </row>
    <row r="1353" spans="4:24" x14ac:dyDescent="0.25">
      <c r="D1353"/>
      <c r="E1353"/>
      <c r="F1353"/>
      <c r="G1353"/>
      <c r="X1353"/>
    </row>
    <row r="1354" spans="4:24" x14ac:dyDescent="0.25">
      <c r="D1354"/>
      <c r="E1354"/>
      <c r="F1354"/>
      <c r="G1354"/>
      <c r="X1354"/>
    </row>
    <row r="1355" spans="4:24" x14ac:dyDescent="0.25">
      <c r="D1355"/>
      <c r="E1355"/>
      <c r="F1355"/>
      <c r="G1355"/>
      <c r="X1355"/>
    </row>
    <row r="1356" spans="4:24" x14ac:dyDescent="0.25">
      <c r="D1356"/>
      <c r="E1356"/>
      <c r="F1356"/>
      <c r="G1356"/>
      <c r="X1356"/>
    </row>
    <row r="1357" spans="4:24" x14ac:dyDescent="0.25">
      <c r="D1357"/>
      <c r="E1357"/>
      <c r="F1357"/>
      <c r="G1357"/>
      <c r="X1357"/>
    </row>
    <row r="1358" spans="4:24" x14ac:dyDescent="0.25">
      <c r="D1358"/>
      <c r="E1358"/>
      <c r="F1358"/>
      <c r="G1358"/>
      <c r="X1358"/>
    </row>
    <row r="1359" spans="4:24" x14ac:dyDescent="0.25">
      <c r="D1359"/>
      <c r="E1359"/>
      <c r="F1359"/>
      <c r="G1359"/>
      <c r="X1359"/>
    </row>
    <row r="1360" spans="4:24" x14ac:dyDescent="0.25">
      <c r="D1360"/>
      <c r="E1360"/>
      <c r="F1360"/>
      <c r="G1360"/>
      <c r="X1360"/>
    </row>
    <row r="1361" spans="4:24" x14ac:dyDescent="0.25">
      <c r="D1361"/>
      <c r="E1361"/>
      <c r="F1361"/>
      <c r="G1361"/>
      <c r="X1361"/>
    </row>
    <row r="1362" spans="4:24" x14ac:dyDescent="0.25">
      <c r="D1362"/>
      <c r="E1362"/>
      <c r="F1362"/>
      <c r="G1362"/>
      <c r="X1362"/>
    </row>
    <row r="1363" spans="4:24" x14ac:dyDescent="0.25">
      <c r="D1363"/>
      <c r="E1363"/>
      <c r="F1363"/>
      <c r="G1363"/>
      <c r="X1363"/>
    </row>
    <row r="1364" spans="4:24" x14ac:dyDescent="0.25">
      <c r="D1364"/>
      <c r="E1364"/>
      <c r="F1364"/>
      <c r="G1364"/>
      <c r="X1364"/>
    </row>
    <row r="1365" spans="4:24" x14ac:dyDescent="0.25">
      <c r="D1365"/>
      <c r="E1365"/>
      <c r="F1365"/>
      <c r="G1365"/>
      <c r="X1365"/>
    </row>
    <row r="1366" spans="4:24" x14ac:dyDescent="0.25">
      <c r="D1366"/>
      <c r="E1366"/>
      <c r="F1366"/>
      <c r="G1366"/>
      <c r="X1366"/>
    </row>
    <row r="1367" spans="4:24" x14ac:dyDescent="0.25">
      <c r="D1367"/>
      <c r="E1367"/>
      <c r="F1367"/>
      <c r="G1367"/>
      <c r="X1367"/>
    </row>
    <row r="1368" spans="4:24" x14ac:dyDescent="0.25">
      <c r="D1368"/>
      <c r="E1368"/>
      <c r="F1368"/>
      <c r="G1368"/>
      <c r="X1368"/>
    </row>
    <row r="1369" spans="4:24" x14ac:dyDescent="0.25">
      <c r="D1369"/>
      <c r="E1369"/>
      <c r="F1369"/>
      <c r="G1369"/>
      <c r="X1369"/>
    </row>
    <row r="1370" spans="4:24" x14ac:dyDescent="0.25">
      <c r="D1370"/>
      <c r="E1370"/>
      <c r="F1370"/>
      <c r="G1370"/>
      <c r="X1370"/>
    </row>
    <row r="1371" spans="4:24" x14ac:dyDescent="0.25">
      <c r="D1371"/>
      <c r="E1371"/>
      <c r="F1371"/>
      <c r="G1371"/>
      <c r="X1371"/>
    </row>
    <row r="1372" spans="4:24" x14ac:dyDescent="0.25">
      <c r="D1372"/>
      <c r="E1372"/>
      <c r="F1372"/>
      <c r="G1372"/>
      <c r="X1372"/>
    </row>
    <row r="1373" spans="4:24" x14ac:dyDescent="0.25">
      <c r="D1373"/>
      <c r="E1373"/>
      <c r="F1373"/>
      <c r="G1373"/>
      <c r="X1373"/>
    </row>
    <row r="1374" spans="4:24" x14ac:dyDescent="0.25">
      <c r="D1374"/>
      <c r="E1374"/>
      <c r="F1374"/>
      <c r="G1374"/>
      <c r="X1374"/>
    </row>
    <row r="1375" spans="4:24" x14ac:dyDescent="0.25">
      <c r="D1375"/>
      <c r="E1375"/>
      <c r="F1375"/>
      <c r="G1375"/>
      <c r="X1375"/>
    </row>
    <row r="1376" spans="4:24" x14ac:dyDescent="0.25">
      <c r="D1376"/>
      <c r="E1376"/>
      <c r="F1376"/>
      <c r="G1376"/>
      <c r="X1376"/>
    </row>
    <row r="1377" spans="4:24" x14ac:dyDescent="0.25">
      <c r="D1377"/>
      <c r="E1377"/>
      <c r="F1377"/>
      <c r="G1377"/>
      <c r="X1377"/>
    </row>
    <row r="1378" spans="4:24" x14ac:dyDescent="0.25">
      <c r="D1378"/>
      <c r="E1378"/>
      <c r="F1378"/>
      <c r="G1378"/>
      <c r="X1378"/>
    </row>
    <row r="1379" spans="4:24" x14ac:dyDescent="0.25">
      <c r="D1379"/>
      <c r="E1379"/>
      <c r="F1379"/>
      <c r="G1379"/>
      <c r="X1379"/>
    </row>
    <row r="1380" spans="4:24" x14ac:dyDescent="0.25">
      <c r="D1380"/>
      <c r="E1380"/>
      <c r="F1380"/>
      <c r="G1380"/>
      <c r="X1380"/>
    </row>
    <row r="1381" spans="4:24" x14ac:dyDescent="0.25">
      <c r="D1381"/>
      <c r="E1381"/>
      <c r="F1381"/>
      <c r="G1381"/>
      <c r="X1381"/>
    </row>
    <row r="1382" spans="4:24" x14ac:dyDescent="0.25">
      <c r="D1382"/>
      <c r="E1382"/>
      <c r="F1382"/>
      <c r="G1382"/>
      <c r="X1382"/>
    </row>
    <row r="1383" spans="4:24" x14ac:dyDescent="0.25">
      <c r="D1383"/>
      <c r="E1383"/>
      <c r="F1383"/>
      <c r="G1383"/>
      <c r="X1383"/>
    </row>
    <row r="1384" spans="4:24" x14ac:dyDescent="0.25">
      <c r="D1384"/>
      <c r="E1384"/>
      <c r="F1384"/>
      <c r="G1384"/>
      <c r="X1384"/>
    </row>
    <row r="1385" spans="4:24" x14ac:dyDescent="0.25">
      <c r="D1385"/>
      <c r="E1385"/>
      <c r="F1385"/>
      <c r="G1385"/>
      <c r="X1385"/>
    </row>
    <row r="1386" spans="4:24" x14ac:dyDescent="0.25">
      <c r="D1386"/>
      <c r="E1386"/>
      <c r="F1386"/>
      <c r="G1386"/>
      <c r="X1386"/>
    </row>
    <row r="1387" spans="4:24" x14ac:dyDescent="0.25">
      <c r="D1387"/>
      <c r="E1387"/>
      <c r="F1387"/>
      <c r="G1387"/>
      <c r="X1387"/>
    </row>
    <row r="1388" spans="4:24" x14ac:dyDescent="0.25">
      <c r="D1388"/>
      <c r="E1388"/>
      <c r="F1388"/>
      <c r="G1388"/>
      <c r="X1388"/>
    </row>
    <row r="1389" spans="4:24" x14ac:dyDescent="0.25">
      <c r="D1389"/>
      <c r="E1389"/>
      <c r="F1389"/>
      <c r="G1389"/>
      <c r="X1389"/>
    </row>
    <row r="1390" spans="4:24" x14ac:dyDescent="0.25">
      <c r="D1390"/>
      <c r="E1390"/>
      <c r="F1390"/>
      <c r="G1390"/>
      <c r="X1390"/>
    </row>
    <row r="1391" spans="4:24" x14ac:dyDescent="0.25">
      <c r="D1391"/>
      <c r="E1391"/>
      <c r="F1391"/>
      <c r="G1391"/>
      <c r="X1391"/>
    </row>
    <row r="1392" spans="4:24" x14ac:dyDescent="0.25">
      <c r="D1392"/>
      <c r="E1392"/>
      <c r="F1392"/>
      <c r="G1392"/>
      <c r="X1392"/>
    </row>
    <row r="1393" spans="4:24" x14ac:dyDescent="0.25">
      <c r="D1393"/>
      <c r="E1393"/>
      <c r="F1393"/>
      <c r="G1393"/>
      <c r="X1393"/>
    </row>
    <row r="1394" spans="4:24" x14ac:dyDescent="0.25">
      <c r="D1394"/>
      <c r="E1394"/>
      <c r="F1394"/>
      <c r="G1394"/>
      <c r="X1394"/>
    </row>
    <row r="1395" spans="4:24" x14ac:dyDescent="0.25">
      <c r="D1395"/>
      <c r="E1395"/>
      <c r="F1395"/>
      <c r="G1395"/>
      <c r="X1395"/>
    </row>
    <row r="1396" spans="4:24" x14ac:dyDescent="0.25">
      <c r="D1396"/>
      <c r="E1396"/>
      <c r="F1396"/>
      <c r="G1396"/>
      <c r="X1396"/>
    </row>
    <row r="1397" spans="4:24" x14ac:dyDescent="0.25">
      <c r="D1397"/>
      <c r="E1397"/>
      <c r="F1397"/>
      <c r="G1397"/>
      <c r="X1397"/>
    </row>
    <row r="1398" spans="4:24" x14ac:dyDescent="0.25">
      <c r="D1398"/>
      <c r="E1398"/>
      <c r="F1398"/>
      <c r="G1398"/>
      <c r="X1398"/>
    </row>
    <row r="1399" spans="4:24" x14ac:dyDescent="0.25">
      <c r="D1399"/>
      <c r="E1399"/>
      <c r="F1399"/>
      <c r="G1399"/>
      <c r="X1399"/>
    </row>
    <row r="1400" spans="4:24" x14ac:dyDescent="0.25">
      <c r="D1400"/>
      <c r="E1400"/>
      <c r="F1400"/>
      <c r="G1400"/>
      <c r="X1400"/>
    </row>
    <row r="1401" spans="4:24" x14ac:dyDescent="0.25">
      <c r="D1401"/>
      <c r="E1401"/>
      <c r="F1401"/>
      <c r="G1401"/>
      <c r="X1401"/>
    </row>
    <row r="1402" spans="4:24" x14ac:dyDescent="0.25">
      <c r="D1402"/>
      <c r="E1402"/>
      <c r="F1402"/>
      <c r="G1402"/>
      <c r="X1402"/>
    </row>
    <row r="1403" spans="4:24" x14ac:dyDescent="0.25">
      <c r="D1403"/>
      <c r="E1403"/>
      <c r="F1403"/>
      <c r="G1403"/>
      <c r="X1403"/>
    </row>
    <row r="1404" spans="4:24" x14ac:dyDescent="0.25">
      <c r="D1404"/>
      <c r="E1404"/>
      <c r="F1404"/>
      <c r="G1404"/>
      <c r="X1404"/>
    </row>
    <row r="1405" spans="4:24" x14ac:dyDescent="0.25">
      <c r="D1405"/>
      <c r="E1405"/>
      <c r="F1405"/>
      <c r="G1405"/>
      <c r="X1405"/>
    </row>
    <row r="1406" spans="4:24" x14ac:dyDescent="0.25">
      <c r="D1406"/>
      <c r="E1406"/>
      <c r="F1406"/>
      <c r="G1406"/>
      <c r="X1406"/>
    </row>
    <row r="1407" spans="4:24" x14ac:dyDescent="0.25">
      <c r="D1407"/>
      <c r="E1407"/>
      <c r="F1407"/>
      <c r="G1407"/>
      <c r="X1407"/>
    </row>
    <row r="1408" spans="4:24" x14ac:dyDescent="0.25">
      <c r="D1408"/>
      <c r="E1408"/>
      <c r="F1408"/>
      <c r="G1408"/>
      <c r="X1408"/>
    </row>
    <row r="1409" spans="4:24" x14ac:dyDescent="0.25">
      <c r="D1409"/>
      <c r="E1409"/>
      <c r="F1409"/>
      <c r="G1409"/>
      <c r="X1409"/>
    </row>
    <row r="1410" spans="4:24" x14ac:dyDescent="0.25">
      <c r="D1410"/>
      <c r="E1410"/>
      <c r="F1410"/>
      <c r="G1410"/>
      <c r="X1410"/>
    </row>
    <row r="1411" spans="4:24" x14ac:dyDescent="0.25">
      <c r="D1411"/>
      <c r="E1411"/>
      <c r="F1411"/>
      <c r="G1411"/>
      <c r="X1411"/>
    </row>
    <row r="1412" spans="4:24" x14ac:dyDescent="0.25">
      <c r="D1412"/>
      <c r="E1412"/>
      <c r="F1412"/>
      <c r="G1412"/>
      <c r="X1412"/>
    </row>
    <row r="1413" spans="4:24" x14ac:dyDescent="0.25">
      <c r="D1413"/>
      <c r="E1413"/>
      <c r="F1413"/>
      <c r="G1413"/>
      <c r="X1413"/>
    </row>
    <row r="1414" spans="4:24" x14ac:dyDescent="0.25">
      <c r="D1414"/>
      <c r="E1414"/>
      <c r="F1414"/>
      <c r="G1414"/>
      <c r="X1414"/>
    </row>
    <row r="1415" spans="4:24" x14ac:dyDescent="0.25">
      <c r="D1415"/>
      <c r="E1415"/>
      <c r="F1415"/>
      <c r="G1415"/>
      <c r="X1415"/>
    </row>
    <row r="1416" spans="4:24" x14ac:dyDescent="0.25">
      <c r="D1416"/>
      <c r="E1416"/>
      <c r="F1416"/>
      <c r="G1416"/>
      <c r="X1416"/>
    </row>
    <row r="1417" spans="4:24" x14ac:dyDescent="0.25">
      <c r="D1417"/>
      <c r="E1417"/>
      <c r="F1417"/>
      <c r="G1417"/>
      <c r="X1417"/>
    </row>
    <row r="1418" spans="4:24" x14ac:dyDescent="0.25">
      <c r="D1418"/>
      <c r="E1418"/>
      <c r="F1418"/>
      <c r="G1418"/>
      <c r="X1418"/>
    </row>
    <row r="1419" spans="4:24" x14ac:dyDescent="0.25">
      <c r="D1419"/>
      <c r="E1419"/>
      <c r="F1419"/>
      <c r="G1419"/>
      <c r="X1419"/>
    </row>
    <row r="1420" spans="4:24" x14ac:dyDescent="0.25">
      <c r="D1420"/>
      <c r="E1420"/>
      <c r="F1420"/>
      <c r="G1420"/>
      <c r="X1420"/>
    </row>
    <row r="1421" spans="4:24" x14ac:dyDescent="0.25">
      <c r="D1421"/>
      <c r="E1421"/>
      <c r="F1421"/>
      <c r="G1421"/>
      <c r="X1421"/>
    </row>
    <row r="1422" spans="4:24" x14ac:dyDescent="0.25">
      <c r="D1422"/>
      <c r="E1422"/>
      <c r="F1422"/>
      <c r="G1422"/>
      <c r="X1422"/>
    </row>
    <row r="1423" spans="4:24" x14ac:dyDescent="0.25">
      <c r="D1423"/>
      <c r="E1423"/>
      <c r="F1423"/>
      <c r="G1423"/>
      <c r="X1423"/>
    </row>
    <row r="1424" spans="4:24" x14ac:dyDescent="0.25">
      <c r="D1424"/>
      <c r="E1424"/>
      <c r="F1424"/>
      <c r="G1424"/>
      <c r="X1424"/>
    </row>
    <row r="1425" spans="4:24" x14ac:dyDescent="0.25">
      <c r="D1425"/>
      <c r="E1425"/>
      <c r="F1425"/>
      <c r="G1425"/>
      <c r="X1425"/>
    </row>
    <row r="1426" spans="4:24" x14ac:dyDescent="0.25">
      <c r="D1426"/>
      <c r="E1426"/>
      <c r="F1426"/>
      <c r="G1426"/>
      <c r="X1426"/>
    </row>
    <row r="1427" spans="4:24" x14ac:dyDescent="0.25">
      <c r="D1427"/>
      <c r="E1427"/>
      <c r="F1427"/>
      <c r="G1427"/>
      <c r="X1427"/>
    </row>
    <row r="1428" spans="4:24" x14ac:dyDescent="0.25">
      <c r="D1428"/>
      <c r="E1428"/>
      <c r="F1428"/>
      <c r="G1428"/>
      <c r="X1428"/>
    </row>
    <row r="1429" spans="4:24" x14ac:dyDescent="0.25">
      <c r="D1429"/>
      <c r="E1429"/>
      <c r="F1429"/>
      <c r="G1429"/>
      <c r="X1429"/>
    </row>
    <row r="1430" spans="4:24" x14ac:dyDescent="0.25">
      <c r="D1430"/>
      <c r="E1430"/>
      <c r="F1430"/>
      <c r="G1430"/>
      <c r="X1430"/>
    </row>
    <row r="1431" spans="4:24" x14ac:dyDescent="0.25">
      <c r="D1431"/>
      <c r="E1431"/>
      <c r="F1431"/>
      <c r="G1431"/>
      <c r="X1431"/>
    </row>
    <row r="1432" spans="4:24" x14ac:dyDescent="0.25">
      <c r="D1432"/>
      <c r="E1432"/>
      <c r="F1432"/>
      <c r="G1432"/>
      <c r="X1432"/>
    </row>
    <row r="1433" spans="4:24" x14ac:dyDescent="0.25">
      <c r="D1433"/>
      <c r="E1433"/>
      <c r="F1433"/>
      <c r="G1433"/>
      <c r="X1433"/>
    </row>
    <row r="1434" spans="4:24" x14ac:dyDescent="0.25">
      <c r="D1434"/>
      <c r="E1434"/>
      <c r="F1434"/>
      <c r="G1434"/>
      <c r="X1434"/>
    </row>
    <row r="1435" spans="4:24" x14ac:dyDescent="0.25">
      <c r="D1435"/>
      <c r="E1435"/>
      <c r="F1435"/>
      <c r="G1435"/>
      <c r="X1435"/>
    </row>
    <row r="1436" spans="4:24" x14ac:dyDescent="0.25">
      <c r="D1436"/>
      <c r="E1436"/>
      <c r="F1436"/>
      <c r="G1436"/>
      <c r="X1436"/>
    </row>
    <row r="1437" spans="4:24" x14ac:dyDescent="0.25">
      <c r="D1437"/>
      <c r="E1437"/>
      <c r="F1437"/>
      <c r="G1437"/>
      <c r="X1437"/>
    </row>
    <row r="1438" spans="4:24" x14ac:dyDescent="0.25">
      <c r="D1438"/>
      <c r="E1438"/>
      <c r="F1438"/>
      <c r="G1438"/>
      <c r="X1438"/>
    </row>
    <row r="1439" spans="4:24" x14ac:dyDescent="0.25">
      <c r="D1439"/>
      <c r="E1439"/>
      <c r="F1439"/>
      <c r="G1439"/>
      <c r="X1439"/>
    </row>
    <row r="1440" spans="4:24" x14ac:dyDescent="0.25">
      <c r="D1440"/>
      <c r="E1440"/>
      <c r="F1440"/>
      <c r="G1440"/>
      <c r="X1440"/>
    </row>
    <row r="1441" spans="4:24" x14ac:dyDescent="0.25">
      <c r="D1441"/>
      <c r="E1441"/>
      <c r="F1441"/>
      <c r="G1441"/>
      <c r="X1441"/>
    </row>
    <row r="1442" spans="4:24" x14ac:dyDescent="0.25">
      <c r="D1442"/>
      <c r="E1442"/>
      <c r="F1442"/>
      <c r="G1442"/>
      <c r="X1442"/>
    </row>
    <row r="1443" spans="4:24" x14ac:dyDescent="0.25">
      <c r="D1443"/>
      <c r="E1443"/>
      <c r="F1443"/>
      <c r="G1443"/>
      <c r="X1443"/>
    </row>
    <row r="1444" spans="4:24" x14ac:dyDescent="0.25">
      <c r="D1444"/>
      <c r="E1444"/>
      <c r="F1444"/>
      <c r="G1444"/>
      <c r="X1444"/>
    </row>
    <row r="1445" spans="4:24" x14ac:dyDescent="0.25">
      <c r="D1445"/>
      <c r="E1445"/>
      <c r="F1445"/>
      <c r="G1445"/>
      <c r="X1445"/>
    </row>
    <row r="1446" spans="4:24" x14ac:dyDescent="0.25">
      <c r="D1446"/>
      <c r="E1446"/>
      <c r="F1446"/>
      <c r="G1446"/>
      <c r="X1446"/>
    </row>
    <row r="1447" spans="4:24" x14ac:dyDescent="0.25">
      <c r="D1447"/>
      <c r="E1447"/>
      <c r="F1447"/>
      <c r="G1447"/>
      <c r="X1447"/>
    </row>
    <row r="1448" spans="4:24" x14ac:dyDescent="0.25">
      <c r="D1448"/>
      <c r="E1448"/>
      <c r="F1448"/>
      <c r="G1448"/>
      <c r="X1448"/>
    </row>
    <row r="1449" spans="4:24" x14ac:dyDescent="0.25">
      <c r="D1449"/>
      <c r="E1449"/>
      <c r="F1449"/>
      <c r="G1449"/>
      <c r="X1449"/>
    </row>
    <row r="1450" spans="4:24" x14ac:dyDescent="0.25">
      <c r="D1450"/>
      <c r="E1450"/>
      <c r="F1450"/>
      <c r="G1450"/>
      <c r="X1450"/>
    </row>
    <row r="1451" spans="4:24" x14ac:dyDescent="0.25">
      <c r="D1451"/>
      <c r="E1451"/>
      <c r="F1451"/>
      <c r="G1451"/>
      <c r="X1451"/>
    </row>
    <row r="1452" spans="4:24" x14ac:dyDescent="0.25">
      <c r="D1452"/>
      <c r="E1452"/>
      <c r="F1452"/>
      <c r="G1452"/>
      <c r="X1452"/>
    </row>
    <row r="1453" spans="4:24" x14ac:dyDescent="0.25">
      <c r="D1453"/>
      <c r="E1453"/>
      <c r="F1453"/>
      <c r="G1453"/>
      <c r="X1453"/>
    </row>
    <row r="1454" spans="4:24" x14ac:dyDescent="0.25">
      <c r="D1454"/>
      <c r="E1454"/>
      <c r="F1454"/>
      <c r="G1454"/>
      <c r="X1454"/>
    </row>
    <row r="1455" spans="4:24" x14ac:dyDescent="0.25">
      <c r="D1455"/>
      <c r="E1455"/>
      <c r="F1455"/>
      <c r="G1455"/>
      <c r="X1455"/>
    </row>
    <row r="1456" spans="4:24" x14ac:dyDescent="0.25">
      <c r="D1456"/>
      <c r="E1456"/>
      <c r="F1456"/>
      <c r="G1456"/>
      <c r="X1456"/>
    </row>
    <row r="1457" spans="4:24" x14ac:dyDescent="0.25">
      <c r="D1457"/>
      <c r="E1457"/>
      <c r="F1457"/>
      <c r="G1457"/>
      <c r="X1457"/>
    </row>
    <row r="1458" spans="4:24" x14ac:dyDescent="0.25">
      <c r="D1458"/>
      <c r="E1458"/>
      <c r="F1458"/>
      <c r="G1458"/>
      <c r="X1458"/>
    </row>
    <row r="1459" spans="4:24" x14ac:dyDescent="0.25">
      <c r="D1459"/>
      <c r="E1459"/>
      <c r="F1459"/>
      <c r="G1459"/>
      <c r="X1459"/>
    </row>
    <row r="1460" spans="4:24" x14ac:dyDescent="0.25">
      <c r="D1460"/>
      <c r="E1460"/>
      <c r="F1460"/>
      <c r="G1460"/>
      <c r="X1460"/>
    </row>
    <row r="1461" spans="4:24" x14ac:dyDescent="0.25">
      <c r="D1461"/>
      <c r="E1461"/>
      <c r="F1461"/>
      <c r="G1461"/>
      <c r="X1461"/>
    </row>
    <row r="1462" spans="4:24" x14ac:dyDescent="0.25">
      <c r="D1462"/>
      <c r="E1462"/>
      <c r="F1462"/>
      <c r="G1462"/>
      <c r="X1462"/>
    </row>
    <row r="1463" spans="4:24" x14ac:dyDescent="0.25">
      <c r="D1463"/>
      <c r="E1463"/>
      <c r="F1463"/>
      <c r="G1463"/>
      <c r="X1463"/>
    </row>
    <row r="1464" spans="4:24" x14ac:dyDescent="0.25">
      <c r="D1464"/>
      <c r="E1464"/>
      <c r="F1464"/>
      <c r="G1464"/>
      <c r="X1464"/>
    </row>
    <row r="1465" spans="4:24" x14ac:dyDescent="0.25">
      <c r="D1465"/>
      <c r="E1465"/>
      <c r="F1465"/>
      <c r="G1465"/>
      <c r="X1465"/>
    </row>
    <row r="1466" spans="4:24" x14ac:dyDescent="0.25">
      <c r="D1466"/>
      <c r="E1466"/>
      <c r="F1466"/>
      <c r="G1466"/>
      <c r="X1466"/>
    </row>
    <row r="1467" spans="4:24" x14ac:dyDescent="0.25">
      <c r="D1467"/>
      <c r="E1467"/>
      <c r="F1467"/>
      <c r="G1467"/>
      <c r="X1467"/>
    </row>
    <row r="1468" spans="4:24" x14ac:dyDescent="0.25">
      <c r="D1468"/>
      <c r="E1468"/>
      <c r="F1468"/>
      <c r="G1468"/>
      <c r="X1468"/>
    </row>
    <row r="1469" spans="4:24" x14ac:dyDescent="0.25">
      <c r="D1469"/>
      <c r="E1469"/>
      <c r="F1469"/>
      <c r="G1469"/>
      <c r="X1469"/>
    </row>
    <row r="1470" spans="4:24" x14ac:dyDescent="0.25">
      <c r="D1470"/>
      <c r="E1470"/>
      <c r="F1470"/>
      <c r="G1470"/>
      <c r="X1470"/>
    </row>
    <row r="1471" spans="4:24" x14ac:dyDescent="0.25">
      <c r="D1471"/>
      <c r="E1471"/>
      <c r="F1471"/>
      <c r="G1471"/>
      <c r="X1471"/>
    </row>
    <row r="1472" spans="4:24" x14ac:dyDescent="0.25">
      <c r="D1472"/>
      <c r="E1472"/>
      <c r="F1472"/>
      <c r="G1472"/>
      <c r="X1472"/>
    </row>
    <row r="1473" spans="4:24" x14ac:dyDescent="0.25">
      <c r="D1473"/>
      <c r="E1473"/>
      <c r="F1473"/>
      <c r="G1473"/>
      <c r="X1473"/>
    </row>
    <row r="1474" spans="4:24" x14ac:dyDescent="0.25">
      <c r="D1474"/>
      <c r="E1474"/>
      <c r="F1474"/>
      <c r="G1474"/>
      <c r="X1474"/>
    </row>
    <row r="1475" spans="4:24" x14ac:dyDescent="0.25">
      <c r="D1475"/>
      <c r="E1475"/>
      <c r="F1475"/>
      <c r="G1475"/>
      <c r="X1475"/>
    </row>
    <row r="1476" spans="4:24" x14ac:dyDescent="0.25">
      <c r="D1476"/>
      <c r="E1476"/>
      <c r="F1476"/>
      <c r="G1476"/>
      <c r="X1476"/>
    </row>
    <row r="1477" spans="4:24" x14ac:dyDescent="0.25">
      <c r="D1477"/>
      <c r="E1477"/>
      <c r="F1477"/>
      <c r="G1477"/>
      <c r="X1477"/>
    </row>
    <row r="1478" spans="4:24" x14ac:dyDescent="0.25">
      <c r="D1478"/>
      <c r="E1478"/>
      <c r="F1478"/>
      <c r="G1478"/>
      <c r="X1478"/>
    </row>
    <row r="1479" spans="4:24" x14ac:dyDescent="0.25">
      <c r="D1479"/>
      <c r="E1479"/>
      <c r="F1479"/>
      <c r="G1479"/>
      <c r="X1479"/>
    </row>
    <row r="1480" spans="4:24" x14ac:dyDescent="0.25">
      <c r="D1480"/>
      <c r="E1480"/>
      <c r="F1480"/>
      <c r="G1480"/>
      <c r="X1480"/>
    </row>
    <row r="1481" spans="4:24" x14ac:dyDescent="0.25">
      <c r="D1481"/>
      <c r="E1481"/>
      <c r="F1481"/>
      <c r="G1481"/>
      <c r="X1481"/>
    </row>
    <row r="1482" spans="4:24" x14ac:dyDescent="0.25">
      <c r="D1482"/>
      <c r="E1482"/>
      <c r="F1482"/>
      <c r="G1482"/>
      <c r="X1482"/>
    </row>
    <row r="1483" spans="4:24" x14ac:dyDescent="0.25">
      <c r="D1483"/>
      <c r="E1483"/>
      <c r="F1483"/>
      <c r="G1483"/>
      <c r="X1483"/>
    </row>
    <row r="1484" spans="4:24" x14ac:dyDescent="0.25">
      <c r="D1484"/>
      <c r="E1484"/>
      <c r="F1484"/>
      <c r="G1484"/>
      <c r="X1484"/>
    </row>
    <row r="1485" spans="4:24" x14ac:dyDescent="0.25">
      <c r="D1485"/>
      <c r="E1485"/>
      <c r="F1485"/>
      <c r="G1485"/>
      <c r="X1485"/>
    </row>
    <row r="1486" spans="4:24" x14ac:dyDescent="0.25">
      <c r="D1486"/>
      <c r="E1486"/>
      <c r="F1486"/>
      <c r="G1486"/>
      <c r="X1486"/>
    </row>
    <row r="1487" spans="4:24" x14ac:dyDescent="0.25">
      <c r="D1487"/>
      <c r="E1487"/>
      <c r="F1487"/>
      <c r="G1487"/>
      <c r="X1487"/>
    </row>
    <row r="1488" spans="4:24" x14ac:dyDescent="0.25">
      <c r="D1488"/>
      <c r="E1488"/>
      <c r="F1488"/>
      <c r="G1488"/>
      <c r="X1488"/>
    </row>
    <row r="1489" spans="4:24" x14ac:dyDescent="0.25">
      <c r="D1489"/>
      <c r="E1489"/>
      <c r="F1489"/>
      <c r="G1489"/>
      <c r="X1489"/>
    </row>
    <row r="1490" spans="4:24" x14ac:dyDescent="0.25">
      <c r="D1490"/>
      <c r="E1490"/>
      <c r="F1490"/>
      <c r="G1490"/>
      <c r="X1490"/>
    </row>
    <row r="1491" spans="4:24" x14ac:dyDescent="0.25">
      <c r="D1491"/>
      <c r="E1491"/>
      <c r="F1491"/>
      <c r="G1491"/>
      <c r="X1491"/>
    </row>
    <row r="1492" spans="4:24" x14ac:dyDescent="0.25">
      <c r="D1492"/>
      <c r="E1492"/>
      <c r="F1492"/>
      <c r="G1492"/>
      <c r="X1492"/>
    </row>
    <row r="1493" spans="4:24" x14ac:dyDescent="0.25">
      <c r="D1493"/>
      <c r="E1493"/>
      <c r="F1493"/>
      <c r="G1493"/>
      <c r="X1493"/>
    </row>
    <row r="1494" spans="4:24" x14ac:dyDescent="0.25">
      <c r="D1494"/>
      <c r="E1494"/>
      <c r="F1494"/>
      <c r="G1494"/>
      <c r="X1494"/>
    </row>
    <row r="1495" spans="4:24" x14ac:dyDescent="0.25">
      <c r="D1495"/>
      <c r="E1495"/>
      <c r="F1495"/>
      <c r="G1495"/>
      <c r="X1495"/>
    </row>
    <row r="1496" spans="4:24" x14ac:dyDescent="0.25">
      <c r="D1496"/>
      <c r="E1496"/>
      <c r="F1496"/>
      <c r="G1496"/>
      <c r="X1496"/>
    </row>
    <row r="1497" spans="4:24" x14ac:dyDescent="0.25">
      <c r="D1497"/>
      <c r="E1497"/>
      <c r="F1497"/>
      <c r="G1497"/>
      <c r="X1497"/>
    </row>
    <row r="1498" spans="4:24" x14ac:dyDescent="0.25">
      <c r="D1498"/>
      <c r="E1498"/>
      <c r="F1498"/>
      <c r="G1498"/>
      <c r="X1498"/>
    </row>
    <row r="1499" spans="4:24" x14ac:dyDescent="0.25">
      <c r="D1499"/>
      <c r="E1499"/>
      <c r="F1499"/>
      <c r="G1499"/>
      <c r="X1499"/>
    </row>
    <row r="1500" spans="4:24" x14ac:dyDescent="0.25">
      <c r="D1500"/>
      <c r="E1500"/>
      <c r="F1500"/>
      <c r="G1500"/>
      <c r="X1500"/>
    </row>
    <row r="1501" spans="4:24" x14ac:dyDescent="0.25">
      <c r="D1501"/>
      <c r="E1501"/>
      <c r="F1501"/>
      <c r="G1501"/>
      <c r="X1501"/>
    </row>
    <row r="1502" spans="4:24" x14ac:dyDescent="0.25">
      <c r="D1502"/>
      <c r="E1502"/>
      <c r="F1502"/>
      <c r="G1502"/>
      <c r="X1502"/>
    </row>
    <row r="1503" spans="4:24" x14ac:dyDescent="0.25">
      <c r="D1503"/>
      <c r="E1503"/>
      <c r="F1503"/>
      <c r="G1503"/>
      <c r="X1503"/>
    </row>
    <row r="1504" spans="4:24" x14ac:dyDescent="0.25">
      <c r="D1504"/>
      <c r="E1504"/>
      <c r="F1504"/>
      <c r="G1504"/>
      <c r="X1504"/>
    </row>
    <row r="1505" spans="4:24" x14ac:dyDescent="0.25">
      <c r="D1505"/>
      <c r="E1505"/>
      <c r="F1505"/>
      <c r="G1505"/>
      <c r="X1505"/>
    </row>
    <row r="1506" spans="4:24" x14ac:dyDescent="0.25">
      <c r="D1506"/>
      <c r="E1506"/>
      <c r="F1506"/>
      <c r="G1506"/>
      <c r="X1506"/>
    </row>
    <row r="1507" spans="4:24" x14ac:dyDescent="0.25">
      <c r="D1507"/>
      <c r="E1507"/>
      <c r="F1507"/>
      <c r="G1507"/>
      <c r="X1507"/>
    </row>
    <row r="1508" spans="4:24" x14ac:dyDescent="0.25">
      <c r="D1508"/>
      <c r="E1508"/>
      <c r="F1508"/>
      <c r="G1508"/>
      <c r="X1508"/>
    </row>
    <row r="1509" spans="4:24" x14ac:dyDescent="0.25">
      <c r="D1509"/>
      <c r="E1509"/>
      <c r="F1509"/>
      <c r="G1509"/>
      <c r="X1509"/>
    </row>
    <row r="1510" spans="4:24" x14ac:dyDescent="0.25">
      <c r="D1510"/>
      <c r="E1510"/>
      <c r="F1510"/>
      <c r="G1510"/>
      <c r="X1510"/>
    </row>
    <row r="1511" spans="4:24" x14ac:dyDescent="0.25">
      <c r="D1511"/>
      <c r="E1511"/>
      <c r="F1511"/>
      <c r="G1511"/>
      <c r="X1511"/>
    </row>
    <row r="1512" spans="4:24" x14ac:dyDescent="0.25">
      <c r="D1512"/>
      <c r="E1512"/>
      <c r="F1512"/>
      <c r="G1512"/>
      <c r="X1512"/>
    </row>
    <row r="1513" spans="4:24" x14ac:dyDescent="0.25">
      <c r="D1513"/>
      <c r="E1513"/>
      <c r="F1513"/>
      <c r="G1513"/>
      <c r="X1513"/>
    </row>
    <row r="1514" spans="4:24" x14ac:dyDescent="0.25">
      <c r="D1514"/>
      <c r="E1514"/>
      <c r="F1514"/>
      <c r="G1514"/>
      <c r="X1514"/>
    </row>
    <row r="1515" spans="4:24" x14ac:dyDescent="0.25">
      <c r="D1515"/>
      <c r="E1515"/>
      <c r="F1515"/>
      <c r="G1515"/>
      <c r="X1515"/>
    </row>
    <row r="1516" spans="4:24" x14ac:dyDescent="0.25">
      <c r="D1516"/>
      <c r="E1516"/>
      <c r="F1516"/>
      <c r="G1516"/>
      <c r="X1516"/>
    </row>
    <row r="1517" spans="4:24" x14ac:dyDescent="0.25">
      <c r="D1517"/>
      <c r="E1517"/>
      <c r="F1517"/>
      <c r="G1517"/>
      <c r="X1517"/>
    </row>
    <row r="1518" spans="4:24" x14ac:dyDescent="0.25">
      <c r="D1518"/>
      <c r="E1518"/>
      <c r="F1518"/>
      <c r="G1518"/>
      <c r="X1518"/>
    </row>
    <row r="1519" spans="4:24" x14ac:dyDescent="0.25">
      <c r="D1519"/>
      <c r="E1519"/>
      <c r="F1519"/>
      <c r="G1519"/>
      <c r="X1519"/>
    </row>
    <row r="1520" spans="4:24" x14ac:dyDescent="0.25">
      <c r="D1520"/>
      <c r="E1520"/>
      <c r="F1520"/>
      <c r="G1520"/>
      <c r="X1520"/>
    </row>
    <row r="1521" spans="4:24" x14ac:dyDescent="0.25">
      <c r="D1521"/>
      <c r="E1521"/>
      <c r="F1521"/>
      <c r="G1521"/>
      <c r="X1521"/>
    </row>
    <row r="1522" spans="4:24" x14ac:dyDescent="0.25">
      <c r="D1522"/>
      <c r="E1522"/>
      <c r="F1522"/>
      <c r="G1522"/>
      <c r="X1522"/>
    </row>
    <row r="1523" spans="4:24" x14ac:dyDescent="0.25">
      <c r="D1523"/>
      <c r="E1523"/>
      <c r="F1523"/>
      <c r="G1523"/>
      <c r="X1523"/>
    </row>
    <row r="1524" spans="4:24" x14ac:dyDescent="0.25">
      <c r="D1524"/>
      <c r="E1524"/>
      <c r="F1524"/>
      <c r="G1524"/>
      <c r="X1524"/>
    </row>
    <row r="1525" spans="4:24" x14ac:dyDescent="0.25">
      <c r="D1525"/>
      <c r="E1525"/>
      <c r="F1525"/>
      <c r="G1525"/>
      <c r="X1525"/>
    </row>
    <row r="1526" spans="4:24" x14ac:dyDescent="0.25">
      <c r="D1526"/>
      <c r="E1526"/>
      <c r="F1526"/>
      <c r="G1526"/>
      <c r="X1526"/>
    </row>
    <row r="1527" spans="4:24" x14ac:dyDescent="0.25">
      <c r="D1527"/>
      <c r="E1527"/>
      <c r="F1527"/>
      <c r="G1527"/>
      <c r="X1527"/>
    </row>
    <row r="1528" spans="4:24" x14ac:dyDescent="0.25">
      <c r="D1528"/>
      <c r="E1528"/>
      <c r="F1528"/>
      <c r="G1528"/>
      <c r="X1528"/>
    </row>
    <row r="1529" spans="4:24" x14ac:dyDescent="0.25">
      <c r="D1529"/>
      <c r="E1529"/>
      <c r="F1529"/>
      <c r="G1529"/>
      <c r="X1529"/>
    </row>
    <row r="1530" spans="4:24" x14ac:dyDescent="0.25">
      <c r="D1530"/>
      <c r="E1530"/>
      <c r="F1530"/>
      <c r="G1530"/>
      <c r="X1530"/>
    </row>
    <row r="1531" spans="4:24" x14ac:dyDescent="0.25">
      <c r="D1531"/>
      <c r="E1531"/>
      <c r="F1531"/>
      <c r="G1531"/>
      <c r="X1531"/>
    </row>
    <row r="1532" spans="4:24" x14ac:dyDescent="0.25">
      <c r="D1532"/>
      <c r="E1532"/>
      <c r="F1532"/>
      <c r="G1532"/>
      <c r="X1532"/>
    </row>
    <row r="1533" spans="4:24" x14ac:dyDescent="0.25">
      <c r="D1533"/>
      <c r="E1533"/>
      <c r="F1533"/>
      <c r="G1533"/>
      <c r="X1533"/>
    </row>
    <row r="1534" spans="4:24" x14ac:dyDescent="0.25">
      <c r="D1534"/>
      <c r="E1534"/>
      <c r="F1534"/>
      <c r="G1534"/>
      <c r="X1534"/>
    </row>
    <row r="1535" spans="4:24" x14ac:dyDescent="0.25">
      <c r="D1535"/>
      <c r="E1535"/>
      <c r="F1535"/>
      <c r="G1535"/>
      <c r="X1535"/>
    </row>
    <row r="1536" spans="4:24" x14ac:dyDescent="0.25">
      <c r="D1536"/>
      <c r="E1536"/>
      <c r="F1536"/>
      <c r="G1536"/>
      <c r="X1536"/>
    </row>
    <row r="1537" spans="4:24" x14ac:dyDescent="0.25">
      <c r="D1537"/>
      <c r="E1537"/>
      <c r="F1537"/>
      <c r="G1537"/>
      <c r="X1537"/>
    </row>
    <row r="1538" spans="4:24" x14ac:dyDescent="0.25">
      <c r="D1538"/>
      <c r="E1538"/>
      <c r="F1538"/>
      <c r="G1538"/>
      <c r="X1538"/>
    </row>
    <row r="1539" spans="4:24" x14ac:dyDescent="0.25">
      <c r="D1539"/>
      <c r="E1539"/>
      <c r="F1539"/>
      <c r="G1539"/>
      <c r="X1539"/>
    </row>
    <row r="1540" spans="4:24" x14ac:dyDescent="0.25">
      <c r="D1540"/>
      <c r="E1540"/>
      <c r="F1540"/>
      <c r="G1540"/>
      <c r="X1540"/>
    </row>
    <row r="1541" spans="4:24" x14ac:dyDescent="0.25">
      <c r="D1541"/>
      <c r="E1541"/>
      <c r="F1541"/>
      <c r="G1541"/>
      <c r="X1541"/>
    </row>
    <row r="1542" spans="4:24" x14ac:dyDescent="0.25">
      <c r="D1542"/>
      <c r="E1542"/>
      <c r="F1542"/>
      <c r="G1542"/>
      <c r="X1542"/>
    </row>
    <row r="1543" spans="4:24" x14ac:dyDescent="0.25">
      <c r="D1543"/>
      <c r="E1543"/>
      <c r="F1543"/>
      <c r="G1543"/>
      <c r="X1543"/>
    </row>
    <row r="1544" spans="4:24" x14ac:dyDescent="0.25">
      <c r="D1544"/>
      <c r="E1544"/>
      <c r="F1544"/>
      <c r="G1544"/>
      <c r="X1544"/>
    </row>
    <row r="1545" spans="4:24" x14ac:dyDescent="0.25">
      <c r="D1545"/>
      <c r="E1545"/>
      <c r="F1545"/>
      <c r="G1545"/>
      <c r="X1545"/>
    </row>
    <row r="1546" spans="4:24" x14ac:dyDescent="0.25">
      <c r="D1546"/>
      <c r="E1546"/>
      <c r="F1546"/>
      <c r="G1546"/>
      <c r="X1546"/>
    </row>
    <row r="1547" spans="4:24" x14ac:dyDescent="0.25">
      <c r="D1547"/>
      <c r="E1547"/>
      <c r="F1547"/>
      <c r="G1547"/>
      <c r="X1547"/>
    </row>
    <row r="1548" spans="4:24" x14ac:dyDescent="0.25">
      <c r="D1548"/>
      <c r="E1548"/>
      <c r="F1548"/>
      <c r="G1548"/>
      <c r="X1548"/>
    </row>
    <row r="1549" spans="4:24" x14ac:dyDescent="0.25">
      <c r="D1549"/>
      <c r="E1549"/>
      <c r="F1549"/>
      <c r="G1549"/>
      <c r="X1549"/>
    </row>
    <row r="1550" spans="4:24" x14ac:dyDescent="0.25">
      <c r="D1550"/>
      <c r="E1550"/>
      <c r="F1550"/>
      <c r="G1550"/>
      <c r="X1550"/>
    </row>
    <row r="1551" spans="4:24" x14ac:dyDescent="0.25">
      <c r="D1551"/>
      <c r="E1551"/>
      <c r="F1551"/>
      <c r="G1551"/>
      <c r="X1551"/>
    </row>
    <row r="1552" spans="4:24" x14ac:dyDescent="0.25">
      <c r="D1552"/>
      <c r="E1552"/>
      <c r="F1552"/>
      <c r="G1552"/>
      <c r="X1552"/>
    </row>
    <row r="1553" spans="4:24" x14ac:dyDescent="0.25">
      <c r="D1553"/>
      <c r="E1553"/>
      <c r="F1553"/>
      <c r="G1553"/>
      <c r="X1553"/>
    </row>
    <row r="1554" spans="4:24" x14ac:dyDescent="0.25">
      <c r="D1554"/>
      <c r="E1554"/>
      <c r="F1554"/>
      <c r="G1554"/>
      <c r="X1554"/>
    </row>
    <row r="1555" spans="4:24" x14ac:dyDescent="0.25">
      <c r="D1555"/>
      <c r="E1555"/>
      <c r="F1555"/>
      <c r="G1555"/>
      <c r="X1555"/>
    </row>
    <row r="1556" spans="4:24" x14ac:dyDescent="0.25">
      <c r="D1556"/>
      <c r="E1556"/>
      <c r="F1556"/>
      <c r="G1556"/>
      <c r="X1556"/>
    </row>
    <row r="1557" spans="4:24" x14ac:dyDescent="0.25">
      <c r="D1557"/>
      <c r="E1557"/>
      <c r="F1557"/>
      <c r="G1557"/>
      <c r="X1557"/>
    </row>
    <row r="1558" spans="4:24" x14ac:dyDescent="0.25">
      <c r="D1558"/>
      <c r="E1558"/>
      <c r="F1558"/>
      <c r="G1558"/>
      <c r="X1558"/>
    </row>
    <row r="1559" spans="4:24" x14ac:dyDescent="0.25">
      <c r="D1559"/>
      <c r="E1559"/>
      <c r="F1559"/>
      <c r="G1559"/>
      <c r="X1559"/>
    </row>
    <row r="1560" spans="4:24" x14ac:dyDescent="0.25">
      <c r="D1560"/>
      <c r="E1560"/>
      <c r="F1560"/>
      <c r="G1560"/>
      <c r="X1560"/>
    </row>
    <row r="1561" spans="4:24" x14ac:dyDescent="0.25">
      <c r="D1561"/>
      <c r="E1561"/>
      <c r="F1561"/>
      <c r="G1561"/>
      <c r="X1561"/>
    </row>
    <row r="1562" spans="4:24" x14ac:dyDescent="0.25">
      <c r="D1562"/>
      <c r="E1562"/>
      <c r="F1562"/>
      <c r="G1562"/>
      <c r="X1562"/>
    </row>
    <row r="1563" spans="4:24" x14ac:dyDescent="0.25">
      <c r="D1563"/>
      <c r="E1563"/>
      <c r="F1563"/>
      <c r="G1563"/>
      <c r="X1563"/>
    </row>
    <row r="1564" spans="4:24" x14ac:dyDescent="0.25">
      <c r="D1564"/>
      <c r="E1564"/>
      <c r="F1564"/>
      <c r="G1564"/>
      <c r="X1564"/>
    </row>
    <row r="1565" spans="4:24" x14ac:dyDescent="0.25">
      <c r="D1565"/>
      <c r="E1565"/>
      <c r="F1565"/>
      <c r="G1565"/>
      <c r="X1565"/>
    </row>
    <row r="1566" spans="4:24" x14ac:dyDescent="0.25">
      <c r="D1566"/>
      <c r="E1566"/>
      <c r="F1566"/>
      <c r="G1566"/>
      <c r="X1566"/>
    </row>
    <row r="1567" spans="4:24" x14ac:dyDescent="0.25">
      <c r="D1567"/>
      <c r="E1567"/>
      <c r="F1567"/>
      <c r="G1567"/>
      <c r="X1567"/>
    </row>
    <row r="1568" spans="4:24" x14ac:dyDescent="0.25">
      <c r="D1568"/>
      <c r="E1568"/>
      <c r="F1568"/>
      <c r="G1568"/>
      <c r="X1568"/>
    </row>
    <row r="1569" spans="4:24" x14ac:dyDescent="0.25">
      <c r="D1569"/>
      <c r="E1569"/>
      <c r="F1569"/>
      <c r="G1569"/>
      <c r="X1569"/>
    </row>
    <row r="1570" spans="4:24" x14ac:dyDescent="0.25">
      <c r="D1570"/>
      <c r="E1570"/>
      <c r="F1570"/>
      <c r="G1570"/>
      <c r="X1570"/>
    </row>
    <row r="1571" spans="4:24" x14ac:dyDescent="0.25">
      <c r="D1571"/>
      <c r="E1571"/>
      <c r="F1571"/>
      <c r="G1571"/>
      <c r="X1571"/>
    </row>
    <row r="1572" spans="4:24" x14ac:dyDescent="0.25">
      <c r="D1572"/>
      <c r="E1572"/>
      <c r="F1572"/>
      <c r="G1572"/>
      <c r="X1572"/>
    </row>
    <row r="1573" spans="4:24" x14ac:dyDescent="0.25">
      <c r="D1573"/>
      <c r="E1573"/>
      <c r="F1573"/>
      <c r="G1573"/>
      <c r="X1573"/>
    </row>
    <row r="1574" spans="4:24" x14ac:dyDescent="0.25">
      <c r="D1574"/>
      <c r="E1574"/>
      <c r="F1574"/>
      <c r="G1574"/>
      <c r="X1574"/>
    </row>
    <row r="1575" spans="4:24" x14ac:dyDescent="0.25">
      <c r="D1575"/>
      <c r="E1575"/>
      <c r="F1575"/>
      <c r="G1575"/>
      <c r="X1575"/>
    </row>
    <row r="1576" spans="4:24" x14ac:dyDescent="0.25">
      <c r="D1576"/>
      <c r="E1576"/>
      <c r="F1576"/>
      <c r="G1576"/>
      <c r="X1576"/>
    </row>
    <row r="1577" spans="4:24" x14ac:dyDescent="0.25">
      <c r="D1577"/>
      <c r="E1577"/>
      <c r="F1577"/>
      <c r="G1577"/>
      <c r="X1577"/>
    </row>
    <row r="1578" spans="4:24" x14ac:dyDescent="0.25">
      <c r="D1578"/>
      <c r="E1578"/>
      <c r="F1578"/>
      <c r="G1578"/>
      <c r="X1578"/>
    </row>
    <row r="1579" spans="4:24" x14ac:dyDescent="0.25">
      <c r="D1579"/>
      <c r="E1579"/>
      <c r="F1579"/>
      <c r="G1579"/>
      <c r="X1579"/>
    </row>
    <row r="1580" spans="4:24" x14ac:dyDescent="0.25">
      <c r="D1580"/>
      <c r="E1580"/>
      <c r="F1580"/>
      <c r="G1580"/>
      <c r="X1580"/>
    </row>
    <row r="1581" spans="4:24" x14ac:dyDescent="0.25">
      <c r="D1581"/>
      <c r="E1581"/>
      <c r="F1581"/>
      <c r="G1581"/>
      <c r="X1581"/>
    </row>
    <row r="1582" spans="4:24" x14ac:dyDescent="0.25">
      <c r="D1582"/>
      <c r="E1582"/>
      <c r="F1582"/>
      <c r="G1582"/>
      <c r="X1582"/>
    </row>
    <row r="1583" spans="4:24" x14ac:dyDescent="0.25">
      <c r="D1583"/>
      <c r="E1583"/>
      <c r="F1583"/>
      <c r="G1583"/>
      <c r="X1583"/>
    </row>
    <row r="1584" spans="4:24" x14ac:dyDescent="0.25">
      <c r="D1584"/>
      <c r="E1584"/>
      <c r="F1584"/>
      <c r="G1584"/>
      <c r="X1584"/>
    </row>
    <row r="1585" spans="4:24" x14ac:dyDescent="0.25">
      <c r="D1585"/>
      <c r="E1585"/>
      <c r="F1585"/>
      <c r="G1585"/>
      <c r="X1585"/>
    </row>
    <row r="1586" spans="4:24" x14ac:dyDescent="0.25">
      <c r="D1586"/>
      <c r="E1586"/>
      <c r="F1586"/>
      <c r="G1586"/>
      <c r="X1586"/>
    </row>
    <row r="1587" spans="4:24" x14ac:dyDescent="0.25">
      <c r="D1587"/>
      <c r="E1587"/>
      <c r="F1587"/>
      <c r="G1587"/>
      <c r="X1587"/>
    </row>
    <row r="1588" spans="4:24" x14ac:dyDescent="0.25">
      <c r="D1588"/>
      <c r="E1588"/>
      <c r="F1588"/>
      <c r="G1588"/>
      <c r="X1588"/>
    </row>
    <row r="1589" spans="4:24" x14ac:dyDescent="0.25">
      <c r="D1589"/>
      <c r="E1589"/>
      <c r="F1589"/>
      <c r="G1589"/>
      <c r="X1589"/>
    </row>
    <row r="1590" spans="4:24" x14ac:dyDescent="0.25">
      <c r="D1590"/>
      <c r="E1590"/>
      <c r="F1590"/>
      <c r="G1590"/>
      <c r="X1590"/>
    </row>
    <row r="1591" spans="4:24" x14ac:dyDescent="0.25">
      <c r="D1591"/>
      <c r="E1591"/>
      <c r="F1591"/>
      <c r="G1591"/>
      <c r="X1591"/>
    </row>
    <row r="1592" spans="4:24" x14ac:dyDescent="0.25">
      <c r="D1592"/>
      <c r="E1592"/>
      <c r="F1592"/>
      <c r="G1592"/>
      <c r="X1592"/>
    </row>
    <row r="1593" spans="4:24" x14ac:dyDescent="0.25">
      <c r="D1593"/>
      <c r="E1593"/>
      <c r="F1593"/>
      <c r="G1593"/>
      <c r="X1593"/>
    </row>
    <row r="1594" spans="4:24" x14ac:dyDescent="0.25">
      <c r="D1594"/>
      <c r="E1594"/>
      <c r="F1594"/>
      <c r="G1594"/>
      <c r="X1594"/>
    </row>
    <row r="1595" spans="4:24" x14ac:dyDescent="0.25">
      <c r="D1595"/>
      <c r="E1595"/>
      <c r="F1595"/>
      <c r="G1595"/>
      <c r="X1595"/>
    </row>
    <row r="1596" spans="4:24" x14ac:dyDescent="0.25">
      <c r="D1596"/>
      <c r="E1596"/>
      <c r="F1596"/>
      <c r="G1596"/>
      <c r="X1596"/>
    </row>
    <row r="1597" spans="4:24" x14ac:dyDescent="0.25">
      <c r="D1597"/>
      <c r="E1597"/>
      <c r="F1597"/>
      <c r="G1597"/>
      <c r="X1597"/>
    </row>
    <row r="1598" spans="4:24" x14ac:dyDescent="0.25">
      <c r="D1598"/>
      <c r="E1598"/>
      <c r="F1598"/>
      <c r="G1598"/>
      <c r="X1598"/>
    </row>
    <row r="1599" spans="4:24" x14ac:dyDescent="0.25">
      <c r="D1599"/>
      <c r="E1599"/>
      <c r="F1599"/>
      <c r="G1599"/>
      <c r="X1599"/>
    </row>
    <row r="1600" spans="4:24" x14ac:dyDescent="0.25">
      <c r="D1600"/>
      <c r="E1600"/>
      <c r="F1600"/>
      <c r="G1600"/>
      <c r="X1600"/>
    </row>
    <row r="1601" spans="4:24" x14ac:dyDescent="0.25">
      <c r="D1601"/>
      <c r="E1601"/>
      <c r="F1601"/>
      <c r="G1601"/>
      <c r="X1601"/>
    </row>
    <row r="1602" spans="4:24" x14ac:dyDescent="0.25">
      <c r="D1602"/>
      <c r="E1602"/>
      <c r="F1602"/>
      <c r="G1602"/>
      <c r="X1602"/>
    </row>
    <row r="1603" spans="4:24" x14ac:dyDescent="0.25">
      <c r="D1603"/>
      <c r="E1603"/>
      <c r="F1603"/>
      <c r="G1603"/>
      <c r="X1603"/>
    </row>
    <row r="1604" spans="4:24" x14ac:dyDescent="0.25">
      <c r="D1604"/>
      <c r="E1604"/>
      <c r="F1604"/>
      <c r="G1604"/>
      <c r="X1604"/>
    </row>
    <row r="1605" spans="4:24" x14ac:dyDescent="0.25">
      <c r="D1605"/>
      <c r="E1605"/>
      <c r="F1605"/>
      <c r="G1605"/>
      <c r="X1605"/>
    </row>
    <row r="1606" spans="4:24" x14ac:dyDescent="0.25">
      <c r="D1606"/>
      <c r="E1606"/>
      <c r="F1606"/>
      <c r="G1606"/>
      <c r="X1606"/>
    </row>
    <row r="1607" spans="4:24" x14ac:dyDescent="0.25">
      <c r="D1607"/>
      <c r="E1607"/>
      <c r="F1607"/>
      <c r="G1607"/>
      <c r="X1607"/>
    </row>
    <row r="1608" spans="4:24" x14ac:dyDescent="0.25">
      <c r="D1608"/>
      <c r="E1608"/>
      <c r="F1608"/>
      <c r="G1608"/>
      <c r="X1608"/>
    </row>
    <row r="1609" spans="4:24" x14ac:dyDescent="0.25">
      <c r="D1609"/>
      <c r="E1609"/>
      <c r="F1609"/>
      <c r="G1609"/>
      <c r="X1609"/>
    </row>
    <row r="1610" spans="4:24" x14ac:dyDescent="0.25">
      <c r="D1610"/>
      <c r="E1610"/>
      <c r="F1610"/>
      <c r="G1610"/>
      <c r="X1610"/>
    </row>
    <row r="1611" spans="4:24" x14ac:dyDescent="0.25">
      <c r="D1611"/>
      <c r="E1611"/>
      <c r="F1611"/>
      <c r="G1611"/>
      <c r="X1611"/>
    </row>
    <row r="1612" spans="4:24" x14ac:dyDescent="0.25">
      <c r="D1612"/>
      <c r="E1612"/>
      <c r="F1612"/>
      <c r="G1612"/>
      <c r="X1612"/>
    </row>
    <row r="1613" spans="4:24" x14ac:dyDescent="0.25">
      <c r="D1613"/>
      <c r="E1613"/>
      <c r="F1613"/>
      <c r="G1613"/>
      <c r="X1613"/>
    </row>
    <row r="1614" spans="4:24" x14ac:dyDescent="0.25">
      <c r="D1614"/>
      <c r="E1614"/>
      <c r="F1614"/>
      <c r="G1614"/>
      <c r="X1614"/>
    </row>
    <row r="1615" spans="4:24" x14ac:dyDescent="0.25">
      <c r="D1615"/>
      <c r="E1615"/>
      <c r="F1615"/>
      <c r="G1615"/>
      <c r="X1615"/>
    </row>
    <row r="1616" spans="4:24" x14ac:dyDescent="0.25">
      <c r="D1616"/>
      <c r="E1616"/>
      <c r="F1616"/>
      <c r="G1616"/>
      <c r="X1616"/>
    </row>
    <row r="1617" spans="4:24" x14ac:dyDescent="0.25">
      <c r="D1617"/>
      <c r="E1617"/>
      <c r="F1617"/>
      <c r="G1617"/>
      <c r="X1617"/>
    </row>
    <row r="1618" spans="4:24" x14ac:dyDescent="0.25">
      <c r="D1618"/>
      <c r="E1618"/>
      <c r="F1618"/>
      <c r="G1618"/>
      <c r="X1618"/>
    </row>
    <row r="1619" spans="4:24" x14ac:dyDescent="0.25">
      <c r="D1619"/>
      <c r="E1619"/>
      <c r="F1619"/>
      <c r="G1619"/>
      <c r="X1619"/>
    </row>
    <row r="1620" spans="4:24" x14ac:dyDescent="0.25">
      <c r="D1620"/>
      <c r="E1620"/>
      <c r="F1620"/>
      <c r="G1620"/>
      <c r="X1620"/>
    </row>
    <row r="1621" spans="4:24" x14ac:dyDescent="0.25">
      <c r="D1621"/>
      <c r="E1621"/>
      <c r="F1621"/>
      <c r="G1621"/>
      <c r="X1621"/>
    </row>
    <row r="1622" spans="4:24" x14ac:dyDescent="0.25">
      <c r="D1622"/>
      <c r="E1622"/>
      <c r="F1622"/>
      <c r="G1622"/>
      <c r="X1622"/>
    </row>
    <row r="1623" spans="4:24" x14ac:dyDescent="0.25">
      <c r="D1623"/>
      <c r="E1623"/>
      <c r="F1623"/>
      <c r="G1623"/>
      <c r="X1623"/>
    </row>
    <row r="1624" spans="4:24" x14ac:dyDescent="0.25">
      <c r="D1624"/>
      <c r="E1624"/>
      <c r="F1624"/>
      <c r="G1624"/>
      <c r="X1624"/>
    </row>
    <row r="1625" spans="4:24" x14ac:dyDescent="0.25">
      <c r="D1625"/>
      <c r="E1625"/>
      <c r="F1625"/>
      <c r="G1625"/>
      <c r="X1625"/>
    </row>
    <row r="1626" spans="4:24" x14ac:dyDescent="0.25">
      <c r="D1626"/>
      <c r="E1626"/>
      <c r="F1626"/>
      <c r="G1626"/>
      <c r="X1626"/>
    </row>
    <row r="1627" spans="4:24" x14ac:dyDescent="0.25">
      <c r="D1627"/>
      <c r="E1627"/>
      <c r="F1627"/>
      <c r="G1627"/>
      <c r="X1627"/>
    </row>
    <row r="1628" spans="4:24" x14ac:dyDescent="0.25">
      <c r="D1628"/>
      <c r="E1628"/>
      <c r="F1628"/>
      <c r="G1628"/>
      <c r="X1628"/>
    </row>
    <row r="1629" spans="4:24" x14ac:dyDescent="0.25">
      <c r="D1629"/>
      <c r="E1629"/>
      <c r="F1629"/>
      <c r="G1629"/>
      <c r="X1629"/>
    </row>
    <row r="1630" spans="4:24" x14ac:dyDescent="0.25">
      <c r="D1630"/>
      <c r="E1630"/>
      <c r="F1630"/>
      <c r="G1630"/>
      <c r="X1630"/>
    </row>
    <row r="1631" spans="4:24" x14ac:dyDescent="0.25">
      <c r="D1631"/>
      <c r="E1631"/>
      <c r="F1631"/>
      <c r="G1631"/>
      <c r="X1631"/>
    </row>
    <row r="1632" spans="4:24" x14ac:dyDescent="0.25">
      <c r="D1632"/>
      <c r="E1632"/>
      <c r="F1632"/>
      <c r="G1632"/>
      <c r="X1632"/>
    </row>
    <row r="1633" spans="4:24" x14ac:dyDescent="0.25">
      <c r="D1633"/>
      <c r="E1633"/>
      <c r="F1633"/>
      <c r="G1633"/>
      <c r="X1633"/>
    </row>
    <row r="1634" spans="4:24" x14ac:dyDescent="0.25">
      <c r="D1634"/>
      <c r="E1634"/>
      <c r="F1634"/>
      <c r="G1634"/>
      <c r="X1634"/>
    </row>
    <row r="1635" spans="4:24" x14ac:dyDescent="0.25">
      <c r="D1635"/>
      <c r="E1635"/>
      <c r="F1635"/>
      <c r="G1635"/>
      <c r="X1635"/>
    </row>
    <row r="1636" spans="4:24" x14ac:dyDescent="0.25">
      <c r="D1636"/>
      <c r="E1636"/>
      <c r="F1636"/>
      <c r="G1636"/>
      <c r="X1636"/>
    </row>
    <row r="1637" spans="4:24" x14ac:dyDescent="0.25">
      <c r="D1637"/>
      <c r="E1637"/>
      <c r="F1637"/>
      <c r="G1637"/>
      <c r="X1637"/>
    </row>
    <row r="1638" spans="4:24" x14ac:dyDescent="0.25">
      <c r="D1638"/>
      <c r="E1638"/>
      <c r="F1638"/>
      <c r="G1638"/>
      <c r="X1638"/>
    </row>
    <row r="1639" spans="4:24" x14ac:dyDescent="0.25">
      <c r="D1639"/>
      <c r="E1639"/>
      <c r="F1639"/>
      <c r="G1639"/>
      <c r="X1639"/>
    </row>
    <row r="1640" spans="4:24" x14ac:dyDescent="0.25">
      <c r="D1640"/>
      <c r="E1640"/>
      <c r="F1640"/>
      <c r="G1640"/>
      <c r="X1640"/>
    </row>
    <row r="1641" spans="4:24" x14ac:dyDescent="0.25">
      <c r="D1641"/>
      <c r="E1641"/>
      <c r="F1641"/>
      <c r="G1641"/>
      <c r="X1641"/>
    </row>
    <row r="1642" spans="4:24" x14ac:dyDescent="0.25">
      <c r="D1642"/>
      <c r="E1642"/>
      <c r="F1642"/>
      <c r="G1642"/>
      <c r="X1642"/>
    </row>
    <row r="1643" spans="4:24" x14ac:dyDescent="0.25">
      <c r="D1643"/>
      <c r="E1643"/>
      <c r="F1643"/>
      <c r="G1643"/>
      <c r="X1643"/>
    </row>
    <row r="1644" spans="4:24" x14ac:dyDescent="0.25">
      <c r="D1644"/>
      <c r="E1644"/>
      <c r="F1644"/>
      <c r="G1644"/>
      <c r="X1644"/>
    </row>
    <row r="1645" spans="4:24" x14ac:dyDescent="0.25">
      <c r="D1645"/>
      <c r="E1645"/>
      <c r="F1645"/>
      <c r="G1645"/>
      <c r="X1645"/>
    </row>
    <row r="1646" spans="4:24" x14ac:dyDescent="0.25">
      <c r="D1646"/>
      <c r="E1646"/>
      <c r="F1646"/>
      <c r="G1646"/>
      <c r="X1646"/>
    </row>
    <row r="1647" spans="4:24" x14ac:dyDescent="0.25">
      <c r="D1647"/>
      <c r="E1647"/>
      <c r="F1647"/>
      <c r="G1647"/>
      <c r="X1647"/>
    </row>
    <row r="1648" spans="4:24" x14ac:dyDescent="0.25">
      <c r="D1648"/>
      <c r="E1648"/>
      <c r="F1648"/>
      <c r="G1648"/>
      <c r="X1648"/>
    </row>
    <row r="1649" spans="4:24" x14ac:dyDescent="0.25">
      <c r="D1649"/>
      <c r="E1649"/>
      <c r="F1649"/>
      <c r="G1649"/>
      <c r="X1649"/>
    </row>
    <row r="1650" spans="4:24" x14ac:dyDescent="0.25">
      <c r="D1650"/>
      <c r="E1650"/>
      <c r="F1650"/>
      <c r="G1650"/>
      <c r="X1650"/>
    </row>
    <row r="1651" spans="4:24" x14ac:dyDescent="0.25">
      <c r="D1651"/>
      <c r="E1651"/>
      <c r="F1651"/>
      <c r="G1651"/>
      <c r="X1651"/>
    </row>
    <row r="1652" spans="4:24" x14ac:dyDescent="0.25">
      <c r="D1652"/>
      <c r="E1652"/>
      <c r="F1652"/>
      <c r="G1652"/>
      <c r="X1652"/>
    </row>
    <row r="1653" spans="4:24" x14ac:dyDescent="0.25">
      <c r="D1653"/>
      <c r="E1653"/>
      <c r="F1653"/>
      <c r="G1653"/>
      <c r="X1653"/>
    </row>
    <row r="1654" spans="4:24" x14ac:dyDescent="0.25">
      <c r="D1654"/>
      <c r="E1654"/>
      <c r="F1654"/>
      <c r="G1654"/>
      <c r="X1654"/>
    </row>
    <row r="1655" spans="4:24" x14ac:dyDescent="0.25">
      <c r="D1655"/>
      <c r="E1655"/>
      <c r="F1655"/>
      <c r="G1655"/>
      <c r="X1655"/>
    </row>
    <row r="1656" spans="4:24" x14ac:dyDescent="0.25">
      <c r="D1656"/>
      <c r="E1656"/>
      <c r="F1656"/>
      <c r="G1656"/>
      <c r="X1656"/>
    </row>
    <row r="1657" spans="4:24" x14ac:dyDescent="0.25">
      <c r="D1657"/>
      <c r="E1657"/>
      <c r="F1657"/>
      <c r="G1657"/>
      <c r="X1657"/>
    </row>
    <row r="1658" spans="4:24" x14ac:dyDescent="0.25">
      <c r="D1658"/>
      <c r="E1658"/>
      <c r="F1658"/>
      <c r="G1658"/>
      <c r="X1658"/>
    </row>
    <row r="1659" spans="4:24" x14ac:dyDescent="0.25">
      <c r="D1659"/>
      <c r="E1659"/>
      <c r="F1659"/>
      <c r="G1659"/>
      <c r="X1659"/>
    </row>
    <row r="1660" spans="4:24" x14ac:dyDescent="0.25">
      <c r="D1660"/>
      <c r="E1660"/>
      <c r="F1660"/>
      <c r="G1660"/>
      <c r="X1660"/>
    </row>
    <row r="1661" spans="4:24" x14ac:dyDescent="0.25">
      <c r="D1661"/>
      <c r="E1661"/>
      <c r="F1661"/>
      <c r="G1661"/>
      <c r="X1661"/>
    </row>
    <row r="1662" spans="4:24" x14ac:dyDescent="0.25">
      <c r="D1662"/>
      <c r="E1662"/>
      <c r="F1662"/>
      <c r="G1662"/>
      <c r="X1662"/>
    </row>
    <row r="1663" spans="4:24" x14ac:dyDescent="0.25">
      <c r="D1663"/>
      <c r="E1663"/>
      <c r="F1663"/>
      <c r="G1663"/>
      <c r="X1663"/>
    </row>
    <row r="1664" spans="4:24" x14ac:dyDescent="0.25">
      <c r="D1664"/>
      <c r="E1664"/>
      <c r="F1664"/>
      <c r="G1664"/>
      <c r="X1664"/>
    </row>
    <row r="1665" spans="4:24" x14ac:dyDescent="0.25">
      <c r="D1665"/>
      <c r="E1665"/>
      <c r="F1665"/>
      <c r="G1665"/>
      <c r="X1665"/>
    </row>
    <row r="1666" spans="4:24" x14ac:dyDescent="0.25">
      <c r="D1666"/>
      <c r="E1666"/>
      <c r="F1666"/>
      <c r="G1666"/>
      <c r="X1666"/>
    </row>
    <row r="1667" spans="4:24" x14ac:dyDescent="0.25">
      <c r="D1667"/>
      <c r="E1667"/>
      <c r="F1667"/>
      <c r="G1667"/>
      <c r="X1667"/>
    </row>
    <row r="1668" spans="4:24" x14ac:dyDescent="0.25">
      <c r="D1668"/>
      <c r="E1668"/>
      <c r="F1668"/>
      <c r="G1668"/>
      <c r="X1668"/>
    </row>
    <row r="1669" spans="4:24" x14ac:dyDescent="0.25">
      <c r="D1669"/>
      <c r="E1669"/>
      <c r="F1669"/>
      <c r="G1669"/>
      <c r="X1669"/>
    </row>
    <row r="1670" spans="4:24" x14ac:dyDescent="0.25">
      <c r="D1670"/>
      <c r="E1670"/>
      <c r="F1670"/>
      <c r="G1670"/>
      <c r="X1670"/>
    </row>
    <row r="1671" spans="4:24" x14ac:dyDescent="0.25">
      <c r="D1671"/>
      <c r="E1671"/>
      <c r="F1671"/>
      <c r="G1671"/>
      <c r="X1671"/>
    </row>
    <row r="1672" spans="4:24" x14ac:dyDescent="0.25">
      <c r="D1672"/>
      <c r="E1672"/>
      <c r="F1672"/>
      <c r="G1672"/>
      <c r="X1672"/>
    </row>
    <row r="1673" spans="4:24" x14ac:dyDescent="0.25">
      <c r="D1673"/>
      <c r="E1673"/>
      <c r="F1673"/>
      <c r="G1673"/>
      <c r="X1673"/>
    </row>
    <row r="1674" spans="4:24" x14ac:dyDescent="0.25">
      <c r="D1674"/>
      <c r="E1674"/>
      <c r="F1674"/>
      <c r="G1674"/>
      <c r="X1674"/>
    </row>
    <row r="1675" spans="4:24" x14ac:dyDescent="0.25">
      <c r="D1675"/>
      <c r="E1675"/>
      <c r="F1675"/>
      <c r="G1675"/>
      <c r="X1675"/>
    </row>
    <row r="1676" spans="4:24" x14ac:dyDescent="0.25">
      <c r="D1676"/>
      <c r="E1676"/>
      <c r="F1676"/>
      <c r="G1676"/>
      <c r="X1676"/>
    </row>
    <row r="1677" spans="4:24" x14ac:dyDescent="0.25">
      <c r="D1677"/>
      <c r="E1677"/>
      <c r="F1677"/>
      <c r="G1677"/>
      <c r="X1677"/>
    </row>
    <row r="1678" spans="4:24" x14ac:dyDescent="0.25">
      <c r="D1678"/>
      <c r="E1678"/>
      <c r="F1678"/>
      <c r="G1678"/>
      <c r="X1678"/>
    </row>
    <row r="1679" spans="4:24" x14ac:dyDescent="0.25">
      <c r="D1679"/>
      <c r="E1679"/>
      <c r="F1679"/>
      <c r="G1679"/>
      <c r="X1679"/>
    </row>
    <row r="1680" spans="4:24" x14ac:dyDescent="0.25">
      <c r="D1680"/>
      <c r="E1680"/>
      <c r="F1680"/>
      <c r="G1680"/>
      <c r="X1680"/>
    </row>
    <row r="1681" spans="4:24" x14ac:dyDescent="0.25">
      <c r="D1681"/>
      <c r="E1681"/>
      <c r="F1681"/>
      <c r="G1681"/>
      <c r="X1681"/>
    </row>
    <row r="1682" spans="4:24" x14ac:dyDescent="0.25">
      <c r="D1682"/>
      <c r="E1682"/>
      <c r="F1682"/>
      <c r="G1682"/>
      <c r="X1682"/>
    </row>
    <row r="1683" spans="4:24" x14ac:dyDescent="0.25">
      <c r="D1683"/>
      <c r="E1683"/>
      <c r="F1683"/>
      <c r="G1683"/>
      <c r="X1683"/>
    </row>
    <row r="1684" spans="4:24" x14ac:dyDescent="0.25">
      <c r="D1684"/>
      <c r="E1684"/>
      <c r="F1684"/>
      <c r="G1684"/>
      <c r="X1684"/>
    </row>
    <row r="1685" spans="4:24" x14ac:dyDescent="0.25">
      <c r="D1685"/>
      <c r="E1685"/>
      <c r="F1685"/>
      <c r="G1685"/>
      <c r="X1685"/>
    </row>
    <row r="1686" spans="4:24" x14ac:dyDescent="0.25">
      <c r="D1686"/>
      <c r="E1686"/>
      <c r="F1686"/>
      <c r="G1686"/>
      <c r="X1686"/>
    </row>
    <row r="1687" spans="4:24" x14ac:dyDescent="0.25">
      <c r="D1687"/>
      <c r="E1687"/>
      <c r="F1687"/>
      <c r="G1687"/>
      <c r="X1687"/>
    </row>
    <row r="1688" spans="4:24" x14ac:dyDescent="0.25">
      <c r="D1688"/>
      <c r="E1688"/>
      <c r="F1688"/>
      <c r="G1688"/>
      <c r="X1688"/>
    </row>
    <row r="1689" spans="4:24" x14ac:dyDescent="0.25">
      <c r="D1689"/>
      <c r="E1689"/>
      <c r="F1689"/>
      <c r="G1689"/>
      <c r="X1689"/>
    </row>
    <row r="1690" spans="4:24" x14ac:dyDescent="0.25">
      <c r="D1690"/>
      <c r="E1690"/>
      <c r="F1690"/>
      <c r="G1690"/>
      <c r="X1690"/>
    </row>
    <row r="1691" spans="4:24" x14ac:dyDescent="0.25">
      <c r="D1691"/>
      <c r="E1691"/>
      <c r="F1691"/>
      <c r="G1691"/>
      <c r="X1691"/>
    </row>
    <row r="1692" spans="4:24" x14ac:dyDescent="0.25">
      <c r="D1692"/>
      <c r="E1692"/>
      <c r="F1692"/>
      <c r="G1692"/>
      <c r="X1692"/>
    </row>
    <row r="1693" spans="4:24" x14ac:dyDescent="0.25">
      <c r="D1693"/>
      <c r="E1693"/>
      <c r="F1693"/>
      <c r="G1693"/>
      <c r="X1693"/>
    </row>
    <row r="1694" spans="4:24" x14ac:dyDescent="0.25">
      <c r="D1694"/>
      <c r="E1694"/>
      <c r="F1694"/>
      <c r="G1694"/>
      <c r="X1694"/>
    </row>
    <row r="1695" spans="4:24" x14ac:dyDescent="0.25">
      <c r="D1695"/>
      <c r="E1695"/>
      <c r="F1695"/>
      <c r="G1695"/>
      <c r="X1695"/>
    </row>
    <row r="1696" spans="4:24" x14ac:dyDescent="0.25">
      <c r="D1696"/>
      <c r="E1696"/>
      <c r="F1696"/>
      <c r="G1696"/>
      <c r="X1696"/>
    </row>
    <row r="1697" spans="4:24" x14ac:dyDescent="0.25">
      <c r="D1697"/>
      <c r="E1697"/>
      <c r="F1697"/>
      <c r="G1697"/>
      <c r="X1697"/>
    </row>
    <row r="1698" spans="4:24" x14ac:dyDescent="0.25">
      <c r="D1698"/>
      <c r="E1698"/>
      <c r="F1698"/>
      <c r="G1698"/>
      <c r="X1698"/>
    </row>
    <row r="1699" spans="4:24" x14ac:dyDescent="0.25">
      <c r="D1699"/>
      <c r="E1699"/>
      <c r="F1699"/>
      <c r="G1699"/>
      <c r="X1699"/>
    </row>
    <row r="1700" spans="4:24" x14ac:dyDescent="0.25">
      <c r="D1700"/>
      <c r="E1700"/>
      <c r="F1700"/>
      <c r="G1700"/>
      <c r="X1700"/>
    </row>
    <row r="1701" spans="4:24" x14ac:dyDescent="0.25">
      <c r="D1701"/>
      <c r="E1701"/>
      <c r="F1701"/>
      <c r="G1701"/>
      <c r="X1701"/>
    </row>
    <row r="1702" spans="4:24" x14ac:dyDescent="0.25">
      <c r="D1702"/>
      <c r="E1702"/>
      <c r="F1702"/>
      <c r="G1702"/>
      <c r="X1702"/>
    </row>
    <row r="1703" spans="4:24" x14ac:dyDescent="0.25">
      <c r="D1703"/>
      <c r="E1703"/>
      <c r="F1703"/>
      <c r="G1703"/>
      <c r="X1703"/>
    </row>
    <row r="1704" spans="4:24" x14ac:dyDescent="0.25">
      <c r="D1704"/>
      <c r="E1704"/>
      <c r="F1704"/>
      <c r="G1704"/>
      <c r="X1704"/>
    </row>
    <row r="1705" spans="4:24" x14ac:dyDescent="0.25">
      <c r="D1705"/>
      <c r="E1705"/>
      <c r="F1705"/>
      <c r="G1705"/>
      <c r="X1705"/>
    </row>
    <row r="1706" spans="4:24" x14ac:dyDescent="0.25">
      <c r="D1706"/>
      <c r="E1706"/>
      <c r="F1706"/>
      <c r="G1706"/>
      <c r="X1706"/>
    </row>
    <row r="1707" spans="4:24" x14ac:dyDescent="0.25">
      <c r="D1707"/>
      <c r="E1707"/>
      <c r="F1707"/>
      <c r="G1707"/>
      <c r="X1707"/>
    </row>
    <row r="1708" spans="4:24" x14ac:dyDescent="0.25">
      <c r="D1708"/>
      <c r="E1708"/>
      <c r="F1708"/>
      <c r="G1708"/>
      <c r="X1708"/>
    </row>
    <row r="1709" spans="4:24" x14ac:dyDescent="0.25">
      <c r="D1709"/>
      <c r="E1709"/>
      <c r="F1709"/>
      <c r="G1709"/>
      <c r="X1709"/>
    </row>
    <row r="1710" spans="4:24" x14ac:dyDescent="0.25">
      <c r="D1710"/>
      <c r="E1710"/>
      <c r="F1710"/>
      <c r="G1710"/>
      <c r="X1710"/>
    </row>
    <row r="1711" spans="4:24" x14ac:dyDescent="0.25">
      <c r="D1711"/>
      <c r="E1711"/>
      <c r="F1711"/>
      <c r="G1711"/>
      <c r="X1711"/>
    </row>
    <row r="1712" spans="4:24" x14ac:dyDescent="0.25">
      <c r="D1712"/>
      <c r="E1712"/>
      <c r="F1712"/>
      <c r="G1712"/>
      <c r="X1712"/>
    </row>
    <row r="1713" spans="4:24" x14ac:dyDescent="0.25">
      <c r="D1713"/>
      <c r="E1713"/>
      <c r="F1713"/>
      <c r="G1713"/>
      <c r="X1713"/>
    </row>
    <row r="1714" spans="4:24" x14ac:dyDescent="0.25">
      <c r="D1714"/>
      <c r="E1714"/>
      <c r="F1714"/>
      <c r="G1714"/>
      <c r="X1714"/>
    </row>
    <row r="1715" spans="4:24" x14ac:dyDescent="0.25">
      <c r="D1715"/>
      <c r="E1715"/>
      <c r="F1715"/>
      <c r="G1715"/>
      <c r="X1715"/>
    </row>
    <row r="1716" spans="4:24" x14ac:dyDescent="0.25">
      <c r="D1716"/>
      <c r="E1716"/>
      <c r="F1716"/>
      <c r="G1716"/>
      <c r="X1716"/>
    </row>
    <row r="1717" spans="4:24" x14ac:dyDescent="0.25">
      <c r="D1717"/>
      <c r="E1717"/>
      <c r="F1717"/>
      <c r="G1717"/>
      <c r="X1717"/>
    </row>
    <row r="1718" spans="4:24" x14ac:dyDescent="0.25">
      <c r="D1718"/>
      <c r="E1718"/>
      <c r="F1718"/>
      <c r="G1718"/>
      <c r="X1718"/>
    </row>
    <row r="1719" spans="4:24" x14ac:dyDescent="0.25">
      <c r="D1719"/>
      <c r="E1719"/>
      <c r="F1719"/>
      <c r="G1719"/>
      <c r="X1719"/>
    </row>
    <row r="1720" spans="4:24" x14ac:dyDescent="0.25">
      <c r="D1720"/>
      <c r="E1720"/>
      <c r="F1720"/>
      <c r="G1720"/>
      <c r="X1720"/>
    </row>
    <row r="1721" spans="4:24" x14ac:dyDescent="0.25">
      <c r="D1721"/>
      <c r="E1721"/>
      <c r="F1721"/>
      <c r="G1721"/>
      <c r="X1721"/>
    </row>
    <row r="1722" spans="4:24" x14ac:dyDescent="0.25">
      <c r="D1722"/>
      <c r="E1722"/>
      <c r="F1722"/>
      <c r="G1722"/>
      <c r="X1722"/>
    </row>
    <row r="1723" spans="4:24" x14ac:dyDescent="0.25">
      <c r="D1723"/>
      <c r="E1723"/>
      <c r="F1723"/>
      <c r="G1723"/>
      <c r="X1723"/>
    </row>
    <row r="1724" spans="4:24" x14ac:dyDescent="0.25">
      <c r="D1724"/>
      <c r="E1724"/>
      <c r="F1724"/>
      <c r="G1724"/>
      <c r="X1724"/>
    </row>
    <row r="1725" spans="4:24" x14ac:dyDescent="0.25">
      <c r="D1725"/>
      <c r="E1725"/>
      <c r="F1725"/>
      <c r="G1725"/>
      <c r="X1725"/>
    </row>
    <row r="1726" spans="4:24" x14ac:dyDescent="0.25">
      <c r="D1726"/>
      <c r="E1726"/>
      <c r="F1726"/>
      <c r="G1726"/>
      <c r="X1726"/>
    </row>
    <row r="1727" spans="4:24" x14ac:dyDescent="0.25">
      <c r="D1727"/>
      <c r="E1727"/>
      <c r="F1727"/>
      <c r="G1727"/>
      <c r="X1727"/>
    </row>
    <row r="1728" spans="4:24" x14ac:dyDescent="0.25">
      <c r="D1728"/>
      <c r="E1728"/>
      <c r="F1728"/>
      <c r="G1728"/>
      <c r="X1728"/>
    </row>
    <row r="1729" spans="4:24" x14ac:dyDescent="0.25">
      <c r="D1729"/>
      <c r="E1729"/>
      <c r="F1729"/>
      <c r="G1729"/>
      <c r="X1729"/>
    </row>
    <row r="1730" spans="4:24" x14ac:dyDescent="0.25">
      <c r="D1730"/>
      <c r="E1730"/>
      <c r="F1730"/>
      <c r="G1730"/>
      <c r="X1730"/>
    </row>
    <row r="1731" spans="4:24" x14ac:dyDescent="0.25">
      <c r="D1731"/>
      <c r="E1731"/>
      <c r="F1731"/>
      <c r="G1731"/>
      <c r="X1731"/>
    </row>
    <row r="1732" spans="4:24" x14ac:dyDescent="0.25">
      <c r="D1732"/>
      <c r="E1732"/>
      <c r="F1732"/>
      <c r="G1732"/>
      <c r="X1732"/>
    </row>
    <row r="1733" spans="4:24" x14ac:dyDescent="0.25">
      <c r="D1733"/>
      <c r="E1733"/>
      <c r="F1733"/>
      <c r="G1733"/>
      <c r="X1733"/>
    </row>
    <row r="1734" spans="4:24" x14ac:dyDescent="0.25">
      <c r="D1734"/>
      <c r="E1734"/>
      <c r="F1734"/>
      <c r="G1734"/>
      <c r="X1734"/>
    </row>
    <row r="1735" spans="4:24" x14ac:dyDescent="0.25">
      <c r="D1735"/>
      <c r="E1735"/>
      <c r="F1735"/>
      <c r="G1735"/>
      <c r="X1735"/>
    </row>
    <row r="1736" spans="4:24" x14ac:dyDescent="0.25">
      <c r="D1736"/>
      <c r="E1736"/>
      <c r="F1736"/>
      <c r="G1736"/>
      <c r="X1736"/>
    </row>
    <row r="1737" spans="4:24" x14ac:dyDescent="0.25">
      <c r="D1737"/>
      <c r="E1737"/>
      <c r="F1737"/>
      <c r="G1737"/>
      <c r="X1737"/>
    </row>
    <row r="1738" spans="4:24" x14ac:dyDescent="0.25">
      <c r="D1738"/>
      <c r="E1738"/>
      <c r="F1738"/>
      <c r="G1738"/>
      <c r="X1738"/>
    </row>
    <row r="1739" spans="4:24" x14ac:dyDescent="0.25">
      <c r="D1739"/>
      <c r="E1739"/>
      <c r="F1739"/>
      <c r="G1739"/>
      <c r="X1739"/>
    </row>
    <row r="1740" spans="4:24" x14ac:dyDescent="0.25">
      <c r="D1740"/>
      <c r="E1740"/>
      <c r="F1740"/>
      <c r="G1740"/>
      <c r="X1740"/>
    </row>
    <row r="1741" spans="4:24" x14ac:dyDescent="0.25">
      <c r="D1741"/>
      <c r="E1741"/>
      <c r="F1741"/>
      <c r="G1741"/>
      <c r="X1741"/>
    </row>
    <row r="1742" spans="4:24" x14ac:dyDescent="0.25">
      <c r="D1742"/>
      <c r="E1742"/>
      <c r="F1742"/>
      <c r="G1742"/>
      <c r="X1742"/>
    </row>
    <row r="1743" spans="4:24" x14ac:dyDescent="0.25">
      <c r="D1743"/>
      <c r="E1743"/>
      <c r="F1743"/>
      <c r="G1743"/>
      <c r="X1743"/>
    </row>
    <row r="1744" spans="4:24" x14ac:dyDescent="0.25">
      <c r="D1744"/>
      <c r="E1744"/>
      <c r="F1744"/>
      <c r="G1744"/>
      <c r="X1744"/>
    </row>
    <row r="1745" spans="4:24" x14ac:dyDescent="0.25">
      <c r="D1745"/>
      <c r="E1745"/>
      <c r="F1745"/>
      <c r="G1745"/>
      <c r="X1745"/>
    </row>
    <row r="1746" spans="4:24" x14ac:dyDescent="0.25">
      <c r="D1746"/>
      <c r="E1746"/>
      <c r="F1746"/>
      <c r="G1746"/>
      <c r="X1746"/>
    </row>
    <row r="1747" spans="4:24" x14ac:dyDescent="0.25">
      <c r="D1747"/>
      <c r="E1747"/>
      <c r="F1747"/>
      <c r="G1747"/>
      <c r="X1747"/>
    </row>
    <row r="1748" spans="4:24" x14ac:dyDescent="0.25">
      <c r="D1748"/>
      <c r="E1748"/>
      <c r="F1748"/>
      <c r="G1748"/>
      <c r="X1748"/>
    </row>
    <row r="1749" spans="4:24" x14ac:dyDescent="0.25">
      <c r="D1749"/>
      <c r="E1749"/>
      <c r="F1749"/>
      <c r="G1749"/>
      <c r="X1749"/>
    </row>
    <row r="1750" spans="4:24" x14ac:dyDescent="0.25">
      <c r="D1750"/>
      <c r="E1750"/>
      <c r="F1750"/>
      <c r="G1750"/>
      <c r="X1750"/>
    </row>
    <row r="1751" spans="4:24" x14ac:dyDescent="0.25">
      <c r="D1751"/>
      <c r="E1751"/>
      <c r="F1751"/>
      <c r="G1751"/>
      <c r="X1751"/>
    </row>
    <row r="1752" spans="4:24" x14ac:dyDescent="0.25">
      <c r="D1752"/>
      <c r="E1752"/>
      <c r="F1752"/>
      <c r="G1752"/>
      <c r="X1752"/>
    </row>
    <row r="1753" spans="4:24" x14ac:dyDescent="0.25">
      <c r="D1753"/>
      <c r="E1753"/>
      <c r="F1753"/>
      <c r="G1753"/>
      <c r="X1753"/>
    </row>
    <row r="1754" spans="4:24" x14ac:dyDescent="0.25">
      <c r="D1754"/>
      <c r="E1754"/>
      <c r="F1754"/>
      <c r="G1754"/>
      <c r="X1754"/>
    </row>
    <row r="1755" spans="4:24" x14ac:dyDescent="0.25">
      <c r="D1755"/>
      <c r="E1755"/>
      <c r="F1755"/>
      <c r="G1755"/>
      <c r="X1755"/>
    </row>
    <row r="1756" spans="4:24" x14ac:dyDescent="0.25">
      <c r="D1756"/>
      <c r="E1756"/>
      <c r="F1756"/>
      <c r="G1756"/>
      <c r="X1756"/>
    </row>
    <row r="1757" spans="4:24" x14ac:dyDescent="0.25">
      <c r="D1757"/>
      <c r="E1757"/>
      <c r="F1757"/>
      <c r="G1757"/>
      <c r="X1757"/>
    </row>
    <row r="1758" spans="4:24" x14ac:dyDescent="0.25">
      <c r="D1758"/>
      <c r="E1758"/>
      <c r="F1758"/>
      <c r="G1758"/>
      <c r="X1758"/>
    </row>
    <row r="1759" spans="4:24" x14ac:dyDescent="0.25">
      <c r="D1759"/>
      <c r="E1759"/>
      <c r="F1759"/>
      <c r="G1759"/>
      <c r="X1759"/>
    </row>
    <row r="1760" spans="4:24" x14ac:dyDescent="0.25">
      <c r="D1760"/>
      <c r="E1760"/>
      <c r="F1760"/>
      <c r="G1760"/>
      <c r="X1760"/>
    </row>
    <row r="1761" spans="4:24" x14ac:dyDescent="0.25">
      <c r="D1761"/>
      <c r="E1761"/>
      <c r="F1761"/>
      <c r="G1761"/>
      <c r="X1761"/>
    </row>
    <row r="1762" spans="4:24" x14ac:dyDescent="0.25">
      <c r="D1762"/>
      <c r="E1762"/>
      <c r="F1762"/>
      <c r="G1762"/>
      <c r="X1762"/>
    </row>
    <row r="1763" spans="4:24" x14ac:dyDescent="0.25">
      <c r="D1763"/>
      <c r="E1763"/>
      <c r="F1763"/>
      <c r="G1763"/>
      <c r="X1763"/>
    </row>
    <row r="1764" spans="4:24" x14ac:dyDescent="0.25">
      <c r="D1764"/>
      <c r="E1764"/>
      <c r="F1764"/>
      <c r="G1764"/>
      <c r="X1764"/>
    </row>
    <row r="1765" spans="4:24" x14ac:dyDescent="0.25">
      <c r="D1765"/>
      <c r="E1765"/>
      <c r="F1765"/>
      <c r="G1765"/>
      <c r="X1765"/>
    </row>
    <row r="1766" spans="4:24" x14ac:dyDescent="0.25">
      <c r="D1766"/>
      <c r="E1766"/>
      <c r="F1766"/>
      <c r="G1766"/>
      <c r="X1766"/>
    </row>
    <row r="1767" spans="4:24" x14ac:dyDescent="0.25">
      <c r="D1767"/>
      <c r="E1767"/>
      <c r="F1767"/>
      <c r="G1767"/>
      <c r="X1767"/>
    </row>
    <row r="1768" spans="4:24" x14ac:dyDescent="0.25">
      <c r="D1768"/>
      <c r="E1768"/>
      <c r="F1768"/>
      <c r="G1768"/>
      <c r="X1768"/>
    </row>
    <row r="1769" spans="4:24" x14ac:dyDescent="0.25">
      <c r="D1769"/>
      <c r="E1769"/>
      <c r="F1769"/>
      <c r="G1769"/>
      <c r="X1769"/>
    </row>
    <row r="1770" spans="4:24" x14ac:dyDescent="0.25">
      <c r="D1770"/>
      <c r="E1770"/>
      <c r="F1770"/>
      <c r="G1770"/>
      <c r="X1770"/>
    </row>
    <row r="1771" spans="4:24" x14ac:dyDescent="0.25">
      <c r="D1771"/>
      <c r="E1771"/>
      <c r="F1771"/>
      <c r="G1771"/>
      <c r="X1771"/>
    </row>
    <row r="1772" spans="4:24" x14ac:dyDescent="0.25">
      <c r="D1772"/>
      <c r="E1772"/>
      <c r="F1772"/>
      <c r="G1772"/>
      <c r="X1772"/>
    </row>
    <row r="1773" spans="4:24" x14ac:dyDescent="0.25">
      <c r="D1773"/>
      <c r="E1773"/>
      <c r="F1773"/>
      <c r="G1773"/>
      <c r="X1773"/>
    </row>
    <row r="1774" spans="4:24" x14ac:dyDescent="0.25">
      <c r="D1774"/>
      <c r="E1774"/>
      <c r="F1774"/>
      <c r="G1774"/>
      <c r="X1774"/>
    </row>
    <row r="1775" spans="4:24" x14ac:dyDescent="0.25">
      <c r="D1775"/>
      <c r="E1775"/>
      <c r="F1775"/>
      <c r="G1775"/>
      <c r="X1775"/>
    </row>
    <row r="1776" spans="4:24" x14ac:dyDescent="0.25">
      <c r="D1776"/>
      <c r="E1776"/>
      <c r="F1776"/>
      <c r="G1776"/>
      <c r="X1776"/>
    </row>
    <row r="1777" spans="4:24" x14ac:dyDescent="0.25">
      <c r="D1777"/>
      <c r="E1777"/>
      <c r="F1777"/>
      <c r="G1777"/>
      <c r="X1777"/>
    </row>
    <row r="1778" spans="4:24" x14ac:dyDescent="0.25">
      <c r="D1778"/>
      <c r="E1778"/>
      <c r="F1778"/>
      <c r="G1778"/>
      <c r="X1778"/>
    </row>
    <row r="1779" spans="4:24" x14ac:dyDescent="0.25">
      <c r="D1779"/>
      <c r="E1779"/>
      <c r="F1779"/>
      <c r="G1779"/>
      <c r="X1779"/>
    </row>
    <row r="1780" spans="4:24" x14ac:dyDescent="0.25">
      <c r="D1780"/>
      <c r="E1780"/>
      <c r="F1780"/>
      <c r="G1780"/>
      <c r="X1780"/>
    </row>
    <row r="1781" spans="4:24" x14ac:dyDescent="0.25">
      <c r="D1781"/>
      <c r="E1781"/>
      <c r="F1781"/>
      <c r="G1781"/>
      <c r="X1781"/>
    </row>
    <row r="1782" spans="4:24" x14ac:dyDescent="0.25">
      <c r="D1782"/>
      <c r="E1782"/>
      <c r="F1782"/>
      <c r="G1782"/>
      <c r="X1782"/>
    </row>
    <row r="1783" spans="4:24" x14ac:dyDescent="0.25">
      <c r="D1783"/>
      <c r="E1783"/>
      <c r="F1783"/>
      <c r="G1783"/>
      <c r="X1783"/>
    </row>
    <row r="1784" spans="4:24" x14ac:dyDescent="0.25">
      <c r="D1784"/>
      <c r="E1784"/>
      <c r="F1784"/>
      <c r="G1784"/>
      <c r="X1784"/>
    </row>
    <row r="1785" spans="4:24" x14ac:dyDescent="0.25">
      <c r="D1785"/>
      <c r="E1785"/>
      <c r="F1785"/>
      <c r="G1785"/>
      <c r="X1785"/>
    </row>
    <row r="1786" spans="4:24" x14ac:dyDescent="0.25">
      <c r="D1786"/>
      <c r="E1786"/>
      <c r="F1786"/>
      <c r="G1786"/>
      <c r="X1786"/>
    </row>
    <row r="1787" spans="4:24" x14ac:dyDescent="0.25">
      <c r="D1787"/>
      <c r="E1787"/>
      <c r="F1787"/>
      <c r="G1787"/>
      <c r="X1787"/>
    </row>
    <row r="1788" spans="4:24" x14ac:dyDescent="0.25">
      <c r="D1788"/>
      <c r="E1788"/>
      <c r="F1788"/>
      <c r="G1788"/>
      <c r="X1788"/>
    </row>
    <row r="1789" spans="4:24" x14ac:dyDescent="0.25">
      <c r="D1789"/>
      <c r="E1789"/>
      <c r="F1789"/>
      <c r="G1789"/>
      <c r="X1789"/>
    </row>
    <row r="1790" spans="4:24" x14ac:dyDescent="0.25">
      <c r="D1790"/>
      <c r="E1790"/>
      <c r="F1790"/>
      <c r="G1790"/>
      <c r="X1790"/>
    </row>
    <row r="1791" spans="4:24" x14ac:dyDescent="0.25">
      <c r="D1791"/>
      <c r="E1791"/>
      <c r="F1791"/>
      <c r="G1791"/>
      <c r="X1791"/>
    </row>
    <row r="1792" spans="4:24" x14ac:dyDescent="0.25">
      <c r="D1792"/>
      <c r="E1792"/>
      <c r="F1792"/>
      <c r="G1792"/>
      <c r="X1792"/>
    </row>
    <row r="1793" spans="4:24" x14ac:dyDescent="0.25">
      <c r="D1793"/>
      <c r="E1793"/>
      <c r="F1793"/>
      <c r="G1793"/>
      <c r="X1793"/>
    </row>
    <row r="1794" spans="4:24" x14ac:dyDescent="0.25">
      <c r="D1794"/>
      <c r="E1794"/>
      <c r="F1794"/>
      <c r="G1794"/>
      <c r="X1794"/>
    </row>
    <row r="1795" spans="4:24" x14ac:dyDescent="0.25">
      <c r="D1795"/>
      <c r="E1795"/>
      <c r="F1795"/>
      <c r="G1795"/>
      <c r="X1795"/>
    </row>
    <row r="1796" spans="4:24" x14ac:dyDescent="0.25">
      <c r="D1796"/>
      <c r="E1796"/>
      <c r="F1796"/>
      <c r="G1796"/>
      <c r="X1796"/>
    </row>
    <row r="1797" spans="4:24" x14ac:dyDescent="0.25">
      <c r="D1797"/>
      <c r="E1797"/>
      <c r="F1797"/>
      <c r="G1797"/>
      <c r="X1797"/>
    </row>
    <row r="1798" spans="4:24" x14ac:dyDescent="0.25">
      <c r="D1798"/>
      <c r="E1798"/>
      <c r="F1798"/>
      <c r="G1798"/>
      <c r="X1798"/>
    </row>
    <row r="1799" spans="4:24" x14ac:dyDescent="0.25">
      <c r="D1799"/>
      <c r="E1799"/>
      <c r="F1799"/>
      <c r="G1799"/>
      <c r="X1799"/>
    </row>
    <row r="1800" spans="4:24" x14ac:dyDescent="0.25">
      <c r="D1800"/>
      <c r="E1800"/>
      <c r="F1800"/>
      <c r="G1800"/>
      <c r="X1800"/>
    </row>
    <row r="1801" spans="4:24" x14ac:dyDescent="0.25">
      <c r="D1801"/>
      <c r="E1801"/>
      <c r="F1801"/>
      <c r="G1801"/>
      <c r="X1801"/>
    </row>
    <row r="1802" spans="4:24" x14ac:dyDescent="0.25">
      <c r="D1802"/>
      <c r="E1802"/>
      <c r="F1802"/>
      <c r="G1802"/>
      <c r="X1802"/>
    </row>
    <row r="1803" spans="4:24" x14ac:dyDescent="0.25">
      <c r="D1803"/>
      <c r="E1803"/>
      <c r="F1803"/>
      <c r="G1803"/>
      <c r="X1803"/>
    </row>
    <row r="1804" spans="4:24" x14ac:dyDescent="0.25">
      <c r="D1804"/>
      <c r="E1804"/>
      <c r="F1804"/>
      <c r="G1804"/>
      <c r="X1804"/>
    </row>
    <row r="1805" spans="4:24" x14ac:dyDescent="0.25">
      <c r="D1805"/>
      <c r="E1805"/>
      <c r="F1805"/>
      <c r="G1805"/>
      <c r="X1805"/>
    </row>
    <row r="1806" spans="4:24" x14ac:dyDescent="0.25">
      <c r="D1806"/>
      <c r="E1806"/>
      <c r="F1806"/>
      <c r="G1806"/>
      <c r="X1806"/>
    </row>
    <row r="1807" spans="4:24" x14ac:dyDescent="0.25">
      <c r="D1807"/>
      <c r="E1807"/>
      <c r="F1807"/>
      <c r="G1807"/>
      <c r="X1807"/>
    </row>
    <row r="1808" spans="4:24" x14ac:dyDescent="0.25">
      <c r="D1808"/>
      <c r="E1808"/>
      <c r="F1808"/>
      <c r="G1808"/>
      <c r="X1808"/>
    </row>
    <row r="1809" spans="4:24" x14ac:dyDescent="0.25">
      <c r="D1809"/>
      <c r="E1809"/>
      <c r="F1809"/>
      <c r="G1809"/>
      <c r="X1809"/>
    </row>
    <row r="1810" spans="4:24" x14ac:dyDescent="0.25">
      <c r="D1810"/>
      <c r="E1810"/>
      <c r="F1810"/>
      <c r="G1810"/>
      <c r="X1810"/>
    </row>
    <row r="1811" spans="4:24" x14ac:dyDescent="0.25">
      <c r="D1811"/>
      <c r="E1811"/>
      <c r="F1811"/>
      <c r="G1811"/>
      <c r="X1811"/>
    </row>
    <row r="1812" spans="4:24" x14ac:dyDescent="0.25">
      <c r="D1812"/>
      <c r="E1812"/>
      <c r="F1812"/>
      <c r="G1812"/>
      <c r="X1812"/>
    </row>
    <row r="1813" spans="4:24" x14ac:dyDescent="0.25">
      <c r="D1813"/>
      <c r="E1813"/>
      <c r="F1813"/>
      <c r="G1813"/>
      <c r="X1813"/>
    </row>
    <row r="1814" spans="4:24" x14ac:dyDescent="0.25">
      <c r="D1814"/>
      <c r="E1814"/>
      <c r="F1814"/>
      <c r="G1814"/>
      <c r="X1814"/>
    </row>
    <row r="1815" spans="4:24" x14ac:dyDescent="0.25">
      <c r="D1815"/>
      <c r="E1815"/>
      <c r="F1815"/>
      <c r="G1815"/>
      <c r="X1815"/>
    </row>
    <row r="1816" spans="4:24" x14ac:dyDescent="0.25">
      <c r="D1816"/>
      <c r="E1816"/>
      <c r="F1816"/>
      <c r="G1816"/>
      <c r="X1816"/>
    </row>
    <row r="1817" spans="4:24" x14ac:dyDescent="0.25">
      <c r="D1817"/>
      <c r="E1817"/>
      <c r="F1817"/>
      <c r="G1817"/>
      <c r="X1817"/>
    </row>
    <row r="1818" spans="4:24" x14ac:dyDescent="0.25">
      <c r="D1818"/>
      <c r="E1818"/>
      <c r="F1818"/>
      <c r="G1818"/>
      <c r="X1818"/>
    </row>
    <row r="1819" spans="4:24" x14ac:dyDescent="0.25">
      <c r="D1819"/>
      <c r="E1819"/>
      <c r="F1819"/>
      <c r="G1819"/>
      <c r="X1819"/>
    </row>
    <row r="1820" spans="4:24" x14ac:dyDescent="0.25">
      <c r="D1820"/>
      <c r="E1820"/>
      <c r="F1820"/>
      <c r="G1820"/>
      <c r="X1820"/>
    </row>
    <row r="1821" spans="4:24" x14ac:dyDescent="0.25">
      <c r="D1821"/>
      <c r="E1821"/>
      <c r="F1821"/>
      <c r="G1821"/>
      <c r="X1821"/>
    </row>
    <row r="1822" spans="4:24" x14ac:dyDescent="0.25">
      <c r="D1822"/>
      <c r="E1822"/>
      <c r="F1822"/>
      <c r="G1822"/>
      <c r="X1822"/>
    </row>
    <row r="1823" spans="4:24" x14ac:dyDescent="0.25">
      <c r="D1823"/>
      <c r="E1823"/>
      <c r="F1823"/>
      <c r="G1823"/>
      <c r="X1823"/>
    </row>
    <row r="1824" spans="4:24" x14ac:dyDescent="0.25">
      <c r="D1824"/>
      <c r="E1824"/>
      <c r="F1824"/>
      <c r="G1824"/>
      <c r="X1824"/>
    </row>
    <row r="1825" spans="4:24" x14ac:dyDescent="0.25">
      <c r="D1825"/>
      <c r="E1825"/>
      <c r="F1825"/>
      <c r="G1825"/>
      <c r="X1825"/>
    </row>
    <row r="1826" spans="4:24" x14ac:dyDescent="0.25">
      <c r="D1826"/>
      <c r="E1826"/>
      <c r="F1826"/>
      <c r="G1826"/>
      <c r="X1826"/>
    </row>
    <row r="1827" spans="4:24" x14ac:dyDescent="0.25">
      <c r="D1827"/>
      <c r="E1827"/>
      <c r="F1827"/>
      <c r="G1827"/>
      <c r="X1827"/>
    </row>
    <row r="1828" spans="4:24" x14ac:dyDescent="0.25">
      <c r="D1828"/>
      <c r="E1828"/>
      <c r="F1828"/>
      <c r="G1828"/>
      <c r="X1828"/>
    </row>
    <row r="1829" spans="4:24" x14ac:dyDescent="0.25">
      <c r="D1829"/>
      <c r="E1829"/>
      <c r="F1829"/>
      <c r="G1829"/>
      <c r="X1829"/>
    </row>
    <row r="1830" spans="4:24" x14ac:dyDescent="0.25">
      <c r="D1830"/>
      <c r="E1830"/>
      <c r="F1830"/>
      <c r="G1830"/>
      <c r="X1830"/>
    </row>
    <row r="1831" spans="4:24" x14ac:dyDescent="0.25">
      <c r="D1831"/>
      <c r="E1831"/>
      <c r="F1831"/>
      <c r="G1831"/>
      <c r="X1831"/>
    </row>
    <row r="1832" spans="4:24" x14ac:dyDescent="0.25">
      <c r="D1832"/>
      <c r="E1832"/>
      <c r="F1832"/>
      <c r="G1832"/>
      <c r="X1832"/>
    </row>
    <row r="1833" spans="4:24" x14ac:dyDescent="0.25">
      <c r="D1833"/>
      <c r="E1833"/>
      <c r="F1833"/>
      <c r="G1833"/>
      <c r="X1833"/>
    </row>
    <row r="1834" spans="4:24" x14ac:dyDescent="0.25">
      <c r="D1834"/>
      <c r="E1834"/>
      <c r="F1834"/>
      <c r="G1834"/>
      <c r="X1834"/>
    </row>
    <row r="1835" spans="4:24" x14ac:dyDescent="0.25">
      <c r="D1835"/>
      <c r="E1835"/>
      <c r="F1835"/>
      <c r="G1835"/>
      <c r="X1835"/>
    </row>
    <row r="1836" spans="4:24" x14ac:dyDescent="0.25">
      <c r="D1836"/>
      <c r="E1836"/>
      <c r="F1836"/>
      <c r="G1836"/>
      <c r="X1836"/>
    </row>
    <row r="1837" spans="4:24" x14ac:dyDescent="0.25">
      <c r="D1837"/>
      <c r="E1837"/>
      <c r="F1837"/>
      <c r="G1837"/>
      <c r="X1837"/>
    </row>
    <row r="1838" spans="4:24" x14ac:dyDescent="0.25">
      <c r="D1838"/>
      <c r="E1838"/>
      <c r="F1838"/>
      <c r="G1838"/>
      <c r="X1838"/>
    </row>
    <row r="1839" spans="4:24" x14ac:dyDescent="0.25">
      <c r="D1839"/>
      <c r="E1839"/>
      <c r="F1839"/>
      <c r="G1839"/>
      <c r="X1839"/>
    </row>
    <row r="1840" spans="4:24" x14ac:dyDescent="0.25">
      <c r="D1840"/>
      <c r="E1840"/>
      <c r="F1840"/>
      <c r="G1840"/>
      <c r="X1840"/>
    </row>
    <row r="1841" spans="4:24" x14ac:dyDescent="0.25">
      <c r="D1841"/>
      <c r="E1841"/>
      <c r="F1841"/>
      <c r="G1841"/>
      <c r="X1841"/>
    </row>
    <row r="1842" spans="4:24" x14ac:dyDescent="0.25">
      <c r="D1842"/>
      <c r="E1842"/>
      <c r="F1842"/>
      <c r="G1842"/>
      <c r="X1842"/>
    </row>
    <row r="1843" spans="4:24" x14ac:dyDescent="0.25">
      <c r="D1843"/>
      <c r="E1843"/>
      <c r="F1843"/>
      <c r="G1843"/>
      <c r="X1843"/>
    </row>
    <row r="1844" spans="4:24" x14ac:dyDescent="0.25">
      <c r="D1844"/>
      <c r="E1844"/>
      <c r="F1844"/>
      <c r="G1844"/>
      <c r="X1844"/>
    </row>
    <row r="1845" spans="4:24" x14ac:dyDescent="0.25">
      <c r="D1845"/>
      <c r="E1845"/>
      <c r="F1845"/>
      <c r="G1845"/>
      <c r="X1845"/>
    </row>
    <row r="1846" spans="4:24" x14ac:dyDescent="0.25">
      <c r="D1846"/>
      <c r="E1846"/>
      <c r="F1846"/>
      <c r="G1846"/>
      <c r="X1846"/>
    </row>
    <row r="1847" spans="4:24" x14ac:dyDescent="0.25">
      <c r="D1847"/>
      <c r="E1847"/>
      <c r="F1847"/>
      <c r="G1847"/>
      <c r="X1847"/>
    </row>
    <row r="1848" spans="4:24" x14ac:dyDescent="0.25">
      <c r="D1848"/>
      <c r="E1848"/>
      <c r="F1848"/>
      <c r="G1848"/>
      <c r="X1848"/>
    </row>
    <row r="1849" spans="4:24" x14ac:dyDescent="0.25">
      <c r="D1849"/>
      <c r="E1849"/>
      <c r="F1849"/>
      <c r="G1849"/>
      <c r="X1849"/>
    </row>
    <row r="1850" spans="4:24" x14ac:dyDescent="0.25">
      <c r="D1850"/>
      <c r="E1850"/>
      <c r="F1850"/>
      <c r="G1850"/>
      <c r="X1850"/>
    </row>
    <row r="1851" spans="4:24" x14ac:dyDescent="0.25">
      <c r="D1851"/>
      <c r="E1851"/>
      <c r="F1851"/>
      <c r="G1851"/>
      <c r="X1851"/>
    </row>
    <row r="1852" spans="4:24" x14ac:dyDescent="0.25">
      <c r="D1852"/>
      <c r="E1852"/>
      <c r="F1852"/>
      <c r="G1852"/>
      <c r="X1852"/>
    </row>
    <row r="1853" spans="4:24" x14ac:dyDescent="0.25">
      <c r="D1853"/>
      <c r="E1853"/>
      <c r="F1853"/>
      <c r="G1853"/>
      <c r="X1853"/>
    </row>
    <row r="1854" spans="4:24" x14ac:dyDescent="0.25">
      <c r="D1854"/>
      <c r="E1854"/>
      <c r="F1854"/>
      <c r="G1854"/>
      <c r="X1854"/>
    </row>
    <row r="1855" spans="4:24" x14ac:dyDescent="0.25">
      <c r="D1855"/>
      <c r="E1855"/>
      <c r="F1855"/>
      <c r="G1855"/>
      <c r="X1855"/>
    </row>
    <row r="1856" spans="4:24" x14ac:dyDescent="0.25">
      <c r="D1856"/>
      <c r="E1856"/>
      <c r="F1856"/>
      <c r="G1856"/>
      <c r="X1856"/>
    </row>
    <row r="1857" spans="4:24" x14ac:dyDescent="0.25">
      <c r="D1857"/>
      <c r="E1857"/>
      <c r="F1857"/>
      <c r="G1857"/>
      <c r="X1857"/>
    </row>
    <row r="1858" spans="4:24" x14ac:dyDescent="0.25">
      <c r="D1858"/>
      <c r="E1858"/>
      <c r="F1858"/>
      <c r="G1858"/>
      <c r="X1858"/>
    </row>
    <row r="1859" spans="4:24" x14ac:dyDescent="0.25">
      <c r="D1859"/>
      <c r="E1859"/>
      <c r="F1859"/>
      <c r="G1859"/>
      <c r="X1859"/>
    </row>
    <row r="1860" spans="4:24" x14ac:dyDescent="0.25">
      <c r="D1860"/>
      <c r="E1860"/>
      <c r="F1860"/>
      <c r="G1860"/>
      <c r="X1860"/>
    </row>
    <row r="1861" spans="4:24" x14ac:dyDescent="0.25">
      <c r="D1861"/>
      <c r="E1861"/>
      <c r="F1861"/>
      <c r="G1861"/>
      <c r="X1861"/>
    </row>
    <row r="1862" spans="4:24" x14ac:dyDescent="0.25">
      <c r="D1862"/>
      <c r="E1862"/>
      <c r="F1862"/>
      <c r="G1862"/>
      <c r="X1862"/>
    </row>
    <row r="1863" spans="4:24" x14ac:dyDescent="0.25">
      <c r="D1863"/>
      <c r="E1863"/>
      <c r="F1863"/>
      <c r="G1863"/>
      <c r="X1863"/>
    </row>
    <row r="1864" spans="4:24" x14ac:dyDescent="0.25">
      <c r="D1864"/>
      <c r="E1864"/>
      <c r="F1864"/>
      <c r="G1864"/>
      <c r="X1864"/>
    </row>
    <row r="1865" spans="4:24" x14ac:dyDescent="0.25">
      <c r="D1865"/>
      <c r="E1865"/>
      <c r="F1865"/>
      <c r="G1865"/>
      <c r="X1865"/>
    </row>
    <row r="1866" spans="4:24" x14ac:dyDescent="0.25">
      <c r="D1866"/>
      <c r="E1866"/>
      <c r="F1866"/>
      <c r="G1866"/>
      <c r="X1866"/>
    </row>
    <row r="1867" spans="4:24" x14ac:dyDescent="0.25">
      <c r="D1867"/>
      <c r="E1867"/>
      <c r="F1867"/>
      <c r="G1867"/>
      <c r="X1867"/>
    </row>
    <row r="1868" spans="4:24" x14ac:dyDescent="0.25">
      <c r="D1868"/>
      <c r="E1868"/>
      <c r="F1868"/>
      <c r="G1868"/>
      <c r="X1868"/>
    </row>
    <row r="1869" spans="4:24" x14ac:dyDescent="0.25">
      <c r="D1869"/>
      <c r="E1869"/>
      <c r="F1869"/>
      <c r="G1869"/>
      <c r="X1869"/>
    </row>
    <row r="1870" spans="4:24" x14ac:dyDescent="0.25">
      <c r="D1870"/>
      <c r="E1870"/>
      <c r="F1870"/>
      <c r="G1870"/>
      <c r="X1870"/>
    </row>
    <row r="1871" spans="4:24" x14ac:dyDescent="0.25">
      <c r="D1871"/>
      <c r="E1871"/>
      <c r="F1871"/>
      <c r="G1871"/>
      <c r="X1871"/>
    </row>
    <row r="1872" spans="4:24" x14ac:dyDescent="0.25">
      <c r="D1872"/>
      <c r="E1872"/>
      <c r="F1872"/>
      <c r="G1872"/>
      <c r="X1872"/>
    </row>
    <row r="1873" spans="4:24" x14ac:dyDescent="0.25">
      <c r="D1873"/>
      <c r="E1873"/>
      <c r="F1873"/>
      <c r="G1873"/>
      <c r="X1873"/>
    </row>
    <row r="1874" spans="4:24" x14ac:dyDescent="0.25">
      <c r="D1874"/>
      <c r="E1874"/>
      <c r="F1874"/>
      <c r="G1874"/>
      <c r="X1874"/>
    </row>
    <row r="1875" spans="4:24" x14ac:dyDescent="0.25">
      <c r="D1875"/>
      <c r="E1875"/>
      <c r="F1875"/>
      <c r="G1875"/>
      <c r="X1875"/>
    </row>
    <row r="1876" spans="4:24" x14ac:dyDescent="0.25">
      <c r="D1876"/>
      <c r="E1876"/>
      <c r="F1876"/>
      <c r="G1876"/>
      <c r="X1876"/>
    </row>
    <row r="1877" spans="4:24" x14ac:dyDescent="0.25">
      <c r="D1877"/>
      <c r="E1877"/>
      <c r="F1877"/>
      <c r="G1877"/>
      <c r="X1877"/>
    </row>
    <row r="1878" spans="4:24" x14ac:dyDescent="0.25">
      <c r="D1878"/>
      <c r="E1878"/>
      <c r="F1878"/>
      <c r="G1878"/>
      <c r="X1878"/>
    </row>
    <row r="1879" spans="4:24" x14ac:dyDescent="0.25">
      <c r="D1879"/>
      <c r="E1879"/>
      <c r="F1879"/>
      <c r="G1879"/>
      <c r="X1879"/>
    </row>
    <row r="1880" spans="4:24" x14ac:dyDescent="0.25">
      <c r="D1880"/>
      <c r="E1880"/>
      <c r="F1880"/>
      <c r="G1880"/>
      <c r="X1880"/>
    </row>
    <row r="1881" spans="4:24" x14ac:dyDescent="0.25">
      <c r="D1881"/>
      <c r="E1881"/>
      <c r="F1881"/>
      <c r="G1881"/>
      <c r="X1881"/>
    </row>
    <row r="1882" spans="4:24" x14ac:dyDescent="0.25">
      <c r="D1882"/>
      <c r="E1882"/>
      <c r="F1882"/>
      <c r="G1882"/>
      <c r="X1882"/>
    </row>
    <row r="1883" spans="4:24" x14ac:dyDescent="0.25">
      <c r="D1883"/>
      <c r="E1883"/>
      <c r="F1883"/>
      <c r="G1883"/>
      <c r="X1883"/>
    </row>
    <row r="1884" spans="4:24" x14ac:dyDescent="0.25">
      <c r="D1884"/>
      <c r="E1884"/>
      <c r="F1884"/>
      <c r="G1884"/>
      <c r="X1884"/>
    </row>
    <row r="1885" spans="4:24" x14ac:dyDescent="0.25">
      <c r="D1885"/>
      <c r="E1885"/>
      <c r="F1885"/>
      <c r="G1885"/>
      <c r="X1885"/>
    </row>
    <row r="1886" spans="4:24" x14ac:dyDescent="0.25">
      <c r="D1886"/>
      <c r="E1886"/>
      <c r="F1886"/>
      <c r="G1886"/>
      <c r="X1886"/>
    </row>
    <row r="1887" spans="4:24" x14ac:dyDescent="0.25">
      <c r="D1887"/>
      <c r="E1887"/>
      <c r="F1887"/>
      <c r="G1887"/>
      <c r="X1887"/>
    </row>
    <row r="1888" spans="4:24" x14ac:dyDescent="0.25">
      <c r="D1888"/>
      <c r="E1888"/>
      <c r="F1888"/>
      <c r="G1888"/>
      <c r="X1888"/>
    </row>
    <row r="1889" spans="4:24" x14ac:dyDescent="0.25">
      <c r="D1889"/>
      <c r="E1889"/>
      <c r="F1889"/>
      <c r="G1889"/>
      <c r="X1889"/>
    </row>
    <row r="1890" spans="4:24" x14ac:dyDescent="0.25">
      <c r="D1890"/>
      <c r="E1890"/>
      <c r="F1890"/>
      <c r="G1890"/>
      <c r="X1890"/>
    </row>
    <row r="1891" spans="4:24" x14ac:dyDescent="0.25">
      <c r="D1891"/>
      <c r="E1891"/>
      <c r="F1891"/>
      <c r="G1891"/>
      <c r="X1891"/>
    </row>
    <row r="1892" spans="4:24" x14ac:dyDescent="0.25">
      <c r="D1892"/>
      <c r="E1892"/>
      <c r="F1892"/>
      <c r="G1892"/>
      <c r="X1892"/>
    </row>
    <row r="1893" spans="4:24" x14ac:dyDescent="0.25">
      <c r="D1893"/>
      <c r="E1893"/>
      <c r="F1893"/>
      <c r="G1893"/>
      <c r="X1893"/>
    </row>
    <row r="1894" spans="4:24" x14ac:dyDescent="0.25">
      <c r="D1894"/>
      <c r="E1894"/>
      <c r="F1894"/>
      <c r="G1894"/>
      <c r="X1894"/>
    </row>
    <row r="1895" spans="4:24" x14ac:dyDescent="0.25">
      <c r="D1895"/>
      <c r="E1895"/>
      <c r="F1895"/>
      <c r="G1895"/>
      <c r="X1895"/>
    </row>
    <row r="1896" spans="4:24" x14ac:dyDescent="0.25">
      <c r="D1896"/>
      <c r="E1896"/>
      <c r="F1896"/>
      <c r="G1896"/>
      <c r="X1896"/>
    </row>
    <row r="1897" spans="4:24" x14ac:dyDescent="0.25">
      <c r="D1897"/>
      <c r="E1897"/>
      <c r="F1897"/>
      <c r="G1897"/>
      <c r="X1897"/>
    </row>
    <row r="1898" spans="4:24" x14ac:dyDescent="0.25">
      <c r="D1898"/>
      <c r="E1898"/>
      <c r="F1898"/>
      <c r="G1898"/>
      <c r="X1898"/>
    </row>
    <row r="1899" spans="4:24" x14ac:dyDescent="0.25">
      <c r="D1899"/>
      <c r="E1899"/>
      <c r="F1899"/>
      <c r="G1899"/>
      <c r="X1899"/>
    </row>
    <row r="1900" spans="4:24" x14ac:dyDescent="0.25">
      <c r="D1900"/>
      <c r="E1900"/>
      <c r="F1900"/>
      <c r="G1900"/>
      <c r="X1900"/>
    </row>
    <row r="1901" spans="4:24" x14ac:dyDescent="0.25">
      <c r="D1901"/>
      <c r="E1901"/>
      <c r="F1901"/>
      <c r="G1901"/>
      <c r="X1901"/>
    </row>
    <row r="1902" spans="4:24" x14ac:dyDescent="0.25">
      <c r="D1902"/>
      <c r="E1902"/>
      <c r="F1902"/>
      <c r="G1902"/>
      <c r="X1902"/>
    </row>
    <row r="1903" spans="4:24" x14ac:dyDescent="0.25">
      <c r="D1903"/>
      <c r="E1903"/>
      <c r="F1903"/>
      <c r="G1903"/>
      <c r="X1903"/>
    </row>
    <row r="1904" spans="4:24" x14ac:dyDescent="0.25">
      <c r="D1904"/>
      <c r="E1904"/>
      <c r="F1904"/>
      <c r="G1904"/>
      <c r="X1904"/>
    </row>
    <row r="1905" spans="4:24" x14ac:dyDescent="0.25">
      <c r="D1905"/>
      <c r="E1905"/>
      <c r="F1905"/>
      <c r="G1905"/>
      <c r="X1905"/>
    </row>
    <row r="1906" spans="4:24" x14ac:dyDescent="0.25">
      <c r="D1906"/>
      <c r="E1906"/>
      <c r="F1906"/>
      <c r="G1906"/>
      <c r="X1906"/>
    </row>
    <row r="1907" spans="4:24" x14ac:dyDescent="0.25">
      <c r="D1907"/>
      <c r="E1907"/>
      <c r="F1907"/>
      <c r="G1907"/>
      <c r="X1907"/>
    </row>
    <row r="1908" spans="4:24" x14ac:dyDescent="0.25">
      <c r="D1908"/>
      <c r="E1908"/>
      <c r="F1908"/>
      <c r="G1908"/>
      <c r="X1908"/>
    </row>
    <row r="1909" spans="4:24" x14ac:dyDescent="0.25">
      <c r="D1909"/>
      <c r="E1909"/>
      <c r="F1909"/>
      <c r="G1909"/>
      <c r="X1909"/>
    </row>
    <row r="1910" spans="4:24" x14ac:dyDescent="0.25">
      <c r="D1910"/>
      <c r="E1910"/>
      <c r="F1910"/>
      <c r="G1910"/>
      <c r="X1910"/>
    </row>
    <row r="1911" spans="4:24" x14ac:dyDescent="0.25">
      <c r="D1911"/>
      <c r="E1911"/>
      <c r="F1911"/>
      <c r="G1911"/>
      <c r="X1911"/>
    </row>
    <row r="1912" spans="4:24" x14ac:dyDescent="0.25">
      <c r="D1912"/>
      <c r="E1912"/>
      <c r="F1912"/>
      <c r="G1912"/>
      <c r="X1912"/>
    </row>
    <row r="1913" spans="4:24" x14ac:dyDescent="0.25">
      <c r="D1913"/>
      <c r="E1913"/>
      <c r="F1913"/>
      <c r="G1913"/>
      <c r="X1913"/>
    </row>
    <row r="1914" spans="4:24" x14ac:dyDescent="0.25">
      <c r="D1914"/>
      <c r="E1914"/>
      <c r="F1914"/>
      <c r="G1914"/>
      <c r="X1914"/>
    </row>
    <row r="1915" spans="4:24" x14ac:dyDescent="0.25">
      <c r="D1915"/>
      <c r="E1915"/>
      <c r="F1915"/>
      <c r="G1915"/>
      <c r="X1915"/>
    </row>
    <row r="1916" spans="4:24" x14ac:dyDescent="0.25">
      <c r="D1916"/>
      <c r="E1916"/>
      <c r="F1916"/>
      <c r="G1916"/>
      <c r="X1916"/>
    </row>
    <row r="1917" spans="4:24" x14ac:dyDescent="0.25">
      <c r="D1917"/>
      <c r="E1917"/>
      <c r="F1917"/>
      <c r="G1917"/>
      <c r="X1917"/>
    </row>
    <row r="1918" spans="4:24" x14ac:dyDescent="0.25">
      <c r="D1918"/>
      <c r="E1918"/>
      <c r="F1918"/>
      <c r="G1918"/>
      <c r="X1918"/>
    </row>
    <row r="1919" spans="4:24" x14ac:dyDescent="0.25">
      <c r="D1919"/>
      <c r="E1919"/>
      <c r="F1919"/>
      <c r="G1919"/>
      <c r="X1919"/>
    </row>
    <row r="1920" spans="4:24" x14ac:dyDescent="0.25">
      <c r="D1920"/>
      <c r="E1920"/>
      <c r="F1920"/>
      <c r="G1920"/>
      <c r="X1920"/>
    </row>
    <row r="1921" spans="4:24" x14ac:dyDescent="0.25">
      <c r="D1921"/>
      <c r="E1921"/>
      <c r="F1921"/>
      <c r="G1921"/>
      <c r="X1921"/>
    </row>
    <row r="1922" spans="4:24" x14ac:dyDescent="0.25">
      <c r="D1922"/>
      <c r="E1922"/>
      <c r="F1922"/>
      <c r="G1922"/>
      <c r="X1922"/>
    </row>
    <row r="1923" spans="4:24" x14ac:dyDescent="0.25">
      <c r="D1923"/>
      <c r="E1923"/>
      <c r="F1923"/>
      <c r="G1923"/>
      <c r="X1923"/>
    </row>
    <row r="1924" spans="4:24" x14ac:dyDescent="0.25">
      <c r="D1924"/>
      <c r="E1924"/>
      <c r="F1924"/>
      <c r="G1924"/>
      <c r="X1924"/>
    </row>
    <row r="1925" spans="4:24" x14ac:dyDescent="0.25">
      <c r="D1925"/>
      <c r="E1925"/>
      <c r="F1925"/>
      <c r="G1925"/>
      <c r="X1925"/>
    </row>
    <row r="1926" spans="4:24" x14ac:dyDescent="0.25">
      <c r="D1926"/>
      <c r="E1926"/>
      <c r="F1926"/>
      <c r="G1926"/>
      <c r="X1926"/>
    </row>
    <row r="1927" spans="4:24" x14ac:dyDescent="0.25">
      <c r="D1927"/>
      <c r="E1927"/>
      <c r="F1927"/>
      <c r="G1927"/>
      <c r="X1927"/>
    </row>
    <row r="1928" spans="4:24" x14ac:dyDescent="0.25">
      <c r="D1928"/>
      <c r="E1928"/>
      <c r="F1928"/>
      <c r="G1928"/>
      <c r="X1928"/>
    </row>
    <row r="1929" spans="4:24" x14ac:dyDescent="0.25">
      <c r="D1929"/>
      <c r="E1929"/>
      <c r="F1929"/>
      <c r="G1929"/>
      <c r="X1929"/>
    </row>
    <row r="1930" spans="4:24" x14ac:dyDescent="0.25">
      <c r="D1930"/>
      <c r="E1930"/>
      <c r="F1930"/>
      <c r="G1930"/>
      <c r="X1930"/>
    </row>
    <row r="1931" spans="4:24" x14ac:dyDescent="0.25">
      <c r="D1931"/>
      <c r="E1931"/>
      <c r="F1931"/>
      <c r="G1931"/>
      <c r="X1931"/>
    </row>
    <row r="1932" spans="4:24" x14ac:dyDescent="0.25">
      <c r="D1932"/>
      <c r="E1932"/>
      <c r="F1932"/>
      <c r="G1932"/>
      <c r="X1932"/>
    </row>
    <row r="1933" spans="4:24" x14ac:dyDescent="0.25">
      <c r="D1933"/>
      <c r="E1933"/>
      <c r="F1933"/>
      <c r="G1933"/>
      <c r="X1933"/>
    </row>
    <row r="1934" spans="4:24" x14ac:dyDescent="0.25">
      <c r="D1934"/>
      <c r="E1934"/>
      <c r="F1934"/>
      <c r="G1934"/>
      <c r="X1934"/>
    </row>
    <row r="1935" spans="4:24" x14ac:dyDescent="0.25">
      <c r="D1935"/>
      <c r="E1935"/>
      <c r="F1935"/>
      <c r="G1935"/>
      <c r="X1935"/>
    </row>
    <row r="1936" spans="4:24" x14ac:dyDescent="0.25">
      <c r="D1936"/>
      <c r="E1936"/>
      <c r="F1936"/>
      <c r="G1936"/>
      <c r="X1936"/>
    </row>
    <row r="1937" spans="4:24" x14ac:dyDescent="0.25">
      <c r="D1937"/>
      <c r="E1937"/>
      <c r="F1937"/>
      <c r="G1937"/>
      <c r="X1937"/>
    </row>
    <row r="1938" spans="4:24" x14ac:dyDescent="0.25">
      <c r="D1938"/>
      <c r="E1938"/>
      <c r="F1938"/>
      <c r="G1938"/>
      <c r="X1938"/>
    </row>
    <row r="1939" spans="4:24" x14ac:dyDescent="0.25">
      <c r="D1939"/>
      <c r="E1939"/>
      <c r="F1939"/>
      <c r="G1939"/>
      <c r="X1939"/>
    </row>
    <row r="1940" spans="4:24" x14ac:dyDescent="0.25">
      <c r="D1940"/>
      <c r="E1940"/>
      <c r="F1940"/>
      <c r="G1940"/>
      <c r="X1940"/>
    </row>
    <row r="1941" spans="4:24" x14ac:dyDescent="0.25">
      <c r="D1941"/>
      <c r="E1941"/>
      <c r="F1941"/>
      <c r="G1941"/>
      <c r="X1941"/>
    </row>
    <row r="1942" spans="4:24" x14ac:dyDescent="0.25">
      <c r="D1942"/>
      <c r="E1942"/>
      <c r="F1942"/>
      <c r="G1942"/>
      <c r="X1942"/>
    </row>
    <row r="1943" spans="4:24" x14ac:dyDescent="0.25">
      <c r="D1943"/>
      <c r="E1943"/>
      <c r="F1943"/>
      <c r="G1943"/>
      <c r="X1943"/>
    </row>
    <row r="1944" spans="4:24" x14ac:dyDescent="0.25">
      <c r="D1944"/>
      <c r="E1944"/>
      <c r="F1944"/>
      <c r="G1944"/>
      <c r="X1944"/>
    </row>
    <row r="1945" spans="4:24" x14ac:dyDescent="0.25">
      <c r="D1945"/>
      <c r="E1945"/>
      <c r="F1945"/>
      <c r="G1945"/>
      <c r="X1945"/>
    </row>
    <row r="1946" spans="4:24" x14ac:dyDescent="0.25">
      <c r="D1946"/>
      <c r="E1946"/>
      <c r="F1946"/>
      <c r="G1946"/>
      <c r="X1946"/>
    </row>
    <row r="1947" spans="4:24" x14ac:dyDescent="0.25">
      <c r="D1947"/>
      <c r="E1947"/>
      <c r="F1947"/>
      <c r="G1947"/>
      <c r="X1947"/>
    </row>
    <row r="1948" spans="4:24" x14ac:dyDescent="0.25">
      <c r="D1948"/>
      <c r="E1948"/>
      <c r="F1948"/>
      <c r="G1948"/>
      <c r="X1948"/>
    </row>
    <row r="1949" spans="4:24" x14ac:dyDescent="0.25">
      <c r="D1949"/>
      <c r="E1949"/>
      <c r="F1949"/>
      <c r="G1949"/>
      <c r="X1949"/>
    </row>
    <row r="1950" spans="4:24" x14ac:dyDescent="0.25">
      <c r="D1950"/>
      <c r="E1950"/>
      <c r="F1950"/>
      <c r="G1950"/>
      <c r="X1950"/>
    </row>
    <row r="1951" spans="4:24" x14ac:dyDescent="0.25">
      <c r="D1951"/>
      <c r="E1951"/>
      <c r="F1951"/>
      <c r="G1951"/>
      <c r="X1951"/>
    </row>
    <row r="1952" spans="4:24" x14ac:dyDescent="0.25">
      <c r="D1952"/>
      <c r="E1952"/>
      <c r="F1952"/>
      <c r="G1952"/>
      <c r="X1952"/>
    </row>
    <row r="1953" spans="4:24" x14ac:dyDescent="0.25">
      <c r="D1953"/>
      <c r="E1953"/>
      <c r="F1953"/>
      <c r="G1953"/>
      <c r="X1953"/>
    </row>
    <row r="1954" spans="4:24" x14ac:dyDescent="0.25">
      <c r="D1954"/>
      <c r="E1954"/>
      <c r="F1954"/>
      <c r="G1954"/>
      <c r="X1954"/>
    </row>
    <row r="1955" spans="4:24" x14ac:dyDescent="0.25">
      <c r="D1955"/>
      <c r="E1955"/>
      <c r="F1955"/>
      <c r="G1955"/>
      <c r="X1955"/>
    </row>
    <row r="1956" spans="4:24" x14ac:dyDescent="0.25">
      <c r="D1956"/>
      <c r="E1956"/>
      <c r="F1956"/>
      <c r="G1956"/>
      <c r="X1956"/>
    </row>
    <row r="1957" spans="4:24" x14ac:dyDescent="0.25">
      <c r="D1957"/>
      <c r="E1957"/>
      <c r="F1957"/>
      <c r="G1957"/>
      <c r="X1957"/>
    </row>
    <row r="1958" spans="4:24" x14ac:dyDescent="0.25">
      <c r="D1958"/>
      <c r="E1958"/>
      <c r="F1958"/>
      <c r="G1958"/>
      <c r="X1958"/>
    </row>
    <row r="1959" spans="4:24" x14ac:dyDescent="0.25">
      <c r="D1959"/>
      <c r="E1959"/>
      <c r="F1959"/>
      <c r="G1959"/>
      <c r="X1959"/>
    </row>
    <row r="1960" spans="4:24" x14ac:dyDescent="0.25">
      <c r="D1960"/>
      <c r="E1960"/>
      <c r="F1960"/>
      <c r="G1960"/>
      <c r="X1960"/>
    </row>
    <row r="1961" spans="4:24" x14ac:dyDescent="0.25">
      <c r="D1961"/>
      <c r="E1961"/>
      <c r="F1961"/>
      <c r="G1961"/>
      <c r="X1961"/>
    </row>
    <row r="1962" spans="4:24" x14ac:dyDescent="0.25">
      <c r="D1962"/>
      <c r="E1962"/>
      <c r="F1962"/>
      <c r="G1962"/>
      <c r="X1962"/>
    </row>
    <row r="1963" spans="4:24" x14ac:dyDescent="0.25">
      <c r="D1963"/>
      <c r="E1963"/>
      <c r="F1963"/>
      <c r="G1963"/>
      <c r="X1963"/>
    </row>
    <row r="1964" spans="4:24" x14ac:dyDescent="0.25">
      <c r="D1964"/>
      <c r="E1964"/>
      <c r="F1964"/>
      <c r="G1964"/>
      <c r="X1964"/>
    </row>
    <row r="1965" spans="4:24" x14ac:dyDescent="0.25">
      <c r="D1965"/>
      <c r="E1965"/>
      <c r="F1965"/>
      <c r="G1965"/>
      <c r="X1965"/>
    </row>
    <row r="1966" spans="4:24" x14ac:dyDescent="0.25">
      <c r="D1966"/>
      <c r="E1966"/>
      <c r="F1966"/>
      <c r="G1966"/>
      <c r="X1966"/>
    </row>
    <row r="1967" spans="4:24" x14ac:dyDescent="0.25">
      <c r="D1967"/>
      <c r="E1967"/>
      <c r="F1967"/>
      <c r="G1967"/>
      <c r="X1967"/>
    </row>
    <row r="1968" spans="4:24" x14ac:dyDescent="0.25">
      <c r="D1968"/>
      <c r="E1968"/>
      <c r="F1968"/>
      <c r="G1968"/>
      <c r="X1968"/>
    </row>
    <row r="1969" spans="4:24" x14ac:dyDescent="0.25">
      <c r="D1969"/>
      <c r="E1969"/>
      <c r="F1969"/>
      <c r="G1969"/>
      <c r="X1969"/>
    </row>
    <row r="1970" spans="4:24" x14ac:dyDescent="0.25">
      <c r="D1970"/>
      <c r="E1970"/>
      <c r="F1970"/>
      <c r="G1970"/>
      <c r="X1970"/>
    </row>
    <row r="1971" spans="4:24" x14ac:dyDescent="0.25">
      <c r="D1971"/>
      <c r="E1971"/>
      <c r="F1971"/>
      <c r="G1971"/>
      <c r="X1971"/>
    </row>
    <row r="1972" spans="4:24" x14ac:dyDescent="0.25">
      <c r="D1972"/>
      <c r="E1972"/>
      <c r="F1972"/>
      <c r="G1972"/>
      <c r="X1972"/>
    </row>
    <row r="1973" spans="4:24" x14ac:dyDescent="0.25">
      <c r="D1973"/>
      <c r="E1973"/>
      <c r="F1973"/>
      <c r="G1973"/>
      <c r="X1973"/>
    </row>
    <row r="1974" spans="4:24" x14ac:dyDescent="0.25">
      <c r="D1974"/>
      <c r="E1974"/>
      <c r="F1974"/>
      <c r="G1974"/>
      <c r="X1974"/>
    </row>
    <row r="1975" spans="4:24" x14ac:dyDescent="0.25">
      <c r="D1975"/>
      <c r="E1975"/>
      <c r="F1975"/>
      <c r="G1975"/>
      <c r="X1975"/>
    </row>
    <row r="1976" spans="4:24" x14ac:dyDescent="0.25">
      <c r="D1976"/>
      <c r="E1976"/>
      <c r="F1976"/>
      <c r="G1976"/>
      <c r="X1976"/>
    </row>
    <row r="1977" spans="4:24" x14ac:dyDescent="0.25">
      <c r="D1977"/>
      <c r="E1977"/>
      <c r="F1977"/>
      <c r="G1977"/>
      <c r="X1977"/>
    </row>
    <row r="1978" spans="4:24" x14ac:dyDescent="0.25">
      <c r="D1978"/>
      <c r="E1978"/>
      <c r="F1978"/>
      <c r="G1978"/>
      <c r="X1978"/>
    </row>
    <row r="1979" spans="4:24" x14ac:dyDescent="0.25">
      <c r="D1979"/>
      <c r="E1979"/>
      <c r="F1979"/>
      <c r="G1979"/>
      <c r="X1979"/>
    </row>
    <row r="1980" spans="4:24" x14ac:dyDescent="0.25">
      <c r="D1980"/>
      <c r="E1980"/>
      <c r="F1980"/>
      <c r="G1980"/>
      <c r="X1980"/>
    </row>
    <row r="1981" spans="4:24" x14ac:dyDescent="0.25">
      <c r="D1981"/>
      <c r="E1981"/>
      <c r="F1981"/>
      <c r="G1981"/>
      <c r="X1981"/>
    </row>
    <row r="1982" spans="4:24" x14ac:dyDescent="0.25">
      <c r="D1982"/>
      <c r="E1982"/>
      <c r="F1982"/>
      <c r="G1982"/>
      <c r="X1982"/>
    </row>
    <row r="1983" spans="4:24" x14ac:dyDescent="0.25">
      <c r="D1983"/>
      <c r="E1983"/>
      <c r="F1983"/>
      <c r="G1983"/>
      <c r="X1983"/>
    </row>
    <row r="1984" spans="4:24" x14ac:dyDescent="0.25">
      <c r="D1984"/>
      <c r="E1984"/>
      <c r="F1984"/>
      <c r="G1984"/>
      <c r="X1984"/>
    </row>
    <row r="1985" spans="4:24" x14ac:dyDescent="0.25">
      <c r="D1985"/>
      <c r="E1985"/>
      <c r="F1985"/>
      <c r="G1985"/>
      <c r="X1985"/>
    </row>
    <row r="1986" spans="4:24" x14ac:dyDescent="0.25">
      <c r="D1986"/>
      <c r="E1986"/>
      <c r="F1986"/>
      <c r="G1986"/>
      <c r="X1986"/>
    </row>
    <row r="1987" spans="4:24" x14ac:dyDescent="0.25">
      <c r="D1987"/>
      <c r="E1987"/>
      <c r="F1987"/>
      <c r="G1987"/>
      <c r="X1987"/>
    </row>
    <row r="1988" spans="4:24" x14ac:dyDescent="0.25">
      <c r="D1988"/>
      <c r="E1988"/>
      <c r="F1988"/>
      <c r="G1988"/>
      <c r="X1988"/>
    </row>
    <row r="1989" spans="4:24" x14ac:dyDescent="0.25">
      <c r="D1989"/>
      <c r="E1989"/>
      <c r="F1989"/>
      <c r="G1989"/>
      <c r="X1989"/>
    </row>
    <row r="1990" spans="4:24" x14ac:dyDescent="0.25">
      <c r="D1990"/>
      <c r="E1990"/>
      <c r="F1990"/>
      <c r="G1990"/>
      <c r="X1990"/>
    </row>
    <row r="1991" spans="4:24" x14ac:dyDescent="0.25">
      <c r="D1991"/>
      <c r="E1991"/>
      <c r="F1991"/>
      <c r="G1991"/>
      <c r="X1991"/>
    </row>
    <row r="1992" spans="4:24" x14ac:dyDescent="0.25">
      <c r="D1992"/>
      <c r="E1992"/>
      <c r="F1992"/>
      <c r="G1992"/>
      <c r="X1992"/>
    </row>
    <row r="1993" spans="4:24" x14ac:dyDescent="0.25">
      <c r="D1993"/>
      <c r="E1993"/>
      <c r="F1993"/>
      <c r="G1993"/>
      <c r="X1993"/>
    </row>
    <row r="1994" spans="4:24" x14ac:dyDescent="0.25">
      <c r="D1994"/>
      <c r="E1994"/>
      <c r="F1994"/>
      <c r="G1994"/>
      <c r="X1994"/>
    </row>
    <row r="1995" spans="4:24" x14ac:dyDescent="0.25">
      <c r="D1995"/>
      <c r="E1995"/>
      <c r="F1995"/>
      <c r="G1995"/>
      <c r="X1995"/>
    </row>
    <row r="1996" spans="4:24" x14ac:dyDescent="0.25">
      <c r="D1996"/>
      <c r="E1996"/>
      <c r="F1996"/>
      <c r="G1996"/>
      <c r="X1996"/>
    </row>
    <row r="1997" spans="4:24" x14ac:dyDescent="0.25">
      <c r="D1997"/>
      <c r="E1997"/>
      <c r="F1997"/>
      <c r="G1997"/>
      <c r="X1997"/>
    </row>
    <row r="1998" spans="4:24" x14ac:dyDescent="0.25">
      <c r="D1998"/>
      <c r="E1998"/>
      <c r="F1998"/>
      <c r="G1998"/>
      <c r="X1998"/>
    </row>
    <row r="1999" spans="4:24" x14ac:dyDescent="0.25">
      <c r="D1999"/>
      <c r="E1999"/>
      <c r="F1999"/>
      <c r="G1999"/>
      <c r="X1999"/>
    </row>
    <row r="2000" spans="4:24" x14ac:dyDescent="0.25">
      <c r="D2000"/>
      <c r="E2000"/>
      <c r="F2000"/>
      <c r="G2000"/>
      <c r="X2000"/>
    </row>
    <row r="2001" spans="4:24" x14ac:dyDescent="0.25">
      <c r="D2001"/>
      <c r="E2001"/>
      <c r="F2001"/>
      <c r="G2001"/>
      <c r="X2001"/>
    </row>
    <row r="2002" spans="4:24" x14ac:dyDescent="0.25">
      <c r="D2002"/>
      <c r="E2002"/>
      <c r="F2002"/>
      <c r="G2002"/>
      <c r="X2002"/>
    </row>
    <row r="2003" spans="4:24" x14ac:dyDescent="0.25">
      <c r="D2003"/>
      <c r="E2003"/>
      <c r="F2003"/>
      <c r="G2003"/>
      <c r="X2003"/>
    </row>
    <row r="2004" spans="4:24" x14ac:dyDescent="0.25">
      <c r="D2004"/>
      <c r="E2004"/>
      <c r="F2004"/>
      <c r="G2004"/>
      <c r="X2004"/>
    </row>
    <row r="2005" spans="4:24" x14ac:dyDescent="0.25">
      <c r="D2005"/>
      <c r="E2005"/>
      <c r="F2005"/>
      <c r="G2005"/>
      <c r="X2005"/>
    </row>
    <row r="2006" spans="4:24" x14ac:dyDescent="0.25">
      <c r="D2006"/>
      <c r="E2006"/>
      <c r="F2006"/>
      <c r="G2006"/>
      <c r="X2006"/>
    </row>
    <row r="2007" spans="4:24" x14ac:dyDescent="0.25">
      <c r="D2007"/>
      <c r="E2007"/>
      <c r="F2007"/>
      <c r="G2007"/>
      <c r="X2007"/>
    </row>
    <row r="2008" spans="4:24" x14ac:dyDescent="0.25">
      <c r="D2008"/>
      <c r="E2008"/>
      <c r="F2008"/>
      <c r="G2008"/>
      <c r="X2008"/>
    </row>
    <row r="2009" spans="4:24" x14ac:dyDescent="0.25">
      <c r="D2009"/>
      <c r="E2009"/>
      <c r="F2009"/>
      <c r="G2009"/>
      <c r="X2009"/>
    </row>
    <row r="2010" spans="4:24" x14ac:dyDescent="0.25">
      <c r="D2010"/>
      <c r="E2010"/>
      <c r="F2010"/>
      <c r="G2010"/>
      <c r="X2010"/>
    </row>
    <row r="2011" spans="4:24" x14ac:dyDescent="0.25">
      <c r="D2011"/>
      <c r="E2011"/>
      <c r="F2011"/>
      <c r="G2011"/>
      <c r="X2011"/>
    </row>
    <row r="2012" spans="4:24" x14ac:dyDescent="0.25">
      <c r="D2012"/>
      <c r="E2012"/>
      <c r="F2012"/>
      <c r="G2012"/>
      <c r="X2012"/>
    </row>
    <row r="2013" spans="4:24" x14ac:dyDescent="0.25">
      <c r="D2013"/>
      <c r="E2013"/>
      <c r="F2013"/>
      <c r="G2013"/>
      <c r="X2013"/>
    </row>
    <row r="2014" spans="4:24" x14ac:dyDescent="0.25">
      <c r="D2014"/>
      <c r="E2014"/>
      <c r="F2014"/>
      <c r="G2014"/>
      <c r="X2014"/>
    </row>
    <row r="2015" spans="4:24" x14ac:dyDescent="0.25">
      <c r="D2015"/>
      <c r="E2015"/>
      <c r="F2015"/>
      <c r="G2015"/>
      <c r="X2015"/>
    </row>
    <row r="2016" spans="4:24" x14ac:dyDescent="0.25">
      <c r="D2016"/>
      <c r="E2016"/>
      <c r="F2016"/>
      <c r="G2016"/>
      <c r="X2016"/>
    </row>
    <row r="2017" spans="4:24" x14ac:dyDescent="0.25">
      <c r="D2017"/>
      <c r="E2017"/>
      <c r="F2017"/>
      <c r="G2017"/>
      <c r="X2017"/>
    </row>
    <row r="2018" spans="4:24" x14ac:dyDescent="0.25">
      <c r="D2018"/>
      <c r="E2018"/>
      <c r="F2018"/>
      <c r="G2018"/>
      <c r="X2018"/>
    </row>
    <row r="2019" spans="4:24" x14ac:dyDescent="0.25">
      <c r="D2019"/>
      <c r="E2019"/>
      <c r="F2019"/>
      <c r="G2019"/>
      <c r="X2019"/>
    </row>
    <row r="2020" spans="4:24" x14ac:dyDescent="0.25">
      <c r="D2020"/>
      <c r="E2020"/>
      <c r="F2020"/>
      <c r="G2020"/>
      <c r="X2020"/>
    </row>
    <row r="2021" spans="4:24" x14ac:dyDescent="0.25">
      <c r="D2021"/>
      <c r="E2021"/>
      <c r="F2021"/>
      <c r="G2021"/>
      <c r="X2021"/>
    </row>
    <row r="2022" spans="4:24" x14ac:dyDescent="0.25">
      <c r="D2022"/>
      <c r="E2022"/>
      <c r="F2022"/>
      <c r="G2022"/>
      <c r="X2022"/>
    </row>
    <row r="2023" spans="4:24" x14ac:dyDescent="0.25">
      <c r="D2023"/>
      <c r="E2023"/>
      <c r="F2023"/>
      <c r="G2023"/>
      <c r="X2023"/>
    </row>
    <row r="2024" spans="4:24" x14ac:dyDescent="0.25">
      <c r="D2024"/>
      <c r="E2024"/>
      <c r="F2024"/>
      <c r="G2024"/>
      <c r="X2024"/>
    </row>
    <row r="2025" spans="4:24" x14ac:dyDescent="0.25">
      <c r="D2025"/>
      <c r="E2025"/>
      <c r="F2025"/>
      <c r="G2025"/>
      <c r="X2025"/>
    </row>
    <row r="2026" spans="4:24" x14ac:dyDescent="0.25">
      <c r="D2026"/>
      <c r="E2026"/>
      <c r="F2026"/>
      <c r="G2026"/>
      <c r="X2026"/>
    </row>
    <row r="2027" spans="4:24" x14ac:dyDescent="0.25">
      <c r="D2027"/>
      <c r="E2027"/>
      <c r="F2027"/>
      <c r="G2027"/>
      <c r="X2027"/>
    </row>
    <row r="2028" spans="4:24" x14ac:dyDescent="0.25">
      <c r="D2028"/>
      <c r="E2028"/>
      <c r="F2028"/>
      <c r="G2028"/>
      <c r="X2028"/>
    </row>
    <row r="2029" spans="4:24" x14ac:dyDescent="0.25">
      <c r="D2029"/>
      <c r="E2029"/>
      <c r="F2029"/>
      <c r="G2029"/>
      <c r="X2029"/>
    </row>
    <row r="2030" spans="4:24" x14ac:dyDescent="0.25">
      <c r="D2030"/>
      <c r="E2030"/>
      <c r="F2030"/>
      <c r="G2030"/>
      <c r="X2030"/>
    </row>
    <row r="2031" spans="4:24" x14ac:dyDescent="0.25">
      <c r="D2031"/>
      <c r="E2031"/>
      <c r="F2031"/>
      <c r="G2031"/>
      <c r="X2031"/>
    </row>
    <row r="2032" spans="4:24" x14ac:dyDescent="0.25">
      <c r="D2032"/>
      <c r="E2032"/>
      <c r="F2032"/>
      <c r="G2032"/>
      <c r="X2032"/>
    </row>
    <row r="2033" spans="4:24" x14ac:dyDescent="0.25">
      <c r="D2033"/>
      <c r="E2033"/>
      <c r="F2033"/>
      <c r="G2033"/>
      <c r="X2033"/>
    </row>
    <row r="2034" spans="4:24" x14ac:dyDescent="0.25">
      <c r="D2034"/>
      <c r="E2034"/>
      <c r="F2034"/>
      <c r="G2034"/>
      <c r="X2034"/>
    </row>
    <row r="2035" spans="4:24" x14ac:dyDescent="0.25">
      <c r="D2035"/>
      <c r="E2035"/>
      <c r="F2035"/>
      <c r="G2035"/>
      <c r="X2035"/>
    </row>
    <row r="2036" spans="4:24" x14ac:dyDescent="0.25">
      <c r="D2036"/>
      <c r="E2036"/>
      <c r="F2036"/>
      <c r="G2036"/>
      <c r="X2036"/>
    </row>
    <row r="2037" spans="4:24" x14ac:dyDescent="0.25">
      <c r="D2037"/>
      <c r="E2037"/>
      <c r="F2037"/>
      <c r="G2037"/>
      <c r="X2037"/>
    </row>
    <row r="2038" spans="4:24" x14ac:dyDescent="0.25">
      <c r="D2038"/>
      <c r="E2038"/>
      <c r="F2038"/>
      <c r="G2038"/>
      <c r="X2038"/>
    </row>
    <row r="2039" spans="4:24" x14ac:dyDescent="0.25">
      <c r="D2039"/>
      <c r="E2039"/>
      <c r="F2039"/>
      <c r="G2039"/>
      <c r="X2039"/>
    </row>
    <row r="2040" spans="4:24" x14ac:dyDescent="0.25">
      <c r="D2040"/>
      <c r="E2040"/>
      <c r="F2040"/>
      <c r="G2040"/>
      <c r="X2040"/>
    </row>
    <row r="2041" spans="4:24" x14ac:dyDescent="0.25">
      <c r="D2041"/>
      <c r="E2041"/>
      <c r="F2041"/>
      <c r="G2041"/>
      <c r="X2041"/>
    </row>
    <row r="2042" spans="4:24" x14ac:dyDescent="0.25">
      <c r="D2042"/>
      <c r="E2042"/>
      <c r="F2042"/>
      <c r="G2042"/>
      <c r="X2042"/>
    </row>
    <row r="2043" spans="4:24" x14ac:dyDescent="0.25">
      <c r="D2043"/>
      <c r="E2043"/>
      <c r="F2043"/>
      <c r="G2043"/>
      <c r="X2043"/>
    </row>
    <row r="2044" spans="4:24" x14ac:dyDescent="0.25">
      <c r="D2044"/>
      <c r="E2044"/>
      <c r="F2044"/>
      <c r="G2044"/>
      <c r="X2044"/>
    </row>
    <row r="2045" spans="4:24" x14ac:dyDescent="0.25">
      <c r="D2045"/>
      <c r="E2045"/>
      <c r="F2045"/>
      <c r="G2045"/>
      <c r="X2045"/>
    </row>
    <row r="2046" spans="4:24" x14ac:dyDescent="0.25">
      <c r="D2046"/>
      <c r="E2046"/>
      <c r="F2046"/>
      <c r="G2046"/>
      <c r="X2046"/>
    </row>
    <row r="2047" spans="4:24" x14ac:dyDescent="0.25">
      <c r="D2047"/>
      <c r="E2047"/>
      <c r="F2047"/>
      <c r="G2047"/>
      <c r="X2047"/>
    </row>
    <row r="2048" spans="4:24" x14ac:dyDescent="0.25">
      <c r="D2048"/>
      <c r="E2048"/>
      <c r="F2048"/>
      <c r="G2048"/>
      <c r="X2048"/>
    </row>
    <row r="2049" spans="4:24" x14ac:dyDescent="0.25">
      <c r="D2049"/>
      <c r="E2049"/>
      <c r="F2049"/>
      <c r="G2049"/>
      <c r="X2049"/>
    </row>
    <row r="2050" spans="4:24" x14ac:dyDescent="0.25">
      <c r="D2050"/>
      <c r="E2050"/>
      <c r="F2050"/>
      <c r="G2050"/>
      <c r="X2050"/>
    </row>
    <row r="2051" spans="4:24" x14ac:dyDescent="0.25">
      <c r="D2051"/>
      <c r="E2051"/>
      <c r="F2051"/>
      <c r="G2051"/>
      <c r="X2051"/>
    </row>
    <row r="2052" spans="4:24" x14ac:dyDescent="0.25">
      <c r="D2052"/>
      <c r="E2052"/>
      <c r="F2052"/>
      <c r="G2052"/>
      <c r="X2052"/>
    </row>
    <row r="2053" spans="4:24" x14ac:dyDescent="0.25">
      <c r="D2053"/>
      <c r="E2053"/>
      <c r="F2053"/>
      <c r="G2053"/>
      <c r="X2053"/>
    </row>
    <row r="2054" spans="4:24" x14ac:dyDescent="0.25">
      <c r="D2054"/>
      <c r="E2054"/>
      <c r="F2054"/>
      <c r="G2054"/>
      <c r="X2054"/>
    </row>
    <row r="2055" spans="4:24" x14ac:dyDescent="0.25">
      <c r="D2055"/>
      <c r="E2055"/>
      <c r="F2055"/>
      <c r="G2055"/>
      <c r="X2055"/>
    </row>
    <row r="2056" spans="4:24" x14ac:dyDescent="0.25">
      <c r="D2056"/>
      <c r="E2056"/>
      <c r="F2056"/>
      <c r="G2056"/>
      <c r="X2056"/>
    </row>
    <row r="2057" spans="4:24" x14ac:dyDescent="0.25">
      <c r="D2057"/>
      <c r="E2057"/>
      <c r="F2057"/>
      <c r="G2057"/>
      <c r="X2057"/>
    </row>
    <row r="2058" spans="4:24" x14ac:dyDescent="0.25">
      <c r="D2058"/>
      <c r="E2058"/>
      <c r="F2058"/>
      <c r="G2058"/>
      <c r="X2058"/>
    </row>
    <row r="2059" spans="4:24" x14ac:dyDescent="0.25">
      <c r="D2059"/>
      <c r="E2059"/>
      <c r="F2059"/>
      <c r="G2059"/>
      <c r="X2059"/>
    </row>
    <row r="2060" spans="4:24" x14ac:dyDescent="0.25">
      <c r="D2060"/>
      <c r="E2060"/>
      <c r="F2060"/>
      <c r="G2060"/>
      <c r="X2060"/>
    </row>
    <row r="2061" spans="4:24" x14ac:dyDescent="0.25">
      <c r="D2061"/>
      <c r="E2061"/>
      <c r="F2061"/>
      <c r="G2061"/>
      <c r="X2061"/>
    </row>
    <row r="2062" spans="4:24" x14ac:dyDescent="0.25">
      <c r="D2062"/>
      <c r="E2062"/>
      <c r="F2062"/>
      <c r="G2062"/>
      <c r="X2062"/>
    </row>
    <row r="2063" spans="4:24" x14ac:dyDescent="0.25">
      <c r="D2063"/>
      <c r="E2063"/>
      <c r="F2063"/>
      <c r="G2063"/>
      <c r="X2063"/>
    </row>
    <row r="2064" spans="4:24" x14ac:dyDescent="0.25">
      <c r="D2064"/>
      <c r="E2064"/>
      <c r="F2064"/>
      <c r="G2064"/>
      <c r="X2064"/>
    </row>
    <row r="2065" spans="4:24" x14ac:dyDescent="0.25">
      <c r="D2065"/>
      <c r="E2065"/>
      <c r="F2065"/>
      <c r="G2065"/>
      <c r="X2065"/>
    </row>
    <row r="2066" spans="4:24" x14ac:dyDescent="0.25">
      <c r="D2066"/>
      <c r="E2066"/>
      <c r="F2066"/>
      <c r="G2066"/>
      <c r="X2066"/>
    </row>
    <row r="2067" spans="4:24" x14ac:dyDescent="0.25">
      <c r="D2067"/>
      <c r="E2067"/>
      <c r="F2067"/>
      <c r="G2067"/>
      <c r="X2067"/>
    </row>
    <row r="2068" spans="4:24" x14ac:dyDescent="0.25">
      <c r="D2068"/>
      <c r="E2068"/>
      <c r="F2068"/>
      <c r="G2068"/>
      <c r="X2068"/>
    </row>
    <row r="2069" spans="4:24" x14ac:dyDescent="0.25">
      <c r="D2069"/>
      <c r="E2069"/>
      <c r="F2069"/>
      <c r="G2069"/>
      <c r="X2069"/>
    </row>
    <row r="2070" spans="4:24" x14ac:dyDescent="0.25">
      <c r="D2070"/>
      <c r="E2070"/>
      <c r="F2070"/>
      <c r="G2070"/>
      <c r="X2070"/>
    </row>
    <row r="2071" spans="4:24" x14ac:dyDescent="0.25">
      <c r="D2071"/>
      <c r="E2071"/>
      <c r="F2071"/>
      <c r="G2071"/>
      <c r="X2071"/>
    </row>
    <row r="2072" spans="4:24" x14ac:dyDescent="0.25">
      <c r="D2072"/>
      <c r="E2072"/>
      <c r="F2072"/>
      <c r="G2072"/>
      <c r="X2072"/>
    </row>
    <row r="2073" spans="4:24" x14ac:dyDescent="0.25">
      <c r="D2073"/>
      <c r="E2073"/>
      <c r="F2073"/>
      <c r="G2073"/>
      <c r="X2073"/>
    </row>
    <row r="2074" spans="4:24" x14ac:dyDescent="0.25">
      <c r="D2074"/>
      <c r="E2074"/>
      <c r="F2074"/>
      <c r="G2074"/>
      <c r="X2074"/>
    </row>
    <row r="2075" spans="4:24" x14ac:dyDescent="0.25">
      <c r="D2075"/>
      <c r="E2075"/>
      <c r="F2075"/>
      <c r="G2075"/>
      <c r="X2075"/>
    </row>
    <row r="2076" spans="4:24" x14ac:dyDescent="0.25">
      <c r="D2076"/>
      <c r="E2076"/>
      <c r="F2076"/>
      <c r="G2076"/>
      <c r="X2076"/>
    </row>
    <row r="2077" spans="4:24" x14ac:dyDescent="0.25">
      <c r="D2077"/>
      <c r="E2077"/>
      <c r="F2077"/>
      <c r="G2077"/>
      <c r="X2077"/>
    </row>
    <row r="2078" spans="4:24" x14ac:dyDescent="0.25">
      <c r="D2078"/>
      <c r="E2078"/>
      <c r="F2078"/>
      <c r="G2078"/>
      <c r="X2078"/>
    </row>
    <row r="2079" spans="4:24" x14ac:dyDescent="0.25">
      <c r="D2079"/>
      <c r="E2079"/>
      <c r="F2079"/>
      <c r="G2079"/>
      <c r="X2079"/>
    </row>
    <row r="2080" spans="4:24" x14ac:dyDescent="0.25">
      <c r="D2080"/>
      <c r="E2080"/>
      <c r="F2080"/>
      <c r="G2080"/>
      <c r="X2080"/>
    </row>
    <row r="2081" spans="4:24" x14ac:dyDescent="0.25">
      <c r="D2081"/>
      <c r="E2081"/>
      <c r="F2081"/>
      <c r="G2081"/>
      <c r="X2081"/>
    </row>
    <row r="2082" spans="4:24" x14ac:dyDescent="0.25">
      <c r="D2082"/>
      <c r="E2082"/>
      <c r="F2082"/>
      <c r="G2082"/>
      <c r="X2082"/>
    </row>
    <row r="2083" spans="4:24" x14ac:dyDescent="0.25">
      <c r="D2083"/>
      <c r="E2083"/>
      <c r="F2083"/>
      <c r="G2083"/>
      <c r="X2083"/>
    </row>
    <row r="2084" spans="4:24" x14ac:dyDescent="0.25">
      <c r="D2084"/>
      <c r="E2084"/>
      <c r="F2084"/>
      <c r="G2084"/>
      <c r="X2084"/>
    </row>
    <row r="2085" spans="4:24" x14ac:dyDescent="0.25">
      <c r="D2085"/>
      <c r="E2085"/>
      <c r="F2085"/>
      <c r="G2085"/>
      <c r="X2085"/>
    </row>
    <row r="2086" spans="4:24" x14ac:dyDescent="0.25">
      <c r="D2086"/>
      <c r="E2086"/>
      <c r="F2086"/>
      <c r="G2086"/>
      <c r="X2086"/>
    </row>
    <row r="2087" spans="4:24" x14ac:dyDescent="0.25">
      <c r="D2087"/>
      <c r="E2087"/>
      <c r="F2087"/>
      <c r="G2087"/>
      <c r="X2087"/>
    </row>
    <row r="2088" spans="4:24" x14ac:dyDescent="0.25">
      <c r="D2088"/>
      <c r="E2088"/>
      <c r="F2088"/>
      <c r="G2088"/>
      <c r="X2088"/>
    </row>
    <row r="2089" spans="4:24" x14ac:dyDescent="0.25">
      <c r="D2089"/>
      <c r="E2089"/>
      <c r="F2089"/>
      <c r="G2089"/>
      <c r="X2089"/>
    </row>
    <row r="2090" spans="4:24" x14ac:dyDescent="0.25">
      <c r="D2090"/>
      <c r="E2090"/>
      <c r="F2090"/>
      <c r="G2090"/>
      <c r="X2090"/>
    </row>
    <row r="2091" spans="4:24" x14ac:dyDescent="0.25">
      <c r="D2091"/>
      <c r="E2091"/>
      <c r="F2091"/>
      <c r="G2091"/>
      <c r="X2091"/>
    </row>
    <row r="2092" spans="4:24" x14ac:dyDescent="0.25">
      <c r="D2092"/>
      <c r="E2092"/>
      <c r="F2092"/>
      <c r="G2092"/>
      <c r="X2092"/>
    </row>
    <row r="2093" spans="4:24" x14ac:dyDescent="0.25">
      <c r="D2093"/>
      <c r="E2093"/>
      <c r="F2093"/>
      <c r="G2093"/>
      <c r="X2093"/>
    </row>
    <row r="2094" spans="4:24" x14ac:dyDescent="0.25">
      <c r="D2094"/>
      <c r="E2094"/>
      <c r="F2094"/>
      <c r="G2094"/>
      <c r="X2094"/>
    </row>
    <row r="2095" spans="4:24" x14ac:dyDescent="0.25">
      <c r="D2095"/>
      <c r="E2095"/>
      <c r="F2095"/>
      <c r="G2095"/>
      <c r="X2095"/>
    </row>
    <row r="2096" spans="4:24" x14ac:dyDescent="0.25">
      <c r="D2096"/>
      <c r="E2096"/>
      <c r="F2096"/>
      <c r="G2096"/>
      <c r="X2096"/>
    </row>
    <row r="2097" spans="4:24" x14ac:dyDescent="0.25">
      <c r="D2097"/>
      <c r="E2097"/>
      <c r="F2097"/>
      <c r="G2097"/>
      <c r="X2097"/>
    </row>
    <row r="2098" spans="4:24" x14ac:dyDescent="0.25">
      <c r="D2098"/>
      <c r="E2098"/>
      <c r="F2098"/>
      <c r="G2098"/>
      <c r="X2098"/>
    </row>
    <row r="2099" spans="4:24" x14ac:dyDescent="0.25">
      <c r="D2099"/>
      <c r="E2099"/>
      <c r="F2099"/>
      <c r="G2099"/>
      <c r="X2099"/>
    </row>
    <row r="2100" spans="4:24" x14ac:dyDescent="0.25">
      <c r="D2100"/>
      <c r="E2100"/>
      <c r="F2100"/>
      <c r="G2100"/>
      <c r="X2100"/>
    </row>
    <row r="2101" spans="4:24" x14ac:dyDescent="0.25">
      <c r="D2101"/>
      <c r="E2101"/>
      <c r="F2101"/>
      <c r="G2101"/>
      <c r="X2101"/>
    </row>
    <row r="2102" spans="4:24" x14ac:dyDescent="0.25">
      <c r="D2102"/>
      <c r="E2102"/>
      <c r="F2102"/>
      <c r="G2102"/>
      <c r="X2102"/>
    </row>
    <row r="2103" spans="4:24" x14ac:dyDescent="0.25">
      <c r="D2103"/>
      <c r="E2103"/>
      <c r="F2103"/>
      <c r="G2103"/>
      <c r="X2103"/>
    </row>
    <row r="2104" spans="4:24" x14ac:dyDescent="0.25">
      <c r="D2104"/>
      <c r="E2104"/>
      <c r="F2104"/>
      <c r="G2104"/>
      <c r="X2104"/>
    </row>
    <row r="2105" spans="4:24" x14ac:dyDescent="0.25">
      <c r="D2105"/>
      <c r="E2105"/>
      <c r="F2105"/>
      <c r="G2105"/>
      <c r="X2105"/>
    </row>
    <row r="2106" spans="4:24" x14ac:dyDescent="0.25">
      <c r="D2106"/>
      <c r="E2106"/>
      <c r="F2106"/>
      <c r="G2106"/>
      <c r="X2106"/>
    </row>
    <row r="2107" spans="4:24" x14ac:dyDescent="0.25">
      <c r="D2107"/>
      <c r="E2107"/>
      <c r="F2107"/>
      <c r="G2107"/>
      <c r="X2107"/>
    </row>
    <row r="2108" spans="4:24" x14ac:dyDescent="0.25">
      <c r="D2108"/>
      <c r="E2108"/>
      <c r="F2108"/>
      <c r="G2108"/>
      <c r="X2108"/>
    </row>
    <row r="2109" spans="4:24" x14ac:dyDescent="0.25">
      <c r="D2109"/>
      <c r="E2109"/>
      <c r="F2109"/>
      <c r="G2109"/>
      <c r="X2109"/>
    </row>
    <row r="2110" spans="4:24" x14ac:dyDescent="0.25">
      <c r="D2110"/>
      <c r="E2110"/>
      <c r="F2110"/>
      <c r="G2110"/>
      <c r="X2110"/>
    </row>
    <row r="2111" spans="4:24" x14ac:dyDescent="0.25">
      <c r="D2111"/>
      <c r="E2111"/>
      <c r="F2111"/>
      <c r="G2111"/>
      <c r="X2111"/>
    </row>
    <row r="2112" spans="4:24" x14ac:dyDescent="0.25">
      <c r="D2112"/>
      <c r="E2112"/>
      <c r="F2112"/>
      <c r="G2112"/>
      <c r="X2112"/>
    </row>
    <row r="2113" spans="4:24" x14ac:dyDescent="0.25">
      <c r="D2113"/>
      <c r="E2113"/>
      <c r="F2113"/>
      <c r="G2113"/>
      <c r="X2113"/>
    </row>
    <row r="2114" spans="4:24" x14ac:dyDescent="0.25">
      <c r="D2114"/>
      <c r="E2114"/>
      <c r="F2114"/>
      <c r="G2114"/>
      <c r="X2114"/>
    </row>
    <row r="2115" spans="4:24" x14ac:dyDescent="0.25">
      <c r="D2115"/>
      <c r="E2115"/>
      <c r="F2115"/>
      <c r="G2115"/>
      <c r="X2115"/>
    </row>
    <row r="2116" spans="4:24" x14ac:dyDescent="0.25">
      <c r="D2116"/>
      <c r="E2116"/>
      <c r="F2116"/>
      <c r="G2116"/>
      <c r="X2116"/>
    </row>
    <row r="2117" spans="4:24" x14ac:dyDescent="0.25">
      <c r="D2117"/>
      <c r="E2117"/>
      <c r="F2117"/>
      <c r="G2117"/>
      <c r="X2117"/>
    </row>
    <row r="2118" spans="4:24" x14ac:dyDescent="0.25">
      <c r="D2118"/>
      <c r="E2118"/>
      <c r="F2118"/>
      <c r="G2118"/>
      <c r="X2118"/>
    </row>
    <row r="2119" spans="4:24" x14ac:dyDescent="0.25">
      <c r="D2119"/>
      <c r="E2119"/>
      <c r="F2119"/>
      <c r="G2119"/>
      <c r="X2119"/>
    </row>
    <row r="2120" spans="4:24" x14ac:dyDescent="0.25">
      <c r="D2120"/>
      <c r="E2120"/>
      <c r="F2120"/>
      <c r="G2120"/>
      <c r="X2120"/>
    </row>
    <row r="2121" spans="4:24" x14ac:dyDescent="0.25">
      <c r="D2121"/>
      <c r="E2121"/>
      <c r="F2121"/>
      <c r="G2121"/>
      <c r="X2121"/>
    </row>
    <row r="2122" spans="4:24" x14ac:dyDescent="0.25">
      <c r="D2122"/>
      <c r="E2122"/>
      <c r="F2122"/>
      <c r="G2122"/>
      <c r="X2122"/>
    </row>
    <row r="2123" spans="4:24" x14ac:dyDescent="0.25">
      <c r="D2123"/>
      <c r="E2123"/>
      <c r="F2123"/>
      <c r="G2123"/>
      <c r="X2123"/>
    </row>
    <row r="2124" spans="4:24" x14ac:dyDescent="0.25">
      <c r="D2124"/>
      <c r="E2124"/>
      <c r="F2124"/>
      <c r="G2124"/>
      <c r="X2124"/>
    </row>
    <row r="2125" spans="4:24" x14ac:dyDescent="0.25">
      <c r="D2125"/>
      <c r="E2125"/>
      <c r="F2125"/>
      <c r="G2125"/>
      <c r="X2125"/>
    </row>
    <row r="2126" spans="4:24" x14ac:dyDescent="0.25">
      <c r="D2126"/>
      <c r="E2126"/>
      <c r="F2126"/>
      <c r="G2126"/>
      <c r="X2126"/>
    </row>
    <row r="2127" spans="4:24" x14ac:dyDescent="0.25">
      <c r="D2127"/>
      <c r="E2127"/>
      <c r="F2127"/>
      <c r="G2127"/>
      <c r="X2127"/>
    </row>
    <row r="2128" spans="4:24" x14ac:dyDescent="0.25">
      <c r="D2128"/>
      <c r="E2128"/>
      <c r="F2128"/>
      <c r="G2128"/>
      <c r="X2128"/>
    </row>
    <row r="2129" spans="4:24" x14ac:dyDescent="0.25">
      <c r="D2129"/>
      <c r="E2129"/>
      <c r="F2129"/>
      <c r="G2129"/>
      <c r="X2129"/>
    </row>
    <row r="2130" spans="4:24" x14ac:dyDescent="0.25">
      <c r="D2130"/>
      <c r="E2130"/>
      <c r="F2130"/>
      <c r="G2130"/>
      <c r="X2130"/>
    </row>
    <row r="2131" spans="4:24" x14ac:dyDescent="0.25">
      <c r="D2131"/>
      <c r="E2131"/>
      <c r="F2131"/>
      <c r="G2131"/>
      <c r="X2131"/>
    </row>
    <row r="2132" spans="4:24" x14ac:dyDescent="0.25">
      <c r="D2132"/>
      <c r="E2132"/>
      <c r="F2132"/>
      <c r="G2132"/>
      <c r="X2132"/>
    </row>
    <row r="2133" spans="4:24" x14ac:dyDescent="0.25">
      <c r="D2133"/>
      <c r="E2133"/>
      <c r="F2133"/>
      <c r="G2133"/>
      <c r="X2133"/>
    </row>
    <row r="2134" spans="4:24" x14ac:dyDescent="0.25">
      <c r="D2134"/>
      <c r="E2134"/>
      <c r="F2134"/>
      <c r="G2134"/>
      <c r="X2134"/>
    </row>
    <row r="2135" spans="4:24" x14ac:dyDescent="0.25">
      <c r="D2135"/>
      <c r="E2135"/>
      <c r="F2135"/>
      <c r="G2135"/>
      <c r="X2135"/>
    </row>
    <row r="2136" spans="4:24" x14ac:dyDescent="0.25">
      <c r="D2136"/>
      <c r="E2136"/>
      <c r="F2136"/>
      <c r="G2136"/>
      <c r="X2136"/>
    </row>
    <row r="2137" spans="4:24" x14ac:dyDescent="0.25">
      <c r="D2137"/>
      <c r="E2137"/>
      <c r="F2137"/>
      <c r="G2137"/>
      <c r="X2137"/>
    </row>
    <row r="2138" spans="4:24" x14ac:dyDescent="0.25">
      <c r="D2138"/>
      <c r="E2138"/>
      <c r="F2138"/>
      <c r="G2138"/>
      <c r="X2138"/>
    </row>
    <row r="2139" spans="4:24" x14ac:dyDescent="0.25">
      <c r="D2139"/>
      <c r="E2139"/>
      <c r="F2139"/>
      <c r="G2139"/>
      <c r="X2139"/>
    </row>
    <row r="2140" spans="4:24" x14ac:dyDescent="0.25">
      <c r="D2140"/>
      <c r="E2140"/>
      <c r="F2140"/>
      <c r="G2140"/>
      <c r="X2140"/>
    </row>
    <row r="2141" spans="4:24" x14ac:dyDescent="0.25">
      <c r="D2141"/>
      <c r="E2141"/>
      <c r="F2141"/>
      <c r="G2141"/>
      <c r="X2141"/>
    </row>
    <row r="2142" spans="4:24" x14ac:dyDescent="0.25">
      <c r="D2142"/>
      <c r="E2142"/>
      <c r="F2142"/>
      <c r="G2142"/>
      <c r="X2142"/>
    </row>
    <row r="2143" spans="4:24" x14ac:dyDescent="0.25">
      <c r="D2143"/>
      <c r="E2143"/>
      <c r="F2143"/>
      <c r="G2143"/>
      <c r="X2143"/>
    </row>
    <row r="2144" spans="4:24" x14ac:dyDescent="0.25">
      <c r="D2144"/>
      <c r="E2144"/>
      <c r="F2144"/>
      <c r="G2144"/>
      <c r="X2144"/>
    </row>
    <row r="2145" spans="4:24" x14ac:dyDescent="0.25">
      <c r="D2145"/>
      <c r="E2145"/>
      <c r="F2145"/>
      <c r="G2145"/>
      <c r="X2145"/>
    </row>
    <row r="2146" spans="4:24" x14ac:dyDescent="0.25">
      <c r="D2146"/>
      <c r="E2146"/>
      <c r="F2146"/>
      <c r="G2146"/>
      <c r="X2146"/>
    </row>
    <row r="2147" spans="4:24" x14ac:dyDescent="0.25">
      <c r="D2147"/>
      <c r="E2147"/>
      <c r="F2147"/>
      <c r="G2147"/>
      <c r="X2147"/>
    </row>
    <row r="2148" spans="4:24" x14ac:dyDescent="0.25">
      <c r="D2148"/>
      <c r="E2148"/>
      <c r="F2148"/>
      <c r="G2148"/>
      <c r="X2148"/>
    </row>
    <row r="2149" spans="4:24" x14ac:dyDescent="0.25">
      <c r="D2149"/>
      <c r="E2149"/>
      <c r="F2149"/>
      <c r="G2149"/>
      <c r="X2149"/>
    </row>
    <row r="2150" spans="4:24" x14ac:dyDescent="0.25">
      <c r="D2150"/>
      <c r="E2150"/>
      <c r="F2150"/>
      <c r="G2150"/>
      <c r="X2150"/>
    </row>
    <row r="2151" spans="4:24" x14ac:dyDescent="0.25">
      <c r="D2151"/>
      <c r="E2151"/>
      <c r="F2151"/>
      <c r="G2151"/>
      <c r="X2151"/>
    </row>
    <row r="2152" spans="4:24" x14ac:dyDescent="0.25">
      <c r="D2152"/>
      <c r="E2152"/>
      <c r="F2152"/>
      <c r="G2152"/>
      <c r="X2152"/>
    </row>
    <row r="2153" spans="4:24" x14ac:dyDescent="0.25">
      <c r="D2153"/>
      <c r="E2153"/>
      <c r="F2153"/>
      <c r="G2153"/>
      <c r="X2153"/>
    </row>
    <row r="2154" spans="4:24" x14ac:dyDescent="0.25">
      <c r="D2154"/>
      <c r="E2154"/>
      <c r="F2154"/>
      <c r="G2154"/>
      <c r="X2154"/>
    </row>
    <row r="2155" spans="4:24" x14ac:dyDescent="0.25">
      <c r="D2155"/>
      <c r="E2155"/>
      <c r="F2155"/>
      <c r="G2155"/>
      <c r="X2155"/>
    </row>
    <row r="2156" spans="4:24" x14ac:dyDescent="0.25">
      <c r="D2156"/>
      <c r="E2156"/>
      <c r="F2156"/>
      <c r="G2156"/>
      <c r="X2156"/>
    </row>
    <row r="2157" spans="4:24" x14ac:dyDescent="0.25">
      <c r="D2157"/>
      <c r="E2157"/>
      <c r="F2157"/>
      <c r="G2157"/>
      <c r="X2157"/>
    </row>
    <row r="2158" spans="4:24" x14ac:dyDescent="0.25">
      <c r="D2158"/>
      <c r="E2158"/>
      <c r="F2158"/>
      <c r="G2158"/>
      <c r="X2158"/>
    </row>
    <row r="2159" spans="4:24" x14ac:dyDescent="0.25">
      <c r="D2159"/>
      <c r="E2159"/>
      <c r="F2159"/>
      <c r="G2159"/>
      <c r="X2159"/>
    </row>
    <row r="2160" spans="4:24" x14ac:dyDescent="0.25">
      <c r="D2160"/>
      <c r="E2160"/>
      <c r="F2160"/>
      <c r="G2160"/>
      <c r="X2160"/>
    </row>
    <row r="2161" spans="4:24" x14ac:dyDescent="0.25">
      <c r="D2161"/>
      <c r="E2161"/>
      <c r="F2161"/>
      <c r="G2161"/>
      <c r="X2161"/>
    </row>
    <row r="2162" spans="4:24" x14ac:dyDescent="0.25">
      <c r="D2162"/>
      <c r="E2162"/>
      <c r="F2162"/>
      <c r="G2162"/>
      <c r="X2162"/>
    </row>
    <row r="2163" spans="4:24" x14ac:dyDescent="0.25">
      <c r="D2163"/>
      <c r="E2163"/>
      <c r="F2163"/>
      <c r="G2163"/>
      <c r="X2163"/>
    </row>
    <row r="2164" spans="4:24" x14ac:dyDescent="0.25">
      <c r="D2164"/>
      <c r="E2164"/>
      <c r="F2164"/>
      <c r="G2164"/>
      <c r="X2164"/>
    </row>
    <row r="2165" spans="4:24" x14ac:dyDescent="0.25">
      <c r="D2165"/>
      <c r="E2165"/>
      <c r="F2165"/>
      <c r="G2165"/>
      <c r="X2165"/>
    </row>
    <row r="2166" spans="4:24" x14ac:dyDescent="0.25">
      <c r="D2166"/>
      <c r="E2166"/>
      <c r="F2166"/>
      <c r="G2166"/>
      <c r="X2166"/>
    </row>
    <row r="2167" spans="4:24" x14ac:dyDescent="0.25">
      <c r="D2167"/>
      <c r="E2167"/>
      <c r="F2167"/>
      <c r="G2167"/>
      <c r="X2167"/>
    </row>
    <row r="2168" spans="4:24" x14ac:dyDescent="0.25">
      <c r="D2168"/>
      <c r="E2168"/>
      <c r="F2168"/>
      <c r="G2168"/>
      <c r="X2168"/>
    </row>
    <row r="2169" spans="4:24" x14ac:dyDescent="0.25">
      <c r="D2169"/>
      <c r="E2169"/>
      <c r="F2169"/>
      <c r="G2169"/>
      <c r="X2169"/>
    </row>
    <row r="2170" spans="4:24" x14ac:dyDescent="0.25">
      <c r="D2170"/>
      <c r="E2170"/>
      <c r="F2170"/>
      <c r="G2170"/>
      <c r="X2170"/>
    </row>
    <row r="2171" spans="4:24" x14ac:dyDescent="0.25">
      <c r="D2171"/>
      <c r="E2171"/>
      <c r="F2171"/>
      <c r="G2171"/>
      <c r="X2171"/>
    </row>
    <row r="2172" spans="4:24" x14ac:dyDescent="0.25">
      <c r="D2172"/>
      <c r="E2172"/>
      <c r="F2172"/>
      <c r="G2172"/>
      <c r="X2172"/>
    </row>
    <row r="2173" spans="4:24" x14ac:dyDescent="0.25">
      <c r="D2173"/>
      <c r="E2173"/>
      <c r="F2173"/>
      <c r="G2173"/>
      <c r="X2173"/>
    </row>
    <row r="2174" spans="4:24" x14ac:dyDescent="0.25">
      <c r="D2174"/>
      <c r="E2174"/>
      <c r="F2174"/>
      <c r="G2174"/>
      <c r="X2174"/>
    </row>
    <row r="2175" spans="4:24" x14ac:dyDescent="0.25">
      <c r="D2175"/>
      <c r="E2175"/>
      <c r="F2175"/>
      <c r="G2175"/>
      <c r="X2175"/>
    </row>
    <row r="2176" spans="4:24" x14ac:dyDescent="0.25">
      <c r="D2176"/>
      <c r="E2176"/>
      <c r="F2176"/>
      <c r="G2176"/>
      <c r="X2176"/>
    </row>
    <row r="2177" spans="4:24" x14ac:dyDescent="0.25">
      <c r="D2177"/>
      <c r="E2177"/>
      <c r="F2177"/>
      <c r="G2177"/>
      <c r="X2177"/>
    </row>
    <row r="2178" spans="4:24" x14ac:dyDescent="0.25">
      <c r="D2178"/>
      <c r="E2178"/>
      <c r="F2178"/>
      <c r="G2178"/>
      <c r="X2178"/>
    </row>
    <row r="2179" spans="4:24" x14ac:dyDescent="0.25">
      <c r="D2179"/>
      <c r="E2179"/>
      <c r="F2179"/>
      <c r="G2179"/>
      <c r="X2179"/>
    </row>
    <row r="2180" spans="4:24" x14ac:dyDescent="0.25">
      <c r="D2180"/>
      <c r="E2180"/>
      <c r="F2180"/>
      <c r="G2180"/>
      <c r="X2180"/>
    </row>
    <row r="2181" spans="4:24" x14ac:dyDescent="0.25">
      <c r="D2181"/>
      <c r="E2181"/>
      <c r="F2181"/>
      <c r="G2181"/>
      <c r="X2181"/>
    </row>
    <row r="2182" spans="4:24" x14ac:dyDescent="0.25">
      <c r="D2182"/>
      <c r="E2182"/>
      <c r="F2182"/>
      <c r="G2182"/>
      <c r="X2182"/>
    </row>
    <row r="2183" spans="4:24" x14ac:dyDescent="0.25">
      <c r="D2183"/>
      <c r="E2183"/>
      <c r="F2183"/>
      <c r="G2183"/>
      <c r="X2183"/>
    </row>
    <row r="2184" spans="4:24" x14ac:dyDescent="0.25">
      <c r="D2184"/>
      <c r="E2184"/>
      <c r="F2184"/>
      <c r="G2184"/>
      <c r="X2184"/>
    </row>
    <row r="2185" spans="4:24" x14ac:dyDescent="0.25">
      <c r="D2185"/>
      <c r="E2185"/>
      <c r="F2185"/>
      <c r="G2185"/>
      <c r="X2185"/>
    </row>
    <row r="2186" spans="4:24" x14ac:dyDescent="0.25">
      <c r="D2186"/>
      <c r="E2186"/>
      <c r="F2186"/>
      <c r="G2186"/>
      <c r="X2186"/>
    </row>
    <row r="2187" spans="4:24" x14ac:dyDescent="0.25">
      <c r="D2187"/>
      <c r="E2187"/>
      <c r="F2187"/>
      <c r="G2187"/>
      <c r="X2187"/>
    </row>
    <row r="2188" spans="4:24" x14ac:dyDescent="0.25">
      <c r="D2188"/>
      <c r="E2188"/>
      <c r="F2188"/>
      <c r="G2188"/>
      <c r="X2188"/>
    </row>
    <row r="2189" spans="4:24" x14ac:dyDescent="0.25">
      <c r="D2189"/>
      <c r="E2189"/>
      <c r="F2189"/>
      <c r="G2189"/>
      <c r="X2189"/>
    </row>
    <row r="2190" spans="4:24" x14ac:dyDescent="0.25">
      <c r="D2190"/>
      <c r="E2190"/>
      <c r="F2190"/>
      <c r="G2190"/>
      <c r="X2190"/>
    </row>
    <row r="2191" spans="4:24" x14ac:dyDescent="0.25">
      <c r="D2191"/>
      <c r="E2191"/>
      <c r="F2191"/>
      <c r="G2191"/>
      <c r="X2191"/>
    </row>
    <row r="2192" spans="4:24" x14ac:dyDescent="0.25">
      <c r="D2192"/>
      <c r="E2192"/>
      <c r="F2192"/>
      <c r="G2192"/>
      <c r="X2192"/>
    </row>
    <row r="2193" spans="4:24" x14ac:dyDescent="0.25">
      <c r="D2193"/>
      <c r="E2193"/>
      <c r="F2193"/>
      <c r="G2193"/>
      <c r="X2193"/>
    </row>
    <row r="2194" spans="4:24" x14ac:dyDescent="0.25">
      <c r="D2194"/>
      <c r="E2194"/>
      <c r="F2194"/>
      <c r="G2194"/>
      <c r="X2194"/>
    </row>
    <row r="2195" spans="4:24" x14ac:dyDescent="0.25">
      <c r="D2195"/>
      <c r="E2195"/>
      <c r="F2195"/>
      <c r="G2195"/>
      <c r="X2195"/>
    </row>
    <row r="2196" spans="4:24" x14ac:dyDescent="0.25">
      <c r="D2196"/>
      <c r="E2196"/>
      <c r="F2196"/>
      <c r="G2196"/>
      <c r="X2196"/>
    </row>
    <row r="2197" spans="4:24" x14ac:dyDescent="0.25">
      <c r="D2197"/>
      <c r="E2197"/>
      <c r="F2197"/>
      <c r="G2197"/>
      <c r="X2197"/>
    </row>
    <row r="2198" spans="4:24" x14ac:dyDescent="0.25">
      <c r="D2198"/>
      <c r="E2198"/>
      <c r="F2198"/>
      <c r="G2198"/>
      <c r="X2198"/>
    </row>
    <row r="2199" spans="4:24" x14ac:dyDescent="0.25">
      <c r="D2199"/>
      <c r="E2199"/>
      <c r="F2199"/>
      <c r="G2199"/>
      <c r="X2199"/>
    </row>
    <row r="2200" spans="4:24" x14ac:dyDescent="0.25">
      <c r="D2200"/>
      <c r="E2200"/>
      <c r="F2200"/>
      <c r="G2200"/>
      <c r="X2200"/>
    </row>
    <row r="2201" spans="4:24" x14ac:dyDescent="0.25">
      <c r="D2201"/>
      <c r="E2201"/>
      <c r="F2201"/>
      <c r="G2201"/>
      <c r="X2201"/>
    </row>
    <row r="2202" spans="4:24" x14ac:dyDescent="0.25">
      <c r="D2202"/>
      <c r="E2202"/>
      <c r="F2202"/>
      <c r="G2202"/>
      <c r="X2202"/>
    </row>
    <row r="2203" spans="4:24" x14ac:dyDescent="0.25">
      <c r="D2203"/>
      <c r="E2203"/>
      <c r="F2203"/>
      <c r="G2203"/>
      <c r="X2203"/>
    </row>
    <row r="2204" spans="4:24" x14ac:dyDescent="0.25">
      <c r="D2204"/>
      <c r="E2204"/>
      <c r="F2204"/>
      <c r="G2204"/>
      <c r="X2204"/>
    </row>
    <row r="2205" spans="4:24" x14ac:dyDescent="0.25">
      <c r="D2205"/>
      <c r="E2205"/>
      <c r="F2205"/>
      <c r="G2205"/>
      <c r="X2205"/>
    </row>
    <row r="2206" spans="4:24" x14ac:dyDescent="0.25">
      <c r="D2206"/>
      <c r="E2206"/>
      <c r="F2206"/>
      <c r="G2206"/>
      <c r="X2206"/>
    </row>
    <row r="2207" spans="4:24" x14ac:dyDescent="0.25">
      <c r="D2207"/>
      <c r="E2207"/>
      <c r="F2207"/>
      <c r="G2207"/>
      <c r="X2207"/>
    </row>
    <row r="2208" spans="4:24" x14ac:dyDescent="0.25">
      <c r="D2208"/>
      <c r="E2208"/>
      <c r="F2208"/>
      <c r="G2208"/>
      <c r="X2208"/>
    </row>
    <row r="2209" spans="4:24" x14ac:dyDescent="0.25">
      <c r="D2209"/>
      <c r="E2209"/>
      <c r="F2209"/>
      <c r="G2209"/>
      <c r="X2209"/>
    </row>
    <row r="2210" spans="4:24" x14ac:dyDescent="0.25">
      <c r="D2210"/>
      <c r="E2210"/>
      <c r="F2210"/>
      <c r="G2210"/>
      <c r="X2210"/>
    </row>
    <row r="2211" spans="4:24" x14ac:dyDescent="0.25">
      <c r="D2211"/>
      <c r="E2211"/>
      <c r="F2211"/>
      <c r="G2211"/>
      <c r="X2211"/>
    </row>
    <row r="2212" spans="4:24" x14ac:dyDescent="0.25">
      <c r="D2212"/>
      <c r="E2212"/>
      <c r="F2212"/>
      <c r="G2212"/>
      <c r="X2212"/>
    </row>
    <row r="2213" spans="4:24" x14ac:dyDescent="0.25">
      <c r="D2213"/>
      <c r="E2213"/>
      <c r="F2213"/>
      <c r="G2213"/>
      <c r="X2213"/>
    </row>
    <row r="2214" spans="4:24" x14ac:dyDescent="0.25">
      <c r="D2214"/>
      <c r="E2214"/>
      <c r="F2214"/>
      <c r="G2214"/>
      <c r="X2214"/>
    </row>
    <row r="2215" spans="4:24" x14ac:dyDescent="0.25">
      <c r="D2215"/>
      <c r="E2215"/>
      <c r="F2215"/>
      <c r="G2215"/>
      <c r="X2215"/>
    </row>
    <row r="2216" spans="4:24" x14ac:dyDescent="0.25">
      <c r="D2216"/>
      <c r="E2216"/>
      <c r="F2216"/>
      <c r="G2216"/>
      <c r="X2216"/>
    </row>
    <row r="2217" spans="4:24" x14ac:dyDescent="0.25">
      <c r="D2217"/>
      <c r="E2217"/>
      <c r="F2217"/>
      <c r="G2217"/>
      <c r="X2217"/>
    </row>
    <row r="2218" spans="4:24" x14ac:dyDescent="0.25">
      <c r="D2218"/>
      <c r="E2218"/>
      <c r="F2218"/>
      <c r="G2218"/>
      <c r="X2218"/>
    </row>
    <row r="2219" spans="4:24" x14ac:dyDescent="0.25">
      <c r="D2219"/>
      <c r="E2219"/>
      <c r="F2219"/>
      <c r="G2219"/>
      <c r="X2219"/>
    </row>
    <row r="2220" spans="4:24" x14ac:dyDescent="0.25">
      <c r="D2220"/>
      <c r="E2220"/>
      <c r="F2220"/>
      <c r="G2220"/>
      <c r="X2220"/>
    </row>
    <row r="2221" spans="4:24" x14ac:dyDescent="0.25">
      <c r="D2221"/>
      <c r="E2221"/>
      <c r="F2221"/>
      <c r="G2221"/>
      <c r="X2221"/>
    </row>
    <row r="2222" spans="4:24" x14ac:dyDescent="0.25">
      <c r="D2222"/>
      <c r="E2222"/>
      <c r="F2222"/>
      <c r="G2222"/>
      <c r="X2222"/>
    </row>
    <row r="2223" spans="4:24" x14ac:dyDescent="0.25">
      <c r="D2223"/>
      <c r="E2223"/>
      <c r="F2223"/>
      <c r="G2223"/>
      <c r="X2223"/>
    </row>
    <row r="2224" spans="4:24" x14ac:dyDescent="0.25">
      <c r="D2224"/>
      <c r="E2224"/>
      <c r="F2224"/>
      <c r="G2224"/>
      <c r="X2224"/>
    </row>
    <row r="2225" spans="4:24" x14ac:dyDescent="0.25">
      <c r="D2225"/>
      <c r="E2225"/>
      <c r="F2225"/>
      <c r="G2225"/>
      <c r="X2225"/>
    </row>
    <row r="2226" spans="4:24" x14ac:dyDescent="0.25">
      <c r="D2226"/>
      <c r="E2226"/>
      <c r="F2226"/>
      <c r="G2226"/>
      <c r="X2226"/>
    </row>
    <row r="2227" spans="4:24" x14ac:dyDescent="0.25">
      <c r="D2227"/>
      <c r="E2227"/>
      <c r="F2227"/>
      <c r="G2227"/>
      <c r="X2227"/>
    </row>
    <row r="2228" spans="4:24" x14ac:dyDescent="0.25">
      <c r="D2228"/>
      <c r="E2228"/>
      <c r="F2228"/>
      <c r="G2228"/>
      <c r="X2228"/>
    </row>
    <row r="2229" spans="4:24" x14ac:dyDescent="0.25">
      <c r="D2229"/>
      <c r="E2229"/>
      <c r="F2229"/>
      <c r="G2229"/>
      <c r="X2229"/>
    </row>
    <row r="2230" spans="4:24" x14ac:dyDescent="0.25">
      <c r="D2230"/>
      <c r="E2230"/>
      <c r="F2230"/>
      <c r="G2230"/>
      <c r="X2230"/>
    </row>
    <row r="2231" spans="4:24" x14ac:dyDescent="0.25">
      <c r="D2231"/>
      <c r="E2231"/>
      <c r="F2231"/>
      <c r="G2231"/>
      <c r="X2231"/>
    </row>
    <row r="2232" spans="4:24" x14ac:dyDescent="0.25">
      <c r="D2232"/>
      <c r="E2232"/>
      <c r="F2232"/>
      <c r="G2232"/>
      <c r="X2232"/>
    </row>
    <row r="2233" spans="4:24" x14ac:dyDescent="0.25">
      <c r="D2233"/>
      <c r="E2233"/>
      <c r="F2233"/>
      <c r="G2233"/>
      <c r="X2233"/>
    </row>
    <row r="2234" spans="4:24" x14ac:dyDescent="0.25">
      <c r="D2234"/>
      <c r="E2234"/>
      <c r="F2234"/>
      <c r="G2234"/>
      <c r="X2234"/>
    </row>
    <row r="2235" spans="4:24" x14ac:dyDescent="0.25">
      <c r="D2235"/>
      <c r="E2235"/>
      <c r="F2235"/>
      <c r="G2235"/>
      <c r="X2235"/>
    </row>
    <row r="2236" spans="4:24" x14ac:dyDescent="0.25">
      <c r="D2236"/>
      <c r="E2236"/>
      <c r="F2236"/>
      <c r="G2236"/>
      <c r="X2236"/>
    </row>
    <row r="2237" spans="4:24" x14ac:dyDescent="0.25">
      <c r="D2237"/>
      <c r="E2237"/>
      <c r="F2237"/>
      <c r="G2237"/>
      <c r="X2237"/>
    </row>
    <row r="2238" spans="4:24" x14ac:dyDescent="0.25">
      <c r="D2238"/>
      <c r="E2238"/>
      <c r="F2238"/>
      <c r="G2238"/>
      <c r="X2238"/>
    </row>
    <row r="2239" spans="4:24" x14ac:dyDescent="0.25">
      <c r="D2239"/>
      <c r="E2239"/>
      <c r="F2239"/>
      <c r="G2239"/>
      <c r="X2239"/>
    </row>
    <row r="2240" spans="4:24" x14ac:dyDescent="0.25">
      <c r="D2240"/>
      <c r="E2240"/>
      <c r="F2240"/>
      <c r="G2240"/>
      <c r="X2240"/>
    </row>
    <row r="2241" spans="4:24" x14ac:dyDescent="0.25">
      <c r="D2241"/>
      <c r="E2241"/>
      <c r="F2241"/>
      <c r="G2241"/>
      <c r="X2241"/>
    </row>
    <row r="2242" spans="4:24" x14ac:dyDescent="0.25">
      <c r="D2242"/>
      <c r="E2242"/>
      <c r="F2242"/>
      <c r="G2242"/>
      <c r="X2242"/>
    </row>
    <row r="2243" spans="4:24" x14ac:dyDescent="0.25">
      <c r="D2243"/>
      <c r="E2243"/>
      <c r="F2243"/>
      <c r="G2243"/>
      <c r="X2243"/>
    </row>
    <row r="2244" spans="4:24" x14ac:dyDescent="0.25">
      <c r="D2244"/>
      <c r="E2244"/>
      <c r="F2244"/>
      <c r="G2244"/>
      <c r="X2244"/>
    </row>
    <row r="2245" spans="4:24" x14ac:dyDescent="0.25">
      <c r="D2245"/>
      <c r="E2245"/>
      <c r="F2245"/>
      <c r="G2245"/>
      <c r="X2245"/>
    </row>
    <row r="2246" spans="4:24" x14ac:dyDescent="0.25">
      <c r="D2246"/>
      <c r="E2246"/>
      <c r="F2246"/>
      <c r="G2246"/>
      <c r="X2246"/>
    </row>
    <row r="2247" spans="4:24" x14ac:dyDescent="0.25">
      <c r="D2247"/>
      <c r="E2247"/>
      <c r="F2247"/>
      <c r="G2247"/>
      <c r="X2247"/>
    </row>
    <row r="2248" spans="4:24" x14ac:dyDescent="0.25">
      <c r="D2248"/>
      <c r="E2248"/>
      <c r="F2248"/>
      <c r="G2248"/>
      <c r="X2248"/>
    </row>
    <row r="2249" spans="4:24" x14ac:dyDescent="0.25">
      <c r="D2249"/>
      <c r="E2249"/>
      <c r="F2249"/>
      <c r="G2249"/>
      <c r="X2249"/>
    </row>
    <row r="2250" spans="4:24" x14ac:dyDescent="0.25">
      <c r="D2250"/>
      <c r="E2250"/>
      <c r="F2250"/>
      <c r="G2250"/>
      <c r="X2250"/>
    </row>
    <row r="2251" spans="4:24" x14ac:dyDescent="0.25">
      <c r="D2251"/>
      <c r="E2251"/>
      <c r="F2251"/>
      <c r="G2251"/>
      <c r="X2251"/>
    </row>
    <row r="2252" spans="4:24" x14ac:dyDescent="0.25">
      <c r="D2252"/>
      <c r="E2252"/>
      <c r="F2252"/>
      <c r="G2252"/>
      <c r="X2252"/>
    </row>
    <row r="2253" spans="4:24" x14ac:dyDescent="0.25">
      <c r="D2253"/>
      <c r="E2253"/>
      <c r="F2253"/>
      <c r="G2253"/>
      <c r="X2253"/>
    </row>
    <row r="2254" spans="4:24" x14ac:dyDescent="0.25">
      <c r="D2254"/>
      <c r="E2254"/>
      <c r="F2254"/>
      <c r="G2254"/>
      <c r="X2254"/>
    </row>
    <row r="2255" spans="4:24" x14ac:dyDescent="0.25">
      <c r="D2255"/>
      <c r="E2255"/>
      <c r="F2255"/>
      <c r="G2255"/>
      <c r="X2255"/>
    </row>
    <row r="2256" spans="4:24" x14ac:dyDescent="0.25">
      <c r="D2256"/>
      <c r="E2256"/>
      <c r="F2256"/>
      <c r="G2256"/>
      <c r="X2256"/>
    </row>
    <row r="2257" spans="4:24" x14ac:dyDescent="0.25">
      <c r="D2257"/>
      <c r="E2257"/>
      <c r="F2257"/>
      <c r="G2257"/>
      <c r="X2257"/>
    </row>
    <row r="2258" spans="4:24" x14ac:dyDescent="0.25">
      <c r="D2258"/>
      <c r="E2258"/>
      <c r="F2258"/>
      <c r="G2258"/>
      <c r="X2258"/>
    </row>
    <row r="2259" spans="4:24" x14ac:dyDescent="0.25">
      <c r="D2259"/>
      <c r="E2259"/>
      <c r="F2259"/>
      <c r="G2259"/>
      <c r="X2259"/>
    </row>
    <row r="2260" spans="4:24" x14ac:dyDescent="0.25">
      <c r="D2260"/>
      <c r="E2260"/>
      <c r="F2260"/>
      <c r="G2260"/>
      <c r="X2260"/>
    </row>
    <row r="2261" spans="4:24" x14ac:dyDescent="0.25">
      <c r="D2261"/>
      <c r="E2261"/>
      <c r="F2261"/>
      <c r="G2261"/>
      <c r="X2261"/>
    </row>
    <row r="2262" spans="4:24" x14ac:dyDescent="0.25">
      <c r="D2262"/>
      <c r="E2262"/>
      <c r="F2262"/>
      <c r="G2262"/>
      <c r="X2262"/>
    </row>
    <row r="2263" spans="4:24" x14ac:dyDescent="0.25">
      <c r="D2263"/>
      <c r="E2263"/>
      <c r="F2263"/>
      <c r="G2263"/>
      <c r="X2263"/>
    </row>
    <row r="2264" spans="4:24" x14ac:dyDescent="0.25">
      <c r="D2264"/>
      <c r="E2264"/>
      <c r="F2264"/>
      <c r="G2264"/>
      <c r="X2264"/>
    </row>
    <row r="2265" spans="4:24" x14ac:dyDescent="0.25">
      <c r="D2265"/>
      <c r="E2265"/>
      <c r="F2265"/>
      <c r="G2265"/>
      <c r="X2265"/>
    </row>
    <row r="2266" spans="4:24" x14ac:dyDescent="0.25">
      <c r="D2266"/>
      <c r="E2266"/>
      <c r="F2266"/>
      <c r="G2266"/>
      <c r="X2266"/>
    </row>
    <row r="2267" spans="4:24" x14ac:dyDescent="0.25">
      <c r="D2267"/>
      <c r="E2267"/>
      <c r="F2267"/>
      <c r="G2267"/>
      <c r="X2267"/>
    </row>
    <row r="2268" spans="4:24" x14ac:dyDescent="0.25">
      <c r="D2268"/>
      <c r="E2268"/>
      <c r="F2268"/>
      <c r="G2268"/>
      <c r="X2268"/>
    </row>
    <row r="2269" spans="4:24" x14ac:dyDescent="0.25">
      <c r="D2269"/>
      <c r="E2269"/>
      <c r="F2269"/>
      <c r="G2269"/>
      <c r="X2269"/>
    </row>
    <row r="2270" spans="4:24" x14ac:dyDescent="0.25">
      <c r="D2270"/>
      <c r="E2270"/>
      <c r="F2270"/>
      <c r="G2270"/>
      <c r="X2270"/>
    </row>
    <row r="2271" spans="4:24" x14ac:dyDescent="0.25">
      <c r="D2271"/>
      <c r="E2271"/>
      <c r="F2271"/>
      <c r="G2271"/>
      <c r="X2271"/>
    </row>
    <row r="2272" spans="4:24" x14ac:dyDescent="0.25">
      <c r="D2272"/>
      <c r="E2272"/>
      <c r="F2272"/>
      <c r="G2272"/>
      <c r="X2272"/>
    </row>
    <row r="2273" spans="4:24" x14ac:dyDescent="0.25">
      <c r="D2273"/>
      <c r="E2273"/>
      <c r="F2273"/>
      <c r="G2273"/>
      <c r="X2273"/>
    </row>
    <row r="2274" spans="4:24" x14ac:dyDescent="0.25">
      <c r="D2274"/>
      <c r="E2274"/>
      <c r="F2274"/>
      <c r="G2274"/>
      <c r="X2274"/>
    </row>
    <row r="2275" spans="4:24" x14ac:dyDescent="0.25">
      <c r="D2275"/>
      <c r="E2275"/>
      <c r="F2275"/>
      <c r="G2275"/>
      <c r="X2275"/>
    </row>
    <row r="2276" spans="4:24" x14ac:dyDescent="0.25">
      <c r="D2276"/>
      <c r="E2276"/>
      <c r="F2276"/>
      <c r="G2276"/>
      <c r="X2276"/>
    </row>
    <row r="2277" spans="4:24" x14ac:dyDescent="0.25">
      <c r="D2277"/>
      <c r="E2277"/>
      <c r="F2277"/>
      <c r="G2277"/>
      <c r="X2277"/>
    </row>
    <row r="2278" spans="4:24" x14ac:dyDescent="0.25">
      <c r="D2278"/>
      <c r="E2278"/>
      <c r="F2278"/>
      <c r="G2278"/>
      <c r="X2278"/>
    </row>
    <row r="2279" spans="4:24" x14ac:dyDescent="0.25">
      <c r="D2279"/>
      <c r="E2279"/>
      <c r="F2279"/>
      <c r="G2279"/>
      <c r="X2279"/>
    </row>
    <row r="2280" spans="4:24" x14ac:dyDescent="0.25">
      <c r="D2280"/>
      <c r="E2280"/>
      <c r="F2280"/>
      <c r="G2280"/>
      <c r="X2280"/>
    </row>
    <row r="2281" spans="4:24" x14ac:dyDescent="0.25">
      <c r="D2281"/>
      <c r="E2281"/>
      <c r="F2281"/>
      <c r="G2281"/>
      <c r="X2281"/>
    </row>
    <row r="2282" spans="4:24" x14ac:dyDescent="0.25">
      <c r="D2282"/>
      <c r="E2282"/>
      <c r="F2282"/>
      <c r="G2282"/>
      <c r="X2282"/>
    </row>
    <row r="2283" spans="4:24" x14ac:dyDescent="0.25">
      <c r="D2283"/>
      <c r="E2283"/>
      <c r="F2283"/>
      <c r="G2283"/>
      <c r="X2283"/>
    </row>
    <row r="2284" spans="4:24" x14ac:dyDescent="0.25">
      <c r="D2284"/>
      <c r="E2284"/>
      <c r="F2284"/>
      <c r="G2284"/>
      <c r="X2284"/>
    </row>
    <row r="2285" spans="4:24" x14ac:dyDescent="0.25">
      <c r="D2285"/>
      <c r="E2285"/>
      <c r="F2285"/>
      <c r="G2285"/>
      <c r="X2285"/>
    </row>
    <row r="2286" spans="4:24" x14ac:dyDescent="0.25">
      <c r="D2286"/>
      <c r="E2286"/>
      <c r="F2286"/>
      <c r="G2286"/>
      <c r="X2286"/>
    </row>
    <row r="2287" spans="4:24" x14ac:dyDescent="0.25">
      <c r="D2287"/>
      <c r="E2287"/>
      <c r="F2287"/>
      <c r="G2287"/>
      <c r="X2287"/>
    </row>
    <row r="2288" spans="4:24" x14ac:dyDescent="0.25">
      <c r="D2288"/>
      <c r="E2288"/>
      <c r="F2288"/>
      <c r="G2288"/>
      <c r="X2288"/>
    </row>
    <row r="2289" spans="4:24" x14ac:dyDescent="0.25">
      <c r="D2289"/>
      <c r="E2289"/>
      <c r="F2289"/>
      <c r="G2289"/>
      <c r="X2289"/>
    </row>
    <row r="2290" spans="4:24" x14ac:dyDescent="0.25">
      <c r="D2290"/>
      <c r="E2290"/>
      <c r="F2290"/>
      <c r="G2290"/>
      <c r="X2290"/>
    </row>
    <row r="2291" spans="4:24" x14ac:dyDescent="0.25">
      <c r="D2291"/>
      <c r="E2291"/>
      <c r="F2291"/>
      <c r="G2291"/>
      <c r="X2291"/>
    </row>
    <row r="2292" spans="4:24" x14ac:dyDescent="0.25">
      <c r="D2292"/>
      <c r="E2292"/>
      <c r="F2292"/>
      <c r="G2292"/>
      <c r="X2292"/>
    </row>
    <row r="2293" spans="4:24" x14ac:dyDescent="0.25">
      <c r="D2293"/>
      <c r="E2293"/>
      <c r="F2293"/>
      <c r="G2293"/>
      <c r="X2293"/>
    </row>
    <row r="2294" spans="4:24" x14ac:dyDescent="0.25">
      <c r="D2294"/>
      <c r="E2294"/>
      <c r="F2294"/>
      <c r="G2294"/>
      <c r="X2294"/>
    </row>
    <row r="2295" spans="4:24" x14ac:dyDescent="0.25">
      <c r="D2295"/>
      <c r="E2295"/>
      <c r="F2295"/>
      <c r="G2295"/>
      <c r="X2295"/>
    </row>
    <row r="2296" spans="4:24" x14ac:dyDescent="0.25">
      <c r="D2296"/>
      <c r="E2296"/>
      <c r="F2296"/>
      <c r="G2296"/>
      <c r="X2296"/>
    </row>
    <row r="2297" spans="4:24" x14ac:dyDescent="0.25">
      <c r="D2297"/>
      <c r="E2297"/>
      <c r="F2297"/>
      <c r="G2297"/>
      <c r="X2297"/>
    </row>
    <row r="2298" spans="4:24" x14ac:dyDescent="0.25">
      <c r="D2298"/>
      <c r="E2298"/>
      <c r="F2298"/>
      <c r="G2298"/>
      <c r="X2298"/>
    </row>
    <row r="2299" spans="4:24" x14ac:dyDescent="0.25">
      <c r="D2299"/>
      <c r="E2299"/>
      <c r="F2299"/>
      <c r="G2299"/>
      <c r="X2299"/>
    </row>
    <row r="2300" spans="4:24" x14ac:dyDescent="0.25">
      <c r="D2300"/>
      <c r="E2300"/>
      <c r="F2300"/>
      <c r="G2300"/>
      <c r="X2300"/>
    </row>
    <row r="2301" spans="4:24" x14ac:dyDescent="0.25">
      <c r="D2301"/>
      <c r="E2301"/>
      <c r="F2301"/>
      <c r="G2301"/>
      <c r="X2301"/>
    </row>
    <row r="2302" spans="4:24" x14ac:dyDescent="0.25">
      <c r="D2302"/>
      <c r="E2302"/>
      <c r="F2302"/>
      <c r="G2302"/>
      <c r="X2302"/>
    </row>
    <row r="2303" spans="4:24" x14ac:dyDescent="0.25">
      <c r="D2303"/>
      <c r="E2303"/>
      <c r="F2303"/>
      <c r="G2303"/>
      <c r="X2303"/>
    </row>
    <row r="2304" spans="4:24" x14ac:dyDescent="0.25">
      <c r="D2304"/>
      <c r="E2304"/>
      <c r="F2304"/>
      <c r="G2304"/>
      <c r="X2304"/>
    </row>
    <row r="2305" spans="4:24" x14ac:dyDescent="0.25">
      <c r="D2305"/>
      <c r="E2305"/>
      <c r="F2305"/>
      <c r="G2305"/>
      <c r="X2305"/>
    </row>
    <row r="2306" spans="4:24" x14ac:dyDescent="0.25">
      <c r="D2306"/>
      <c r="E2306"/>
      <c r="F2306"/>
      <c r="G2306"/>
      <c r="X2306"/>
    </row>
    <row r="2307" spans="4:24" x14ac:dyDescent="0.25">
      <c r="D2307"/>
      <c r="E2307"/>
      <c r="F2307"/>
      <c r="G2307"/>
      <c r="X2307"/>
    </row>
    <row r="2308" spans="4:24" x14ac:dyDescent="0.25">
      <c r="D2308"/>
      <c r="E2308"/>
      <c r="F2308"/>
      <c r="G2308"/>
      <c r="X2308"/>
    </row>
    <row r="2309" spans="4:24" x14ac:dyDescent="0.25">
      <c r="D2309"/>
      <c r="E2309"/>
      <c r="F2309"/>
      <c r="G2309"/>
      <c r="X2309"/>
    </row>
    <row r="2310" spans="4:24" x14ac:dyDescent="0.25">
      <c r="D2310"/>
      <c r="E2310"/>
      <c r="F2310"/>
      <c r="G2310"/>
      <c r="X2310"/>
    </row>
    <row r="2311" spans="4:24" x14ac:dyDescent="0.25">
      <c r="D2311"/>
      <c r="E2311"/>
      <c r="F2311"/>
      <c r="G2311"/>
      <c r="X2311"/>
    </row>
    <row r="2312" spans="4:24" x14ac:dyDescent="0.25">
      <c r="D2312"/>
      <c r="E2312"/>
      <c r="F2312"/>
      <c r="G2312"/>
      <c r="X2312"/>
    </row>
    <row r="2313" spans="4:24" x14ac:dyDescent="0.25">
      <c r="D2313"/>
      <c r="E2313"/>
      <c r="F2313"/>
      <c r="G2313"/>
      <c r="X2313"/>
    </row>
    <row r="2314" spans="4:24" x14ac:dyDescent="0.25">
      <c r="D2314"/>
      <c r="E2314"/>
      <c r="F2314"/>
      <c r="G2314"/>
      <c r="X2314"/>
    </row>
    <row r="2315" spans="4:24" x14ac:dyDescent="0.25">
      <c r="D2315"/>
      <c r="E2315"/>
      <c r="F2315"/>
      <c r="G2315"/>
      <c r="X2315"/>
    </row>
    <row r="2316" spans="4:24" x14ac:dyDescent="0.25">
      <c r="D2316"/>
      <c r="E2316"/>
      <c r="F2316"/>
      <c r="G2316"/>
      <c r="X2316"/>
    </row>
    <row r="2317" spans="4:24" x14ac:dyDescent="0.25">
      <c r="D2317"/>
      <c r="E2317"/>
      <c r="F2317"/>
      <c r="G2317"/>
      <c r="X2317"/>
    </row>
    <row r="2318" spans="4:24" x14ac:dyDescent="0.25">
      <c r="D2318"/>
      <c r="E2318"/>
      <c r="F2318"/>
      <c r="G2318"/>
      <c r="X2318"/>
    </row>
    <row r="2319" spans="4:24" x14ac:dyDescent="0.25">
      <c r="D2319"/>
      <c r="E2319"/>
      <c r="F2319"/>
      <c r="G2319"/>
      <c r="X2319"/>
    </row>
    <row r="2320" spans="4:24" x14ac:dyDescent="0.25">
      <c r="D2320"/>
      <c r="E2320"/>
      <c r="F2320"/>
      <c r="G2320"/>
      <c r="X2320"/>
    </row>
    <row r="2321" spans="4:24" x14ac:dyDescent="0.25">
      <c r="D2321"/>
      <c r="E2321"/>
      <c r="F2321"/>
      <c r="G2321"/>
      <c r="X2321"/>
    </row>
    <row r="2322" spans="4:24" x14ac:dyDescent="0.25">
      <c r="D2322"/>
      <c r="E2322"/>
      <c r="F2322"/>
      <c r="G2322"/>
      <c r="X2322"/>
    </row>
    <row r="2323" spans="4:24" x14ac:dyDescent="0.25">
      <c r="D2323"/>
      <c r="E2323"/>
      <c r="F2323"/>
      <c r="G2323"/>
      <c r="X2323"/>
    </row>
    <row r="2324" spans="4:24" x14ac:dyDescent="0.25">
      <c r="D2324"/>
      <c r="E2324"/>
      <c r="F2324"/>
      <c r="G2324"/>
      <c r="X2324"/>
    </row>
    <row r="2325" spans="4:24" x14ac:dyDescent="0.25">
      <c r="D2325"/>
      <c r="E2325"/>
      <c r="F2325"/>
      <c r="G2325"/>
      <c r="X2325"/>
    </row>
    <row r="2326" spans="4:24" x14ac:dyDescent="0.25">
      <c r="D2326"/>
      <c r="E2326"/>
      <c r="F2326"/>
      <c r="G2326"/>
      <c r="X2326"/>
    </row>
    <row r="2327" spans="4:24" x14ac:dyDescent="0.25">
      <c r="D2327"/>
      <c r="E2327"/>
      <c r="F2327"/>
      <c r="G2327"/>
      <c r="X2327"/>
    </row>
    <row r="2328" spans="4:24" x14ac:dyDescent="0.25">
      <c r="D2328"/>
      <c r="E2328"/>
      <c r="F2328"/>
      <c r="G2328"/>
      <c r="X2328"/>
    </row>
    <row r="2329" spans="4:24" x14ac:dyDescent="0.25">
      <c r="D2329"/>
      <c r="E2329"/>
      <c r="F2329"/>
      <c r="G2329"/>
      <c r="X2329"/>
    </row>
    <row r="2330" spans="4:24" x14ac:dyDescent="0.25">
      <c r="D2330"/>
      <c r="E2330"/>
      <c r="F2330"/>
      <c r="G2330"/>
      <c r="X2330"/>
    </row>
    <row r="2331" spans="4:24" x14ac:dyDescent="0.25">
      <c r="D2331"/>
      <c r="E2331"/>
      <c r="F2331"/>
      <c r="G2331"/>
      <c r="X2331"/>
    </row>
    <row r="2332" spans="4:24" x14ac:dyDescent="0.25">
      <c r="D2332"/>
      <c r="E2332"/>
      <c r="F2332"/>
      <c r="G2332"/>
      <c r="X2332"/>
    </row>
    <row r="2333" spans="4:24" x14ac:dyDescent="0.25">
      <c r="D2333"/>
      <c r="E2333"/>
      <c r="F2333"/>
      <c r="G2333"/>
      <c r="X2333"/>
    </row>
    <row r="2334" spans="4:24" x14ac:dyDescent="0.25">
      <c r="D2334"/>
      <c r="E2334"/>
      <c r="F2334"/>
      <c r="G2334"/>
      <c r="X2334"/>
    </row>
    <row r="2335" spans="4:24" x14ac:dyDescent="0.25">
      <c r="D2335"/>
      <c r="E2335"/>
      <c r="F2335"/>
      <c r="G2335"/>
      <c r="X2335"/>
    </row>
    <row r="2336" spans="4:24" x14ac:dyDescent="0.25">
      <c r="D2336"/>
      <c r="E2336"/>
      <c r="F2336"/>
      <c r="G2336"/>
      <c r="X2336"/>
    </row>
    <row r="2337" spans="4:24" x14ac:dyDescent="0.25">
      <c r="D2337"/>
      <c r="E2337"/>
      <c r="F2337"/>
      <c r="G2337"/>
      <c r="X2337"/>
    </row>
    <row r="2338" spans="4:24" x14ac:dyDescent="0.25">
      <c r="D2338"/>
      <c r="E2338"/>
      <c r="F2338"/>
      <c r="G2338"/>
      <c r="X2338"/>
    </row>
    <row r="2339" spans="4:24" x14ac:dyDescent="0.25">
      <c r="D2339"/>
      <c r="E2339"/>
      <c r="F2339"/>
      <c r="G2339"/>
      <c r="X2339"/>
    </row>
    <row r="2340" spans="4:24" x14ac:dyDescent="0.25">
      <c r="D2340"/>
      <c r="E2340"/>
      <c r="F2340"/>
      <c r="G2340"/>
      <c r="X2340"/>
    </row>
    <row r="2341" spans="4:24" x14ac:dyDescent="0.25">
      <c r="D2341"/>
      <c r="E2341"/>
      <c r="F2341"/>
      <c r="G2341"/>
      <c r="X2341"/>
    </row>
    <row r="2342" spans="4:24" x14ac:dyDescent="0.25">
      <c r="D2342"/>
      <c r="E2342"/>
      <c r="F2342"/>
      <c r="G2342"/>
      <c r="X2342"/>
    </row>
    <row r="2343" spans="4:24" x14ac:dyDescent="0.25">
      <c r="D2343"/>
      <c r="E2343"/>
      <c r="F2343"/>
      <c r="G2343"/>
      <c r="X2343"/>
    </row>
    <row r="2344" spans="4:24" x14ac:dyDescent="0.25">
      <c r="D2344"/>
      <c r="E2344"/>
      <c r="F2344"/>
      <c r="G2344"/>
      <c r="X2344"/>
    </row>
    <row r="2345" spans="4:24" x14ac:dyDescent="0.25">
      <c r="D2345"/>
      <c r="E2345"/>
      <c r="F2345"/>
      <c r="G2345"/>
      <c r="X2345"/>
    </row>
    <row r="2346" spans="4:24" x14ac:dyDescent="0.25">
      <c r="D2346"/>
      <c r="E2346"/>
      <c r="F2346"/>
      <c r="G2346"/>
      <c r="X2346"/>
    </row>
    <row r="2347" spans="4:24" x14ac:dyDescent="0.25">
      <c r="D2347"/>
      <c r="E2347"/>
      <c r="F2347"/>
      <c r="G2347"/>
      <c r="X2347"/>
    </row>
    <row r="2348" spans="4:24" x14ac:dyDescent="0.25">
      <c r="D2348"/>
      <c r="E2348"/>
      <c r="F2348"/>
      <c r="G2348"/>
      <c r="X2348"/>
    </row>
    <row r="2349" spans="4:24" x14ac:dyDescent="0.25">
      <c r="D2349"/>
      <c r="E2349"/>
      <c r="F2349"/>
      <c r="G2349"/>
      <c r="X2349"/>
    </row>
    <row r="2350" spans="4:24" x14ac:dyDescent="0.25">
      <c r="D2350"/>
      <c r="E2350"/>
      <c r="F2350"/>
      <c r="G2350"/>
      <c r="X2350"/>
    </row>
    <row r="2351" spans="4:24" x14ac:dyDescent="0.25">
      <c r="D2351"/>
      <c r="E2351"/>
      <c r="F2351"/>
      <c r="G2351"/>
      <c r="X2351"/>
    </row>
    <row r="2352" spans="4:24" x14ac:dyDescent="0.25">
      <c r="D2352"/>
      <c r="E2352"/>
      <c r="F2352"/>
      <c r="G2352"/>
      <c r="X2352"/>
    </row>
    <row r="2353" spans="4:24" x14ac:dyDescent="0.25">
      <c r="D2353"/>
      <c r="E2353"/>
      <c r="F2353"/>
      <c r="G2353"/>
      <c r="X2353"/>
    </row>
    <row r="2354" spans="4:24" x14ac:dyDescent="0.25">
      <c r="D2354"/>
      <c r="E2354"/>
      <c r="F2354"/>
      <c r="G2354"/>
      <c r="X2354"/>
    </row>
    <row r="2355" spans="4:24" x14ac:dyDescent="0.25">
      <c r="D2355"/>
      <c r="E2355"/>
      <c r="F2355"/>
      <c r="G2355"/>
      <c r="X2355"/>
    </row>
    <row r="2356" spans="4:24" x14ac:dyDescent="0.25">
      <c r="D2356"/>
      <c r="E2356"/>
      <c r="F2356"/>
      <c r="G2356"/>
      <c r="X2356"/>
    </row>
    <row r="2357" spans="4:24" x14ac:dyDescent="0.25">
      <c r="D2357"/>
      <c r="E2357"/>
      <c r="F2357"/>
      <c r="G2357"/>
      <c r="X2357"/>
    </row>
    <row r="2358" spans="4:24" x14ac:dyDescent="0.25">
      <c r="D2358"/>
      <c r="E2358"/>
      <c r="F2358"/>
      <c r="G2358"/>
      <c r="X2358"/>
    </row>
    <row r="2359" spans="4:24" x14ac:dyDescent="0.25">
      <c r="D2359"/>
      <c r="E2359"/>
      <c r="F2359"/>
      <c r="G2359"/>
      <c r="X2359"/>
    </row>
    <row r="2360" spans="4:24" x14ac:dyDescent="0.25">
      <c r="D2360"/>
      <c r="E2360"/>
      <c r="F2360"/>
      <c r="G2360"/>
      <c r="X2360"/>
    </row>
    <row r="2361" spans="4:24" x14ac:dyDescent="0.25">
      <c r="D2361"/>
      <c r="E2361"/>
      <c r="F2361"/>
      <c r="G2361"/>
      <c r="X2361"/>
    </row>
    <row r="2362" spans="4:24" x14ac:dyDescent="0.25">
      <c r="D2362"/>
      <c r="E2362"/>
      <c r="F2362"/>
      <c r="G2362"/>
      <c r="X2362"/>
    </row>
    <row r="2363" spans="4:24" x14ac:dyDescent="0.25">
      <c r="D2363"/>
      <c r="E2363"/>
      <c r="F2363"/>
      <c r="G2363"/>
      <c r="X2363"/>
    </row>
    <row r="2364" spans="4:24" x14ac:dyDescent="0.25">
      <c r="D2364"/>
      <c r="E2364"/>
      <c r="F2364"/>
      <c r="G2364"/>
      <c r="X2364"/>
    </row>
    <row r="2365" spans="4:24" x14ac:dyDescent="0.25">
      <c r="D2365"/>
      <c r="E2365"/>
      <c r="F2365"/>
      <c r="G2365"/>
      <c r="X2365"/>
    </row>
    <row r="2366" spans="4:24" x14ac:dyDescent="0.25">
      <c r="D2366"/>
      <c r="E2366"/>
      <c r="F2366"/>
      <c r="G2366"/>
      <c r="X2366"/>
    </row>
    <row r="2367" spans="4:24" x14ac:dyDescent="0.25">
      <c r="D2367"/>
      <c r="E2367"/>
      <c r="F2367"/>
      <c r="G2367"/>
      <c r="X2367"/>
    </row>
    <row r="2368" spans="4:24" x14ac:dyDescent="0.25">
      <c r="D2368"/>
      <c r="E2368"/>
      <c r="F2368"/>
      <c r="G2368"/>
      <c r="X2368"/>
    </row>
    <row r="2369" spans="4:24" x14ac:dyDescent="0.25">
      <c r="D2369"/>
      <c r="E2369"/>
      <c r="F2369"/>
      <c r="G2369"/>
      <c r="X2369"/>
    </row>
    <row r="2370" spans="4:24" x14ac:dyDescent="0.25">
      <c r="D2370"/>
      <c r="E2370"/>
      <c r="F2370"/>
      <c r="G2370"/>
      <c r="X2370"/>
    </row>
    <row r="2371" spans="4:24" x14ac:dyDescent="0.25">
      <c r="D2371"/>
      <c r="E2371"/>
      <c r="F2371"/>
      <c r="G2371"/>
      <c r="X2371"/>
    </row>
    <row r="2372" spans="4:24" x14ac:dyDescent="0.25">
      <c r="D2372"/>
      <c r="E2372"/>
      <c r="F2372"/>
      <c r="G2372"/>
      <c r="X2372"/>
    </row>
    <row r="2373" spans="4:24" x14ac:dyDescent="0.25">
      <c r="D2373"/>
      <c r="E2373"/>
      <c r="F2373"/>
      <c r="G2373"/>
      <c r="X2373"/>
    </row>
    <row r="2374" spans="4:24" x14ac:dyDescent="0.25">
      <c r="D2374"/>
      <c r="E2374"/>
      <c r="F2374"/>
      <c r="G2374"/>
      <c r="X2374"/>
    </row>
    <row r="2375" spans="4:24" x14ac:dyDescent="0.25">
      <c r="D2375"/>
      <c r="E2375"/>
      <c r="F2375"/>
      <c r="G2375"/>
      <c r="X2375"/>
    </row>
    <row r="2376" spans="4:24" x14ac:dyDescent="0.25">
      <c r="D2376"/>
      <c r="E2376"/>
      <c r="F2376"/>
      <c r="G2376"/>
      <c r="X2376"/>
    </row>
    <row r="2377" spans="4:24" x14ac:dyDescent="0.25">
      <c r="D2377"/>
      <c r="E2377"/>
      <c r="F2377"/>
      <c r="G2377"/>
      <c r="X2377"/>
    </row>
    <row r="2378" spans="4:24" x14ac:dyDescent="0.25">
      <c r="D2378"/>
      <c r="E2378"/>
      <c r="F2378"/>
      <c r="G2378"/>
      <c r="X2378"/>
    </row>
    <row r="2379" spans="4:24" x14ac:dyDescent="0.25">
      <c r="D2379"/>
      <c r="E2379"/>
      <c r="F2379"/>
      <c r="G2379"/>
      <c r="X2379"/>
    </row>
    <row r="2380" spans="4:24" x14ac:dyDescent="0.25">
      <c r="D2380"/>
      <c r="E2380"/>
      <c r="F2380"/>
      <c r="G2380"/>
      <c r="X2380"/>
    </row>
    <row r="2381" spans="4:24" x14ac:dyDescent="0.25">
      <c r="D2381"/>
      <c r="E2381"/>
      <c r="F2381"/>
      <c r="G2381"/>
      <c r="X2381"/>
    </row>
    <row r="2382" spans="4:24" x14ac:dyDescent="0.25">
      <c r="D2382"/>
      <c r="E2382"/>
      <c r="F2382"/>
      <c r="G2382"/>
      <c r="X2382"/>
    </row>
    <row r="2383" spans="4:24" x14ac:dyDescent="0.25">
      <c r="D2383"/>
      <c r="E2383"/>
      <c r="F2383"/>
      <c r="G2383"/>
      <c r="X2383"/>
    </row>
    <row r="2384" spans="4:24" x14ac:dyDescent="0.25">
      <c r="D2384"/>
      <c r="E2384"/>
      <c r="F2384"/>
      <c r="G2384"/>
      <c r="X2384"/>
    </row>
    <row r="2385" spans="4:24" x14ac:dyDescent="0.25">
      <c r="D2385"/>
      <c r="E2385"/>
      <c r="F2385"/>
      <c r="G2385"/>
      <c r="X2385"/>
    </row>
    <row r="2386" spans="4:24" x14ac:dyDescent="0.25">
      <c r="D2386"/>
      <c r="E2386"/>
      <c r="F2386"/>
      <c r="G2386"/>
      <c r="X2386"/>
    </row>
    <row r="2387" spans="4:24" x14ac:dyDescent="0.25">
      <c r="D2387"/>
      <c r="E2387"/>
      <c r="F2387"/>
      <c r="G2387"/>
      <c r="X2387"/>
    </row>
    <row r="2388" spans="4:24" x14ac:dyDescent="0.25">
      <c r="D2388"/>
      <c r="E2388"/>
      <c r="F2388"/>
      <c r="G2388"/>
      <c r="X2388"/>
    </row>
    <row r="2389" spans="4:24" x14ac:dyDescent="0.25">
      <c r="D2389"/>
      <c r="E2389"/>
      <c r="F2389"/>
      <c r="G2389"/>
      <c r="X2389"/>
    </row>
    <row r="2390" spans="4:24" x14ac:dyDescent="0.25">
      <c r="D2390"/>
      <c r="E2390"/>
      <c r="F2390"/>
      <c r="G2390"/>
      <c r="X2390"/>
    </row>
    <row r="2391" spans="4:24" x14ac:dyDescent="0.25">
      <c r="D2391"/>
      <c r="E2391"/>
      <c r="F2391"/>
      <c r="G2391"/>
      <c r="X2391"/>
    </row>
    <row r="2392" spans="4:24" x14ac:dyDescent="0.25">
      <c r="D2392"/>
      <c r="E2392"/>
      <c r="F2392"/>
      <c r="G2392"/>
      <c r="X2392"/>
    </row>
    <row r="2393" spans="4:24" x14ac:dyDescent="0.25">
      <c r="D2393"/>
      <c r="E2393"/>
      <c r="F2393"/>
      <c r="G2393"/>
      <c r="X2393"/>
    </row>
    <row r="2394" spans="4:24" x14ac:dyDescent="0.25">
      <c r="D2394"/>
      <c r="E2394"/>
      <c r="F2394"/>
      <c r="G2394"/>
      <c r="X2394"/>
    </row>
    <row r="2395" spans="4:24" x14ac:dyDescent="0.25">
      <c r="D2395"/>
      <c r="E2395"/>
      <c r="F2395"/>
      <c r="G2395"/>
      <c r="X2395"/>
    </row>
    <row r="2396" spans="4:24" x14ac:dyDescent="0.25">
      <c r="D2396"/>
      <c r="E2396"/>
      <c r="F2396"/>
      <c r="G2396"/>
      <c r="X2396"/>
    </row>
    <row r="2397" spans="4:24" x14ac:dyDescent="0.25">
      <c r="D2397"/>
      <c r="E2397"/>
      <c r="F2397"/>
      <c r="G2397"/>
      <c r="X2397"/>
    </row>
    <row r="2398" spans="4:24" x14ac:dyDescent="0.25">
      <c r="D2398"/>
      <c r="E2398"/>
      <c r="F2398"/>
      <c r="G2398"/>
      <c r="X2398"/>
    </row>
    <row r="2399" spans="4:24" x14ac:dyDescent="0.25">
      <c r="D2399"/>
      <c r="E2399"/>
      <c r="F2399"/>
      <c r="G2399"/>
      <c r="X2399"/>
    </row>
    <row r="2400" spans="4:24" x14ac:dyDescent="0.25">
      <c r="D2400"/>
      <c r="E2400"/>
      <c r="F2400"/>
      <c r="G2400"/>
      <c r="X2400"/>
    </row>
    <row r="2401" spans="4:24" x14ac:dyDescent="0.25">
      <c r="D2401"/>
      <c r="E2401"/>
      <c r="F2401"/>
      <c r="G2401"/>
      <c r="X2401"/>
    </row>
    <row r="2402" spans="4:24" x14ac:dyDescent="0.25">
      <c r="D2402"/>
      <c r="E2402"/>
      <c r="F2402"/>
      <c r="G2402"/>
      <c r="X2402"/>
    </row>
    <row r="2403" spans="4:24" x14ac:dyDescent="0.25">
      <c r="D2403"/>
      <c r="E2403"/>
      <c r="F2403"/>
      <c r="G2403"/>
      <c r="X2403"/>
    </row>
    <row r="2404" spans="4:24" x14ac:dyDescent="0.25">
      <c r="D2404"/>
      <c r="E2404"/>
      <c r="F2404"/>
      <c r="G2404"/>
      <c r="X2404"/>
    </row>
    <row r="2405" spans="4:24" x14ac:dyDescent="0.25">
      <c r="D2405"/>
      <c r="E2405"/>
      <c r="F2405"/>
      <c r="G2405"/>
      <c r="X2405"/>
    </row>
    <row r="2406" spans="4:24" x14ac:dyDescent="0.25">
      <c r="D2406"/>
      <c r="E2406"/>
      <c r="F2406"/>
      <c r="G2406"/>
      <c r="X2406"/>
    </row>
    <row r="2407" spans="4:24" x14ac:dyDescent="0.25">
      <c r="D2407"/>
      <c r="E2407"/>
      <c r="F2407"/>
      <c r="G2407"/>
      <c r="X2407"/>
    </row>
    <row r="2408" spans="4:24" x14ac:dyDescent="0.25">
      <c r="D2408"/>
      <c r="E2408"/>
      <c r="F2408"/>
      <c r="G2408"/>
      <c r="X2408"/>
    </row>
    <row r="2409" spans="4:24" x14ac:dyDescent="0.25">
      <c r="D2409"/>
      <c r="E2409"/>
      <c r="F2409"/>
      <c r="G2409"/>
      <c r="X2409"/>
    </row>
    <row r="2410" spans="4:24" x14ac:dyDescent="0.25">
      <c r="D2410"/>
      <c r="E2410"/>
      <c r="F2410"/>
      <c r="G2410"/>
      <c r="X2410"/>
    </row>
    <row r="2411" spans="4:24" x14ac:dyDescent="0.25">
      <c r="D2411"/>
      <c r="E2411"/>
      <c r="F2411"/>
      <c r="G2411"/>
      <c r="X2411"/>
    </row>
    <row r="2412" spans="4:24" x14ac:dyDescent="0.25">
      <c r="D2412"/>
      <c r="E2412"/>
      <c r="F2412"/>
      <c r="G2412"/>
      <c r="X2412"/>
    </row>
    <row r="2413" spans="4:24" x14ac:dyDescent="0.25">
      <c r="D2413"/>
      <c r="E2413"/>
      <c r="F2413"/>
      <c r="G2413"/>
      <c r="X2413"/>
    </row>
    <row r="2414" spans="4:24" x14ac:dyDescent="0.25">
      <c r="D2414"/>
      <c r="E2414"/>
      <c r="F2414"/>
      <c r="G2414"/>
      <c r="X2414"/>
    </row>
    <row r="2415" spans="4:24" x14ac:dyDescent="0.25">
      <c r="D2415"/>
      <c r="E2415"/>
      <c r="F2415"/>
      <c r="G2415"/>
      <c r="X2415"/>
    </row>
    <row r="2416" spans="4:24" x14ac:dyDescent="0.25">
      <c r="D2416"/>
      <c r="E2416"/>
      <c r="F2416"/>
      <c r="G2416"/>
      <c r="X2416"/>
    </row>
    <row r="2417" spans="4:24" x14ac:dyDescent="0.25">
      <c r="D2417"/>
      <c r="E2417"/>
      <c r="F2417"/>
      <c r="G2417"/>
      <c r="X2417"/>
    </row>
    <row r="2418" spans="4:24" x14ac:dyDescent="0.25">
      <c r="D2418"/>
      <c r="E2418"/>
      <c r="F2418"/>
      <c r="G2418"/>
      <c r="X2418"/>
    </row>
    <row r="2419" spans="4:24" x14ac:dyDescent="0.25">
      <c r="D2419"/>
      <c r="E2419"/>
      <c r="F2419"/>
      <c r="G2419"/>
      <c r="X2419"/>
    </row>
    <row r="2420" spans="4:24" x14ac:dyDescent="0.25">
      <c r="D2420"/>
      <c r="E2420"/>
      <c r="F2420"/>
      <c r="G2420"/>
      <c r="X2420"/>
    </row>
    <row r="2421" spans="4:24" x14ac:dyDescent="0.25">
      <c r="D2421"/>
      <c r="E2421"/>
      <c r="F2421"/>
      <c r="G2421"/>
      <c r="X2421"/>
    </row>
    <row r="2422" spans="4:24" x14ac:dyDescent="0.25">
      <c r="D2422"/>
      <c r="E2422"/>
      <c r="F2422"/>
      <c r="G2422"/>
      <c r="X2422"/>
    </row>
    <row r="2423" spans="4:24" x14ac:dyDescent="0.25">
      <c r="D2423"/>
      <c r="E2423"/>
      <c r="F2423"/>
      <c r="G2423"/>
      <c r="X2423"/>
    </row>
    <row r="2424" spans="4:24" x14ac:dyDescent="0.25">
      <c r="D2424"/>
      <c r="E2424"/>
      <c r="F2424"/>
      <c r="G2424"/>
      <c r="X2424"/>
    </row>
    <row r="2425" spans="4:24" x14ac:dyDescent="0.25">
      <c r="D2425"/>
      <c r="E2425"/>
      <c r="F2425"/>
      <c r="G2425"/>
    </row>
    <row r="2426" spans="4:24" x14ac:dyDescent="0.25">
      <c r="D2426"/>
      <c r="E2426"/>
      <c r="F2426"/>
      <c r="G2426"/>
    </row>
    <row r="2427" spans="4:24" x14ac:dyDescent="0.25">
      <c r="D2427"/>
      <c r="E2427"/>
      <c r="F2427"/>
      <c r="G2427"/>
    </row>
    <row r="2428" spans="4:24" x14ac:dyDescent="0.25">
      <c r="D2428"/>
      <c r="E2428"/>
      <c r="F2428"/>
      <c r="G2428"/>
    </row>
    <row r="2429" spans="4:24" x14ac:dyDescent="0.25">
      <c r="D2429"/>
      <c r="E2429"/>
      <c r="F2429"/>
      <c r="G2429"/>
    </row>
    <row r="2430" spans="4:24" x14ac:dyDescent="0.25">
      <c r="D2430"/>
      <c r="E2430"/>
      <c r="F2430"/>
      <c r="G2430"/>
    </row>
  </sheetData>
  <mergeCells count="14">
    <mergeCell ref="M1:N2"/>
    <mergeCell ref="Q1:Q2"/>
    <mergeCell ref="J27:K28"/>
    <mergeCell ref="A28:B29"/>
    <mergeCell ref="P38:S39"/>
    <mergeCell ref="B1:B2"/>
    <mergeCell ref="E1:E2"/>
    <mergeCell ref="G1:G2"/>
    <mergeCell ref="J1:K2"/>
    <mergeCell ref="A16:B17"/>
    <mergeCell ref="G16:H17"/>
    <mergeCell ref="G28:H29"/>
    <mergeCell ref="J16:K17"/>
    <mergeCell ref="M16:N17"/>
  </mergeCells>
  <pageMargins left="0.7" right="0.7" top="0.75" bottom="0.75" header="0.3" footer="0.3"/>
  <drawing r:id="rId18"/>
  <tableParts count="1"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D416-373B-48DE-ABC6-11516158B0D6}">
  <dimension ref="A1:AI93"/>
  <sheetViews>
    <sheetView showGridLines="0" showRowColHeaders="0" zoomScale="110" workbookViewId="0">
      <selection activeCell="K16" sqref="K16"/>
    </sheetView>
  </sheetViews>
  <sheetFormatPr defaultRowHeight="13.8" x14ac:dyDescent="0.25"/>
  <sheetData>
    <row r="1" spans="1:35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spans="1:35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spans="1:35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spans="1:35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spans="1:35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spans="1:35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 spans="1:35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 spans="1:35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4"/>
      <c r="AA8" s="14"/>
      <c r="AB8" s="14"/>
      <c r="AC8" s="14"/>
      <c r="AD8" s="14"/>
      <c r="AE8" s="14"/>
      <c r="AF8" s="14"/>
      <c r="AG8" s="14"/>
      <c r="AH8" s="14"/>
      <c r="AI8" s="14"/>
    </row>
    <row r="9" spans="1:35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 spans="1:35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4"/>
      <c r="AA10" s="14"/>
      <c r="AB10" s="14"/>
      <c r="AC10" s="14"/>
      <c r="AD10" s="14"/>
      <c r="AE10" s="14"/>
      <c r="AF10" s="14"/>
      <c r="AG10" s="14"/>
      <c r="AH10" s="14"/>
      <c r="AI10" s="14"/>
    </row>
    <row r="11" spans="1:35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4"/>
      <c r="AA11" s="14"/>
      <c r="AB11" s="14"/>
      <c r="AC11" s="14"/>
      <c r="AD11" s="14"/>
      <c r="AE11" s="14"/>
      <c r="AF11" s="14"/>
      <c r="AG11" s="14"/>
      <c r="AH11" s="14"/>
      <c r="AI11" s="14"/>
    </row>
    <row r="12" spans="1:35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4"/>
      <c r="AA12" s="14"/>
      <c r="AB12" s="14"/>
      <c r="AC12" s="14"/>
      <c r="AD12" s="14"/>
      <c r="AE12" s="14"/>
      <c r="AF12" s="14"/>
      <c r="AG12" s="14"/>
      <c r="AH12" s="14"/>
      <c r="AI12" s="14"/>
    </row>
    <row r="13" spans="1:35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4"/>
      <c r="AA13" s="14"/>
      <c r="AB13" s="14"/>
      <c r="AC13" s="14"/>
      <c r="AD13" s="14"/>
      <c r="AE13" s="14"/>
      <c r="AF13" s="14"/>
      <c r="AG13" s="14"/>
      <c r="AH13" s="14"/>
      <c r="AI13" s="14"/>
    </row>
    <row r="14" spans="1:35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4"/>
      <c r="AA14" s="14"/>
      <c r="AB14" s="14"/>
      <c r="AC14" s="14"/>
      <c r="AD14" s="14"/>
      <c r="AE14" s="14"/>
      <c r="AF14" s="14"/>
      <c r="AG14" s="14"/>
      <c r="AH14" s="14"/>
      <c r="AI14" s="14"/>
    </row>
    <row r="15" spans="1:35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 spans="1:35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spans="1:35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4"/>
      <c r="AA17" s="14"/>
      <c r="AB17" s="14"/>
      <c r="AC17" s="14"/>
      <c r="AD17" s="14"/>
      <c r="AE17" s="14"/>
      <c r="AF17" s="14"/>
      <c r="AG17" s="14"/>
      <c r="AH17" s="14"/>
      <c r="AI17" s="14"/>
    </row>
    <row r="18" spans="1:35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4"/>
      <c r="AA18" s="14"/>
      <c r="AB18" s="14"/>
      <c r="AC18" s="14"/>
      <c r="AD18" s="14"/>
      <c r="AE18" s="14"/>
      <c r="AF18" s="14"/>
      <c r="AG18" s="14"/>
      <c r="AH18" s="14"/>
      <c r="AI18" s="14"/>
    </row>
    <row r="19" spans="1:35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4"/>
      <c r="AA19" s="14"/>
      <c r="AB19" s="14"/>
      <c r="AC19" s="14"/>
      <c r="AD19" s="14"/>
      <c r="AE19" s="14"/>
      <c r="AF19" s="14"/>
      <c r="AG19" s="14"/>
      <c r="AH19" s="14"/>
      <c r="AI19" s="14"/>
    </row>
    <row r="20" spans="1:35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4"/>
      <c r="AA20" s="14"/>
      <c r="AB20" s="14"/>
      <c r="AC20" s="14"/>
      <c r="AD20" s="14"/>
      <c r="AE20" s="14"/>
      <c r="AF20" s="14"/>
      <c r="AG20" s="14"/>
      <c r="AH20" s="14"/>
      <c r="AI20" s="14"/>
    </row>
    <row r="21" spans="1:35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4"/>
      <c r="AA21" s="14"/>
      <c r="AB21" s="14"/>
      <c r="AC21" s="14"/>
      <c r="AD21" s="14"/>
      <c r="AE21" s="14"/>
      <c r="AF21" s="14"/>
      <c r="AG21" s="14"/>
      <c r="AH21" s="14"/>
      <c r="AI21" s="14"/>
    </row>
    <row r="22" spans="1:35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4"/>
      <c r="AA22" s="14"/>
      <c r="AB22" s="14"/>
      <c r="AC22" s="14"/>
      <c r="AD22" s="14"/>
      <c r="AE22" s="14"/>
      <c r="AF22" s="14"/>
      <c r="AG22" s="14"/>
      <c r="AH22" s="14"/>
      <c r="AI22" s="14"/>
    </row>
    <row r="23" spans="1:35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4"/>
      <c r="AA23" s="14"/>
      <c r="AB23" s="14"/>
      <c r="AC23" s="14"/>
      <c r="AD23" s="14"/>
      <c r="AE23" s="14"/>
      <c r="AF23" s="14"/>
      <c r="AG23" s="14"/>
      <c r="AH23" s="14"/>
      <c r="AI23" s="14"/>
    </row>
    <row r="24" spans="1:35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4"/>
      <c r="AA24" s="14"/>
      <c r="AB24" s="14"/>
      <c r="AC24" s="14"/>
      <c r="AD24" s="14"/>
      <c r="AE24" s="14"/>
      <c r="AF24" s="14"/>
      <c r="AG24" s="14"/>
      <c r="AH24" s="14"/>
      <c r="AI24" s="14"/>
    </row>
    <row r="25" spans="1:35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5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4"/>
      <c r="AA26" s="14"/>
      <c r="AB26" s="14"/>
      <c r="AC26" s="14"/>
      <c r="AD26" s="14"/>
      <c r="AE26" s="14"/>
      <c r="AF26" s="14"/>
      <c r="AG26" s="14"/>
      <c r="AH26" s="14"/>
      <c r="AI26" s="14"/>
    </row>
    <row r="27" spans="1:35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4"/>
      <c r="AA28" s="14"/>
      <c r="AB28" s="14"/>
      <c r="AC28" s="14"/>
      <c r="AD28" s="14"/>
      <c r="AE28" s="14"/>
      <c r="AF28" s="14"/>
      <c r="AG28" s="14"/>
      <c r="AH28" s="14"/>
      <c r="AI28" s="14"/>
    </row>
    <row r="29" spans="1:35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 spans="1:35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4"/>
      <c r="AA30" s="14"/>
      <c r="AB30" s="14"/>
      <c r="AC30" s="14"/>
      <c r="AD30" s="14"/>
      <c r="AE30" s="14"/>
      <c r="AF30" s="14"/>
      <c r="AG30" s="14"/>
      <c r="AH30" s="14"/>
      <c r="AI30" s="14"/>
    </row>
    <row r="31" spans="1:35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4"/>
      <c r="AA31" s="14"/>
      <c r="AB31" s="14"/>
      <c r="AC31" s="14"/>
      <c r="AD31" s="14"/>
      <c r="AE31" s="14"/>
      <c r="AF31" s="14"/>
      <c r="AG31" s="14"/>
      <c r="AH31" s="14"/>
      <c r="AI31" s="14"/>
    </row>
    <row r="32" spans="1:35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4"/>
      <c r="AA32" s="14"/>
      <c r="AB32" s="14"/>
      <c r="AC32" s="14"/>
      <c r="AD32" s="14"/>
      <c r="AE32" s="14"/>
      <c r="AF32" s="14"/>
      <c r="AG32" s="14"/>
      <c r="AH32" s="14"/>
      <c r="AI32" s="14"/>
    </row>
    <row r="33" spans="1:35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4"/>
      <c r="AA33" s="14"/>
      <c r="AB33" s="14"/>
      <c r="AC33" s="14"/>
      <c r="AD33" s="14"/>
      <c r="AE33" s="14"/>
      <c r="AF33" s="14"/>
      <c r="AG33" s="14"/>
      <c r="AH33" s="14"/>
      <c r="AI33" s="14"/>
    </row>
    <row r="34" spans="1:35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4"/>
      <c r="AA34" s="14"/>
      <c r="AB34" s="14"/>
      <c r="AC34" s="14"/>
      <c r="AD34" s="14"/>
      <c r="AE34" s="14"/>
      <c r="AF34" s="14"/>
      <c r="AG34" s="14"/>
      <c r="AH34" s="14"/>
      <c r="AI34" s="14"/>
    </row>
    <row r="35" spans="1:35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4"/>
      <c r="AA35" s="14"/>
      <c r="AB35" s="14"/>
      <c r="AC35" s="14"/>
      <c r="AD35" s="14"/>
      <c r="AE35" s="14"/>
      <c r="AF35" s="14"/>
      <c r="AG35" s="14"/>
      <c r="AH35" s="14"/>
      <c r="AI35" s="14"/>
    </row>
    <row r="36" spans="1:35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37" spans="1:35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 spans="1:35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4"/>
      <c r="AA38" s="14"/>
      <c r="AB38" s="14"/>
      <c r="AC38" s="14"/>
      <c r="AD38" s="14"/>
      <c r="AE38" s="14"/>
      <c r="AF38" s="14"/>
      <c r="AG38" s="14"/>
      <c r="AH38" s="14"/>
      <c r="AI38" s="14"/>
    </row>
    <row r="39" spans="1:35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4"/>
      <c r="AA39" s="14"/>
      <c r="AB39" s="14"/>
      <c r="AC39" s="14"/>
      <c r="AD39" s="14"/>
      <c r="AE39" s="14"/>
      <c r="AF39" s="14"/>
      <c r="AG39" s="14"/>
      <c r="AH39" s="14"/>
      <c r="AI39" s="14"/>
    </row>
    <row r="40" spans="1:35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4"/>
      <c r="AA40" s="14"/>
      <c r="AB40" s="14"/>
      <c r="AC40" s="14"/>
      <c r="AD40" s="14"/>
      <c r="AE40" s="14"/>
      <c r="AF40" s="14"/>
      <c r="AG40" s="14"/>
      <c r="AH40" s="14"/>
      <c r="AI40" s="14"/>
    </row>
    <row r="41" spans="1:35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4"/>
      <c r="AA41" s="14"/>
      <c r="AB41" s="14"/>
      <c r="AC41" s="14"/>
      <c r="AD41" s="14"/>
      <c r="AE41" s="14"/>
      <c r="AF41" s="14"/>
      <c r="AG41" s="14"/>
      <c r="AH41" s="14"/>
      <c r="AI41" s="14"/>
    </row>
    <row r="42" spans="1:35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4"/>
      <c r="AA42" s="14"/>
      <c r="AB42" s="14"/>
      <c r="AC42" s="14"/>
      <c r="AD42" s="14"/>
      <c r="AE42" s="14"/>
      <c r="AF42" s="14"/>
      <c r="AG42" s="14"/>
      <c r="AH42" s="14"/>
      <c r="AI42" s="14"/>
    </row>
    <row r="43" spans="1:35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4"/>
      <c r="AA43" s="14"/>
      <c r="AB43" s="14"/>
      <c r="AC43" s="14"/>
      <c r="AD43" s="14"/>
      <c r="AE43" s="14"/>
      <c r="AF43" s="14"/>
      <c r="AG43" s="14"/>
      <c r="AH43" s="14"/>
      <c r="AI43" s="14"/>
    </row>
    <row r="44" spans="1:3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4"/>
      <c r="AA44" s="14"/>
      <c r="AB44" s="14"/>
      <c r="AC44" s="14"/>
      <c r="AD44" s="14"/>
      <c r="AE44" s="14"/>
      <c r="AF44" s="14"/>
      <c r="AG44" s="14"/>
      <c r="AH44" s="14"/>
      <c r="AI44" s="14"/>
    </row>
    <row r="45" spans="1:35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4"/>
      <c r="AA45" s="14"/>
      <c r="AB45" s="14"/>
      <c r="AC45" s="14"/>
      <c r="AD45" s="14"/>
      <c r="AE45" s="14"/>
      <c r="AF45" s="14"/>
      <c r="AG45" s="14"/>
      <c r="AH45" s="14"/>
      <c r="AI45" s="14"/>
    </row>
    <row r="46" spans="1:35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4"/>
      <c r="AA46" s="14"/>
      <c r="AB46" s="14"/>
      <c r="AC46" s="14"/>
      <c r="AD46" s="14"/>
      <c r="AE46" s="14"/>
      <c r="AF46" s="14"/>
      <c r="AG46" s="14"/>
      <c r="AH46" s="14"/>
      <c r="AI46" s="14"/>
    </row>
    <row r="47" spans="1:35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4"/>
      <c r="AA47" s="14"/>
      <c r="AB47" s="14"/>
      <c r="AC47" s="14"/>
      <c r="AD47" s="14"/>
      <c r="AE47" s="14"/>
      <c r="AF47" s="14"/>
      <c r="AG47" s="14"/>
      <c r="AH47" s="14"/>
      <c r="AI47" s="14"/>
    </row>
    <row r="48" spans="1:35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4"/>
      <c r="AA48" s="14"/>
      <c r="AB48" s="14"/>
      <c r="AC48" s="14"/>
      <c r="AD48" s="14"/>
      <c r="AE48" s="14"/>
      <c r="AF48" s="14"/>
      <c r="AG48" s="14"/>
      <c r="AH48" s="14"/>
      <c r="AI48" s="14"/>
    </row>
    <row r="49" spans="1:35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4"/>
      <c r="AA49" s="14"/>
      <c r="AB49" s="14"/>
      <c r="AC49" s="14"/>
      <c r="AD49" s="14"/>
      <c r="AE49" s="14"/>
      <c r="AF49" s="14"/>
      <c r="AG49" s="14"/>
      <c r="AH49" s="14"/>
      <c r="AI49" s="14"/>
    </row>
    <row r="50" spans="1:35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4"/>
      <c r="AA50" s="14"/>
      <c r="AB50" s="14"/>
      <c r="AC50" s="14"/>
      <c r="AD50" s="14"/>
      <c r="AE50" s="14"/>
      <c r="AF50" s="14"/>
      <c r="AG50" s="14"/>
      <c r="AH50" s="14"/>
      <c r="AI50" s="14"/>
    </row>
    <row r="51" spans="1:35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4"/>
      <c r="AA51" s="14"/>
      <c r="AB51" s="14"/>
      <c r="AC51" s="14"/>
      <c r="AD51" s="14"/>
      <c r="AE51" s="14"/>
      <c r="AF51" s="14"/>
      <c r="AG51" s="14"/>
      <c r="AH51" s="14"/>
      <c r="AI51" s="14"/>
    </row>
    <row r="52" spans="1:35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4"/>
      <c r="AA52" s="14"/>
      <c r="AB52" s="14"/>
      <c r="AC52" s="14"/>
      <c r="AD52" s="14"/>
      <c r="AE52" s="14"/>
      <c r="AF52" s="14"/>
      <c r="AG52" s="14"/>
      <c r="AH52" s="14"/>
      <c r="AI52" s="14"/>
    </row>
    <row r="53" spans="1:35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4"/>
      <c r="AA53" s="14"/>
      <c r="AB53" s="14"/>
      <c r="AC53" s="14"/>
      <c r="AD53" s="14"/>
      <c r="AE53" s="14"/>
      <c r="AF53" s="14"/>
      <c r="AG53" s="14"/>
      <c r="AH53" s="14"/>
      <c r="AI53" s="14"/>
    </row>
    <row r="54" spans="1:35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4"/>
      <c r="AA54" s="14"/>
      <c r="AB54" s="14"/>
      <c r="AC54" s="14"/>
      <c r="AD54" s="14"/>
      <c r="AE54" s="14"/>
      <c r="AF54" s="14"/>
      <c r="AG54" s="14"/>
      <c r="AH54" s="14"/>
      <c r="AI54" s="14"/>
    </row>
    <row r="55" spans="1:35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4"/>
      <c r="AA55" s="14"/>
      <c r="AB55" s="14"/>
      <c r="AC55" s="14"/>
      <c r="AD55" s="14"/>
      <c r="AE55" s="14"/>
      <c r="AF55" s="14"/>
      <c r="AG55" s="14"/>
      <c r="AH55" s="14"/>
      <c r="AI55" s="14"/>
    </row>
    <row r="56" spans="1:35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4"/>
      <c r="AA56" s="14"/>
      <c r="AB56" s="14"/>
      <c r="AC56" s="14"/>
      <c r="AD56" s="14"/>
      <c r="AE56" s="14"/>
      <c r="AF56" s="14"/>
      <c r="AG56" s="14"/>
      <c r="AH56" s="14"/>
      <c r="AI56" s="14"/>
    </row>
    <row r="57" spans="1:35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4"/>
      <c r="AA57" s="14"/>
      <c r="AB57" s="14"/>
      <c r="AC57" s="14"/>
      <c r="AD57" s="14"/>
      <c r="AE57" s="14"/>
      <c r="AF57" s="14"/>
      <c r="AG57" s="14"/>
      <c r="AH57" s="14"/>
      <c r="AI57" s="14"/>
    </row>
    <row r="58" spans="1:35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4"/>
      <c r="AA58" s="14"/>
      <c r="AB58" s="14"/>
      <c r="AC58" s="14"/>
      <c r="AD58" s="14"/>
      <c r="AE58" s="14"/>
      <c r="AF58" s="14"/>
      <c r="AG58" s="14"/>
      <c r="AH58" s="14"/>
      <c r="AI58" s="14"/>
    </row>
    <row r="59" spans="1:35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4"/>
      <c r="AA59" s="14"/>
      <c r="AB59" s="14"/>
      <c r="AC59" s="14"/>
      <c r="AD59" s="14"/>
      <c r="AE59" s="14"/>
      <c r="AF59" s="14"/>
      <c r="AG59" s="14"/>
      <c r="AH59" s="14"/>
      <c r="AI59" s="14"/>
    </row>
    <row r="60" spans="1:35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4"/>
      <c r="AA60" s="14"/>
      <c r="AB60" s="14"/>
      <c r="AC60" s="14"/>
      <c r="AD60" s="14"/>
      <c r="AE60" s="14"/>
      <c r="AF60" s="14"/>
      <c r="AG60" s="14"/>
      <c r="AH60" s="14"/>
      <c r="AI60" s="14"/>
    </row>
    <row r="61" spans="1:35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4"/>
      <c r="AA61" s="14"/>
      <c r="AB61" s="14"/>
      <c r="AC61" s="14"/>
      <c r="AD61" s="14"/>
      <c r="AE61" s="14"/>
      <c r="AF61" s="14"/>
      <c r="AG61" s="14"/>
      <c r="AH61" s="14"/>
      <c r="AI61" s="14"/>
    </row>
    <row r="62" spans="1:35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 spans="1:35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4"/>
      <c r="AA63" s="14"/>
      <c r="AB63" s="14"/>
      <c r="AC63" s="14"/>
      <c r="AD63" s="14"/>
      <c r="AE63" s="14"/>
      <c r="AF63" s="14"/>
      <c r="AG63" s="14"/>
      <c r="AH63" s="14"/>
      <c r="AI63" s="14"/>
    </row>
    <row r="64" spans="1:35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 spans="1:35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 spans="1:35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 spans="1:35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4"/>
      <c r="AA67" s="14"/>
      <c r="AB67" s="14"/>
      <c r="AC67" s="14"/>
      <c r="AD67" s="14"/>
      <c r="AE67" s="14"/>
      <c r="AF67" s="14"/>
      <c r="AG67" s="14"/>
      <c r="AH67" s="14"/>
      <c r="AI67" s="14"/>
    </row>
    <row r="68" spans="1:35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4"/>
      <c r="AA68" s="14"/>
      <c r="AB68" s="14"/>
      <c r="AC68" s="14"/>
      <c r="AD68" s="14"/>
      <c r="AE68" s="14"/>
      <c r="AF68" s="14"/>
      <c r="AG68" s="14"/>
      <c r="AH68" s="14"/>
      <c r="AI68" s="14"/>
    </row>
    <row r="69" spans="1:35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4"/>
      <c r="AA69" s="14"/>
      <c r="AB69" s="14"/>
      <c r="AC69" s="14"/>
      <c r="AD69" s="14"/>
      <c r="AE69" s="14"/>
      <c r="AF69" s="14"/>
      <c r="AG69" s="14"/>
      <c r="AH69" s="14"/>
      <c r="AI69" s="14"/>
    </row>
    <row r="70" spans="1:35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4"/>
      <c r="AA70" s="14"/>
      <c r="AB70" s="14"/>
      <c r="AC70" s="14"/>
      <c r="AD70" s="14"/>
      <c r="AE70" s="14"/>
      <c r="AF70" s="14"/>
      <c r="AG70" s="14"/>
      <c r="AH70" s="14"/>
      <c r="AI70" s="14"/>
    </row>
    <row r="71" spans="1:35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4"/>
      <c r="AA71" s="14"/>
      <c r="AB71" s="14"/>
      <c r="AC71" s="14"/>
      <c r="AD71" s="14"/>
      <c r="AE71" s="14"/>
      <c r="AF71" s="14"/>
      <c r="AG71" s="14"/>
      <c r="AH71" s="14"/>
      <c r="AI71" s="14"/>
    </row>
    <row r="72" spans="1:35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4"/>
      <c r="AA72" s="14"/>
      <c r="AB72" s="14"/>
      <c r="AC72" s="14"/>
      <c r="AD72" s="14"/>
      <c r="AE72" s="14"/>
      <c r="AF72" s="14"/>
      <c r="AG72" s="14"/>
      <c r="AH72" s="14"/>
      <c r="AI72" s="14"/>
    </row>
    <row r="73" spans="1:35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4"/>
      <c r="AA73" s="14"/>
      <c r="AB73" s="14"/>
      <c r="AC73" s="14"/>
      <c r="AD73" s="14"/>
      <c r="AE73" s="14"/>
      <c r="AF73" s="14"/>
      <c r="AG73" s="14"/>
      <c r="AH73" s="14"/>
      <c r="AI73" s="14"/>
    </row>
    <row r="74" spans="1:35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4"/>
      <c r="AA74" s="14"/>
      <c r="AB74" s="14"/>
      <c r="AC74" s="14"/>
      <c r="AD74" s="14"/>
      <c r="AE74" s="14"/>
      <c r="AF74" s="14"/>
      <c r="AG74" s="14"/>
      <c r="AH74" s="14"/>
      <c r="AI74" s="14"/>
    </row>
    <row r="75" spans="1:35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4"/>
      <c r="AA75" s="14"/>
      <c r="AB75" s="14"/>
      <c r="AC75" s="14"/>
      <c r="AD75" s="14"/>
      <c r="AE75" s="14"/>
      <c r="AF75" s="14"/>
      <c r="AG75" s="14"/>
      <c r="AH75" s="14"/>
      <c r="AI75" s="14"/>
    </row>
    <row r="76" spans="1:35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4"/>
      <c r="AA76" s="14"/>
      <c r="AB76" s="14"/>
      <c r="AC76" s="14"/>
      <c r="AD76" s="14"/>
      <c r="AE76" s="14"/>
      <c r="AF76" s="14"/>
      <c r="AG76" s="14"/>
      <c r="AH76" s="14"/>
      <c r="AI76" s="14"/>
    </row>
    <row r="77" spans="1:35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4"/>
      <c r="AA77" s="14"/>
      <c r="AB77" s="14"/>
      <c r="AC77" s="14"/>
      <c r="AD77" s="14"/>
      <c r="AE77" s="14"/>
      <c r="AF77" s="14"/>
      <c r="AG77" s="14"/>
      <c r="AH77" s="14"/>
      <c r="AI77" s="14"/>
    </row>
    <row r="78" spans="1:35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4"/>
      <c r="AA78" s="14"/>
      <c r="AB78" s="14"/>
      <c r="AC78" s="14"/>
      <c r="AD78" s="14"/>
      <c r="AE78" s="14"/>
      <c r="AF78" s="14"/>
      <c r="AG78" s="14"/>
      <c r="AH78" s="14"/>
      <c r="AI78" s="14"/>
    </row>
    <row r="79" spans="1:35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4"/>
      <c r="AA79" s="14"/>
      <c r="AB79" s="14"/>
      <c r="AC79" s="14"/>
      <c r="AD79" s="14"/>
      <c r="AE79" s="14"/>
      <c r="AF79" s="14"/>
      <c r="AG79" s="14"/>
      <c r="AH79" s="14"/>
      <c r="AI79" s="14"/>
    </row>
    <row r="80" spans="1:35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4"/>
      <c r="AA80" s="14"/>
      <c r="AB80" s="14"/>
      <c r="AC80" s="14"/>
      <c r="AD80" s="14"/>
      <c r="AE80" s="14"/>
      <c r="AF80" s="14"/>
      <c r="AG80" s="14"/>
      <c r="AH80" s="14"/>
      <c r="AI80" s="14"/>
    </row>
    <row r="81" spans="1:35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4"/>
      <c r="AA81" s="14"/>
      <c r="AB81" s="14"/>
      <c r="AC81" s="14"/>
      <c r="AD81" s="14"/>
      <c r="AE81" s="14"/>
      <c r="AF81" s="14"/>
      <c r="AG81" s="14"/>
      <c r="AH81" s="14"/>
      <c r="AI81" s="14"/>
    </row>
    <row r="82" spans="1:35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4"/>
      <c r="AA82" s="14"/>
      <c r="AB82" s="14"/>
      <c r="AC82" s="14"/>
      <c r="AD82" s="14"/>
      <c r="AE82" s="14"/>
      <c r="AF82" s="14"/>
      <c r="AG82" s="14"/>
      <c r="AH82" s="14"/>
      <c r="AI82" s="14"/>
    </row>
    <row r="83" spans="1:35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4"/>
      <c r="AA83" s="14"/>
      <c r="AB83" s="14"/>
      <c r="AC83" s="14"/>
      <c r="AD83" s="14"/>
      <c r="AE83" s="14"/>
      <c r="AF83" s="14"/>
      <c r="AG83" s="14"/>
      <c r="AH83" s="14"/>
      <c r="AI83" s="14"/>
    </row>
    <row r="84" spans="1:35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35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35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3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35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35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35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35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35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35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B8B1-36BF-43F8-A138-2AF80D1A59B1}">
  <dimension ref="B5:B21"/>
  <sheetViews>
    <sheetView tabSelected="1" workbookViewId="0">
      <selection activeCell="C2" sqref="A1:C2"/>
    </sheetView>
  </sheetViews>
  <sheetFormatPr defaultRowHeight="13.8" x14ac:dyDescent="0.25"/>
  <cols>
    <col min="2" max="2" width="19.69921875" bestFit="1" customWidth="1"/>
  </cols>
  <sheetData>
    <row r="5" spans="2:2" x14ac:dyDescent="0.25">
      <c r="B5" s="23" t="s">
        <v>4303</v>
      </c>
    </row>
    <row r="13" spans="2:2" x14ac:dyDescent="0.25">
      <c r="B13" s="24" t="s">
        <v>4308</v>
      </c>
    </row>
    <row r="21" spans="2:2" x14ac:dyDescent="0.25">
      <c r="B21" s="24" t="s">
        <v>4287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</vt:lpstr>
      <vt:lpstr>Dashboard</vt:lpstr>
      <vt:lpstr>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Ezz</cp:lastModifiedBy>
  <dcterms:created xsi:type="dcterms:W3CDTF">2025-06-21T13:19:12Z</dcterms:created>
  <dcterms:modified xsi:type="dcterms:W3CDTF">2026-05-26T23:31:18Z</dcterms:modified>
</cp:coreProperties>
</file>